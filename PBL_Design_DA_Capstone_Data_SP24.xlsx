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dxnny/Downloads/"/>
    </mc:Choice>
  </mc:AlternateContent>
  <xr:revisionPtr revIDLastSave="0" documentId="13_ncr:1_{D2621192-DA61-DB44-9A9B-53AFC68D1B9B}" xr6:coauthVersionLast="47" xr6:coauthVersionMax="47" xr10:uidLastSave="{00000000-0000-0000-0000-000000000000}"/>
  <bookViews>
    <workbookView xWindow="0" yWindow="780" windowWidth="36000" windowHeight="22600" activeTab="1" xr2:uid="{00000000-000D-0000-FFFF-FFFF00000000}"/>
  </bookViews>
  <sheets>
    <sheet name="Original" sheetId="1" r:id="rId1"/>
    <sheet name="Cleaned" sheetId="2" r:id="rId2"/>
    <sheet name="Pivot" sheetId="3" r:id="rId3"/>
  </sheets>
  <definedNames>
    <definedName name="_xlnm._FilterDatabase" localSheetId="1" hidden="1">Cleaned!$A$1:$A$1000</definedName>
  </definedNames>
  <calcPr calcId="191029"/>
  <pivotCaches>
    <pivotCache cacheId="9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rHJDLmaHMuM3SvaBCdc0VN2Un9ipjIOz7xxK14J8Pgw="/>
    </ext>
  </extLst>
</workbook>
</file>

<file path=xl/calcChain.xml><?xml version="1.0" encoding="utf-8"?>
<calcChain xmlns="http://schemas.openxmlformats.org/spreadsheetml/2006/main">
  <c r="X1000" i="2" l="1"/>
  <c r="X999" i="2"/>
  <c r="X998" i="2"/>
  <c r="X997" i="2"/>
  <c r="X996" i="2"/>
  <c r="X995" i="2"/>
  <c r="X994" i="2"/>
  <c r="X993" i="2"/>
  <c r="X992" i="2"/>
  <c r="X991" i="2"/>
  <c r="X990" i="2"/>
  <c r="X989" i="2"/>
  <c r="X988" i="2"/>
  <c r="X987" i="2"/>
  <c r="X986" i="2"/>
  <c r="X985" i="2"/>
  <c r="X984" i="2"/>
  <c r="X983" i="2"/>
  <c r="X982" i="2"/>
  <c r="X981" i="2"/>
  <c r="X980" i="2"/>
  <c r="X979" i="2"/>
  <c r="X978" i="2"/>
  <c r="X977" i="2"/>
  <c r="X976" i="2"/>
  <c r="X975" i="2"/>
  <c r="X974" i="2"/>
  <c r="X973" i="2"/>
  <c r="X972" i="2"/>
  <c r="X971" i="2"/>
  <c r="X970" i="2"/>
  <c r="X969" i="2"/>
  <c r="X968" i="2"/>
  <c r="X967" i="2"/>
  <c r="X966" i="2"/>
  <c r="X965" i="2"/>
  <c r="X964" i="2"/>
  <c r="X963" i="2"/>
  <c r="X962" i="2"/>
  <c r="X961" i="2"/>
  <c r="X960" i="2"/>
  <c r="X959" i="2"/>
  <c r="X958" i="2"/>
  <c r="X957" i="2"/>
  <c r="X956" i="2"/>
  <c r="X955" i="2"/>
  <c r="X954" i="2"/>
  <c r="X953" i="2"/>
  <c r="X952" i="2"/>
  <c r="X951" i="2"/>
  <c r="X950" i="2"/>
  <c r="X949" i="2"/>
  <c r="X948" i="2"/>
  <c r="X947" i="2"/>
  <c r="X946" i="2"/>
  <c r="X945" i="2"/>
  <c r="X944" i="2"/>
  <c r="X943" i="2"/>
  <c r="X942" i="2"/>
  <c r="X941" i="2"/>
  <c r="X940" i="2"/>
  <c r="X939" i="2"/>
  <c r="X938" i="2"/>
  <c r="X937" i="2"/>
  <c r="X936" i="2"/>
  <c r="X935" i="2"/>
  <c r="X934" i="2"/>
  <c r="X933" i="2"/>
  <c r="X932" i="2"/>
  <c r="X931" i="2"/>
  <c r="X930" i="2"/>
  <c r="X929" i="2"/>
  <c r="X928" i="2"/>
  <c r="X927" i="2"/>
  <c r="X926" i="2"/>
  <c r="X925" i="2"/>
  <c r="X924" i="2"/>
  <c r="X923" i="2"/>
  <c r="X922" i="2"/>
  <c r="X921" i="2"/>
  <c r="X920" i="2"/>
  <c r="X919" i="2"/>
  <c r="X918" i="2"/>
  <c r="X917" i="2"/>
  <c r="X916" i="2"/>
  <c r="X915" i="2"/>
  <c r="X914" i="2"/>
  <c r="X913" i="2"/>
  <c r="X912" i="2"/>
  <c r="X911" i="2"/>
  <c r="X910" i="2"/>
  <c r="X909" i="2"/>
  <c r="X908" i="2"/>
  <c r="X907" i="2"/>
  <c r="X906" i="2"/>
  <c r="X905" i="2"/>
  <c r="X904" i="2"/>
  <c r="X903" i="2"/>
  <c r="X902" i="2"/>
  <c r="X901" i="2"/>
  <c r="X900" i="2"/>
  <c r="X899" i="2"/>
  <c r="X898" i="2"/>
  <c r="X897" i="2"/>
  <c r="X896" i="2"/>
  <c r="X895" i="2"/>
  <c r="X894" i="2"/>
  <c r="X893" i="2"/>
  <c r="X892" i="2"/>
  <c r="X891" i="2"/>
  <c r="X890" i="2"/>
  <c r="X889" i="2"/>
  <c r="X888" i="2"/>
  <c r="X887" i="2"/>
  <c r="X886" i="2"/>
  <c r="X885" i="2"/>
  <c r="X884" i="2"/>
  <c r="X883" i="2"/>
  <c r="X882" i="2"/>
  <c r="X881" i="2"/>
  <c r="X880" i="2"/>
  <c r="X879" i="2"/>
  <c r="X878" i="2"/>
  <c r="X877" i="2"/>
  <c r="X876" i="2"/>
  <c r="X875" i="2"/>
  <c r="X874" i="2"/>
  <c r="X873" i="2"/>
  <c r="X872" i="2"/>
  <c r="X871" i="2"/>
  <c r="X870" i="2"/>
  <c r="X869" i="2"/>
  <c r="X868" i="2"/>
  <c r="X867" i="2"/>
  <c r="X866" i="2"/>
  <c r="X865" i="2"/>
  <c r="X864" i="2"/>
  <c r="X863" i="2"/>
  <c r="X862" i="2"/>
  <c r="X861" i="2"/>
  <c r="X860" i="2"/>
  <c r="X859" i="2"/>
  <c r="X858" i="2"/>
  <c r="X857" i="2"/>
  <c r="X856" i="2"/>
  <c r="X855" i="2"/>
  <c r="X854" i="2"/>
  <c r="X853" i="2"/>
  <c r="X852" i="2"/>
  <c r="X851" i="2"/>
  <c r="X850" i="2"/>
  <c r="X849" i="2"/>
  <c r="X848" i="2"/>
  <c r="X847" i="2"/>
  <c r="X846" i="2"/>
  <c r="X845" i="2"/>
  <c r="X844" i="2"/>
  <c r="X843" i="2"/>
  <c r="X842" i="2"/>
  <c r="X841" i="2"/>
  <c r="X840" i="2"/>
  <c r="X839" i="2"/>
  <c r="X838" i="2"/>
  <c r="X837" i="2"/>
  <c r="X836" i="2"/>
  <c r="X835" i="2"/>
  <c r="X834" i="2"/>
  <c r="X833" i="2"/>
  <c r="X832" i="2"/>
  <c r="X831" i="2"/>
  <c r="X830" i="2"/>
  <c r="X829" i="2"/>
  <c r="X828" i="2"/>
  <c r="X827" i="2"/>
  <c r="X826" i="2"/>
  <c r="X825" i="2"/>
  <c r="X824" i="2"/>
  <c r="X823" i="2"/>
  <c r="X822" i="2"/>
  <c r="X821" i="2"/>
  <c r="X820" i="2"/>
  <c r="X819" i="2"/>
  <c r="X818" i="2"/>
  <c r="X817" i="2"/>
  <c r="X816" i="2"/>
  <c r="X815" i="2"/>
  <c r="X814" i="2"/>
  <c r="X813" i="2"/>
  <c r="X812" i="2"/>
  <c r="X811" i="2"/>
  <c r="X810" i="2"/>
  <c r="X809" i="2"/>
  <c r="X808" i="2"/>
  <c r="X807" i="2"/>
  <c r="X806" i="2"/>
  <c r="X805" i="2"/>
  <c r="X804" i="2"/>
  <c r="X803" i="2"/>
  <c r="X802" i="2"/>
  <c r="X801" i="2"/>
  <c r="X800" i="2"/>
  <c r="X799" i="2"/>
  <c r="X798" i="2"/>
  <c r="X797" i="2"/>
  <c r="X796" i="2"/>
  <c r="X795" i="2"/>
  <c r="X794" i="2"/>
  <c r="X793" i="2"/>
  <c r="X792" i="2"/>
  <c r="X791" i="2"/>
  <c r="X790" i="2"/>
  <c r="X789" i="2"/>
  <c r="X788" i="2"/>
  <c r="X787" i="2"/>
  <c r="X786" i="2"/>
  <c r="X785" i="2"/>
  <c r="X784" i="2"/>
  <c r="X783" i="2"/>
  <c r="X782" i="2"/>
  <c r="X781" i="2"/>
  <c r="X780" i="2"/>
  <c r="X779" i="2"/>
  <c r="X778" i="2"/>
  <c r="X777" i="2"/>
  <c r="X776" i="2"/>
  <c r="X775" i="2"/>
  <c r="X774" i="2"/>
  <c r="X773" i="2"/>
  <c r="X772" i="2"/>
  <c r="X771" i="2"/>
  <c r="X770" i="2"/>
  <c r="X769" i="2"/>
  <c r="X768" i="2"/>
  <c r="X767" i="2"/>
  <c r="X766" i="2"/>
  <c r="X765" i="2"/>
  <c r="X764" i="2"/>
  <c r="X763" i="2"/>
  <c r="X762" i="2"/>
  <c r="X761" i="2"/>
  <c r="X760" i="2"/>
  <c r="X759" i="2"/>
  <c r="X758" i="2"/>
  <c r="X757" i="2"/>
  <c r="X756" i="2"/>
  <c r="X755" i="2"/>
  <c r="X754" i="2"/>
  <c r="X753" i="2"/>
  <c r="X752" i="2"/>
  <c r="X751" i="2"/>
  <c r="X750" i="2"/>
  <c r="X749" i="2"/>
  <c r="X748" i="2"/>
  <c r="X747" i="2"/>
  <c r="X746" i="2"/>
  <c r="X745" i="2"/>
  <c r="X744" i="2"/>
  <c r="X743" i="2"/>
  <c r="X742" i="2"/>
  <c r="X741" i="2"/>
  <c r="X740" i="2"/>
  <c r="X739" i="2"/>
  <c r="X738" i="2"/>
  <c r="X737" i="2"/>
  <c r="X736" i="2"/>
  <c r="X735" i="2"/>
  <c r="X734" i="2"/>
  <c r="X733" i="2"/>
  <c r="X732" i="2"/>
  <c r="X731" i="2"/>
  <c r="X730" i="2"/>
  <c r="X729" i="2"/>
  <c r="X728" i="2"/>
  <c r="X727" i="2"/>
  <c r="X726" i="2"/>
  <c r="X725" i="2"/>
  <c r="X724" i="2"/>
  <c r="X723" i="2"/>
  <c r="X722" i="2"/>
  <c r="X721" i="2"/>
  <c r="X720" i="2"/>
  <c r="X719" i="2"/>
  <c r="X718" i="2"/>
  <c r="X717" i="2"/>
  <c r="X716" i="2"/>
  <c r="X715" i="2"/>
  <c r="X714" i="2"/>
  <c r="X713" i="2"/>
  <c r="X712" i="2"/>
  <c r="X711" i="2"/>
  <c r="X710" i="2"/>
  <c r="X709" i="2"/>
  <c r="X708" i="2"/>
  <c r="X707" i="2"/>
  <c r="X706" i="2"/>
  <c r="X705" i="2"/>
  <c r="X704" i="2"/>
  <c r="X703" i="2"/>
  <c r="X702" i="2"/>
  <c r="X701" i="2"/>
  <c r="X700" i="2"/>
  <c r="X699" i="2"/>
  <c r="X698" i="2"/>
  <c r="X697" i="2"/>
  <c r="X696" i="2"/>
  <c r="X695" i="2"/>
  <c r="X694" i="2"/>
  <c r="X693" i="2"/>
  <c r="X692" i="2"/>
  <c r="X691" i="2"/>
  <c r="X690" i="2"/>
  <c r="X689" i="2"/>
  <c r="X688" i="2"/>
  <c r="X687" i="2"/>
  <c r="X686" i="2"/>
  <c r="X685" i="2"/>
  <c r="X684" i="2"/>
  <c r="X683" i="2"/>
  <c r="X682" i="2"/>
  <c r="X681" i="2"/>
  <c r="X680" i="2"/>
  <c r="X679" i="2"/>
  <c r="X678" i="2"/>
  <c r="X677" i="2"/>
  <c r="X676" i="2"/>
  <c r="X675" i="2"/>
  <c r="X674" i="2"/>
  <c r="X673" i="2"/>
  <c r="X672" i="2"/>
  <c r="X671" i="2"/>
  <c r="X670" i="2"/>
  <c r="X669" i="2"/>
  <c r="X668" i="2"/>
  <c r="X667" i="2"/>
  <c r="X666" i="2"/>
  <c r="X665" i="2"/>
  <c r="X664" i="2"/>
  <c r="X663" i="2"/>
  <c r="X662" i="2"/>
  <c r="X661" i="2"/>
  <c r="X660" i="2"/>
  <c r="X659" i="2"/>
  <c r="X658" i="2"/>
  <c r="X657" i="2"/>
  <c r="X656" i="2"/>
  <c r="X655" i="2"/>
  <c r="X654" i="2"/>
  <c r="X653" i="2"/>
  <c r="X652" i="2"/>
  <c r="X651" i="2"/>
  <c r="X650" i="2"/>
  <c r="X649" i="2"/>
  <c r="X648" i="2"/>
  <c r="X647" i="2"/>
  <c r="X646" i="2"/>
  <c r="X645" i="2"/>
  <c r="X644" i="2"/>
  <c r="X643" i="2"/>
  <c r="X642" i="2"/>
  <c r="X641" i="2"/>
  <c r="X640" i="2"/>
  <c r="X639" i="2"/>
  <c r="X638" i="2"/>
  <c r="X637" i="2"/>
  <c r="X636" i="2"/>
  <c r="X635" i="2"/>
  <c r="X634" i="2"/>
  <c r="X633" i="2"/>
  <c r="X632" i="2"/>
  <c r="X631" i="2"/>
  <c r="X630" i="2"/>
  <c r="X629" i="2"/>
  <c r="X628" i="2"/>
  <c r="X627" i="2"/>
  <c r="X626" i="2"/>
  <c r="X625" i="2"/>
  <c r="X624" i="2"/>
  <c r="X623" i="2"/>
  <c r="X622" i="2"/>
  <c r="X621" i="2"/>
  <c r="X620" i="2"/>
  <c r="X619" i="2"/>
  <c r="X618" i="2"/>
  <c r="X617" i="2"/>
  <c r="X616" i="2"/>
  <c r="X615" i="2"/>
  <c r="X614" i="2"/>
  <c r="X613" i="2"/>
  <c r="X612" i="2"/>
  <c r="X611" i="2"/>
  <c r="X610" i="2"/>
  <c r="X609" i="2"/>
  <c r="X608" i="2"/>
  <c r="X607" i="2"/>
  <c r="X606" i="2"/>
  <c r="X605" i="2"/>
  <c r="X604" i="2"/>
  <c r="X603" i="2"/>
  <c r="X602" i="2"/>
  <c r="X601" i="2"/>
  <c r="X600" i="2"/>
  <c r="X599" i="2"/>
  <c r="X598" i="2"/>
  <c r="X597" i="2"/>
  <c r="X596" i="2"/>
  <c r="X595" i="2"/>
  <c r="X594" i="2"/>
  <c r="X593" i="2"/>
  <c r="X592" i="2"/>
  <c r="X591" i="2"/>
  <c r="X590" i="2"/>
  <c r="X589" i="2"/>
  <c r="X588" i="2"/>
  <c r="X587" i="2"/>
  <c r="X586" i="2"/>
  <c r="X585" i="2"/>
  <c r="X584" i="2"/>
  <c r="X583" i="2"/>
  <c r="X582" i="2"/>
  <c r="X581" i="2"/>
  <c r="X580" i="2"/>
  <c r="X579" i="2"/>
  <c r="X578" i="2"/>
  <c r="X577" i="2"/>
  <c r="X576" i="2"/>
  <c r="X575" i="2"/>
  <c r="X574" i="2"/>
  <c r="X573" i="2"/>
  <c r="X572" i="2"/>
  <c r="X571" i="2"/>
  <c r="X570" i="2"/>
  <c r="X569" i="2"/>
  <c r="X568" i="2"/>
  <c r="X567" i="2"/>
  <c r="X566" i="2"/>
  <c r="X565" i="2"/>
  <c r="X564" i="2"/>
  <c r="X563" i="2"/>
  <c r="X562" i="2"/>
  <c r="X561" i="2"/>
  <c r="X560" i="2"/>
  <c r="X559" i="2"/>
  <c r="X558" i="2"/>
  <c r="X557" i="2"/>
  <c r="X556" i="2"/>
  <c r="X555" i="2"/>
  <c r="X554" i="2"/>
  <c r="X553" i="2"/>
  <c r="X552" i="2"/>
  <c r="X551" i="2"/>
  <c r="X550" i="2"/>
  <c r="X549" i="2"/>
  <c r="X548" i="2"/>
  <c r="X547" i="2"/>
  <c r="X546" i="2"/>
  <c r="X545" i="2"/>
  <c r="X544" i="2"/>
  <c r="X543" i="2"/>
  <c r="X542" i="2"/>
  <c r="X541" i="2"/>
  <c r="X540" i="2"/>
  <c r="X539" i="2"/>
  <c r="X538" i="2"/>
  <c r="X537" i="2"/>
  <c r="X536" i="2"/>
  <c r="X535" i="2"/>
  <c r="X534" i="2"/>
  <c r="X533" i="2"/>
  <c r="X532" i="2"/>
  <c r="X531" i="2"/>
  <c r="X530" i="2"/>
  <c r="X529" i="2"/>
  <c r="X528" i="2"/>
  <c r="X527" i="2"/>
  <c r="X526" i="2"/>
  <c r="X525" i="2"/>
  <c r="X524" i="2"/>
  <c r="X523" i="2"/>
  <c r="X522" i="2"/>
  <c r="X521" i="2"/>
  <c r="X520" i="2"/>
  <c r="X519" i="2"/>
  <c r="X518" i="2"/>
  <c r="X517" i="2"/>
  <c r="X516" i="2"/>
  <c r="X515" i="2"/>
  <c r="X514" i="2"/>
  <c r="X513" i="2"/>
  <c r="X512" i="2"/>
  <c r="X511" i="2"/>
  <c r="X510" i="2"/>
  <c r="X509" i="2"/>
  <c r="X508" i="2"/>
  <c r="X507" i="2"/>
  <c r="X506" i="2"/>
  <c r="X505" i="2"/>
  <c r="X504" i="2"/>
  <c r="X503" i="2"/>
  <c r="X502" i="2"/>
  <c r="X501" i="2"/>
  <c r="X500" i="2"/>
  <c r="X499" i="2"/>
  <c r="X498" i="2"/>
  <c r="X497" i="2"/>
  <c r="X496" i="2"/>
  <c r="X495" i="2"/>
  <c r="X494" i="2"/>
  <c r="X493" i="2"/>
  <c r="X492" i="2"/>
  <c r="X491" i="2"/>
  <c r="X490" i="2"/>
  <c r="X489" i="2"/>
  <c r="X488" i="2"/>
  <c r="X487" i="2"/>
  <c r="X486" i="2"/>
  <c r="X485" i="2"/>
  <c r="X484" i="2"/>
  <c r="X483" i="2"/>
  <c r="X482" i="2"/>
  <c r="X481" i="2"/>
  <c r="X480" i="2"/>
  <c r="X479" i="2"/>
  <c r="X478" i="2"/>
  <c r="X477" i="2"/>
  <c r="X476" i="2"/>
  <c r="X475" i="2"/>
  <c r="X474" i="2"/>
  <c r="X473" i="2"/>
  <c r="X472" i="2"/>
  <c r="X471" i="2"/>
  <c r="X470" i="2"/>
  <c r="X469" i="2"/>
  <c r="X468" i="2"/>
  <c r="X467" i="2"/>
  <c r="X466" i="2"/>
  <c r="X465" i="2"/>
  <c r="X464" i="2"/>
  <c r="X463" i="2"/>
  <c r="X462" i="2"/>
  <c r="X461" i="2"/>
  <c r="X460" i="2"/>
  <c r="X459" i="2"/>
  <c r="X458" i="2"/>
  <c r="X457" i="2"/>
  <c r="X456" i="2"/>
  <c r="X455" i="2"/>
  <c r="X454" i="2"/>
  <c r="X453" i="2"/>
  <c r="X452" i="2"/>
  <c r="X451" i="2"/>
  <c r="X450" i="2"/>
  <c r="X449" i="2"/>
  <c r="X448" i="2"/>
  <c r="X447" i="2"/>
  <c r="X446" i="2"/>
  <c r="X445" i="2"/>
  <c r="X444" i="2"/>
  <c r="X443" i="2"/>
  <c r="X442" i="2"/>
  <c r="X441" i="2"/>
  <c r="X440" i="2"/>
  <c r="X439" i="2"/>
  <c r="X438" i="2"/>
  <c r="X437" i="2"/>
  <c r="X436" i="2"/>
  <c r="X435" i="2"/>
  <c r="X434" i="2"/>
  <c r="X433" i="2"/>
  <c r="X432" i="2"/>
  <c r="X431" i="2"/>
  <c r="X430" i="2"/>
  <c r="X429" i="2"/>
  <c r="X428" i="2"/>
  <c r="X427" i="2"/>
  <c r="X426" i="2"/>
  <c r="X425" i="2"/>
  <c r="X424" i="2"/>
  <c r="X423" i="2"/>
  <c r="X422" i="2"/>
  <c r="X421" i="2"/>
  <c r="X420" i="2"/>
  <c r="X419" i="2"/>
  <c r="X418" i="2"/>
  <c r="X417" i="2"/>
  <c r="X416" i="2"/>
  <c r="X415" i="2"/>
  <c r="X414" i="2"/>
  <c r="X413" i="2"/>
  <c r="X412" i="2"/>
  <c r="X411" i="2"/>
  <c r="X410" i="2"/>
  <c r="X409" i="2"/>
  <c r="X408" i="2"/>
  <c r="X407" i="2"/>
  <c r="X406" i="2"/>
  <c r="X405" i="2"/>
  <c r="X404" i="2"/>
  <c r="X403" i="2"/>
  <c r="X402" i="2"/>
  <c r="X401" i="2"/>
  <c r="X400" i="2"/>
  <c r="X399" i="2"/>
  <c r="X398" i="2"/>
  <c r="X397" i="2"/>
  <c r="X396" i="2"/>
  <c r="X395" i="2"/>
  <c r="X394" i="2"/>
  <c r="X393" i="2"/>
  <c r="X392" i="2"/>
  <c r="X391" i="2"/>
  <c r="X390" i="2"/>
  <c r="X389" i="2"/>
  <c r="X388" i="2"/>
  <c r="X387" i="2"/>
  <c r="X386" i="2"/>
  <c r="X385" i="2"/>
  <c r="X384" i="2"/>
  <c r="X383" i="2"/>
  <c r="X382" i="2"/>
  <c r="X381" i="2"/>
  <c r="X380" i="2"/>
  <c r="X379" i="2"/>
  <c r="X378" i="2"/>
  <c r="X377" i="2"/>
  <c r="X376" i="2"/>
  <c r="X375" i="2"/>
  <c r="X374" i="2"/>
  <c r="X373" i="2"/>
  <c r="X372" i="2"/>
  <c r="X371" i="2"/>
  <c r="X370" i="2"/>
  <c r="X369" i="2"/>
  <c r="X368" i="2"/>
  <c r="X367" i="2"/>
  <c r="X366" i="2"/>
  <c r="X365" i="2"/>
  <c r="X364" i="2"/>
  <c r="X363" i="2"/>
  <c r="X362" i="2"/>
  <c r="X361" i="2"/>
  <c r="X360" i="2"/>
  <c r="X359" i="2"/>
  <c r="X358" i="2"/>
  <c r="X357" i="2"/>
  <c r="X356" i="2"/>
  <c r="X355" i="2"/>
  <c r="X354" i="2"/>
  <c r="X353" i="2"/>
  <c r="X352" i="2"/>
  <c r="X351" i="2"/>
  <c r="X350" i="2"/>
  <c r="X349" i="2"/>
  <c r="X348" i="2"/>
  <c r="X347" i="2"/>
  <c r="X346" i="2"/>
  <c r="X345" i="2"/>
  <c r="X344" i="2"/>
  <c r="X343" i="2"/>
  <c r="X342" i="2"/>
  <c r="X341" i="2"/>
  <c r="X340" i="2"/>
  <c r="X339" i="2"/>
  <c r="X338" i="2"/>
  <c r="X337" i="2"/>
  <c r="X336" i="2"/>
  <c r="X335" i="2"/>
  <c r="X334" i="2"/>
  <c r="X333" i="2"/>
  <c r="X332" i="2"/>
  <c r="X331" i="2"/>
  <c r="X330" i="2"/>
  <c r="X329" i="2"/>
  <c r="X328" i="2"/>
  <c r="X327" i="2"/>
  <c r="X326" i="2"/>
  <c r="X325" i="2"/>
  <c r="X324" i="2"/>
  <c r="X323" i="2"/>
  <c r="X322" i="2"/>
  <c r="X321" i="2"/>
  <c r="X320" i="2"/>
  <c r="X319" i="2"/>
  <c r="X318" i="2"/>
  <c r="X317" i="2"/>
  <c r="X316" i="2"/>
  <c r="X315" i="2"/>
  <c r="X314" i="2"/>
  <c r="X313" i="2"/>
  <c r="X312" i="2"/>
  <c r="X311" i="2"/>
  <c r="X310" i="2"/>
  <c r="X309" i="2"/>
  <c r="X308" i="2"/>
  <c r="X307" i="2"/>
  <c r="X306" i="2"/>
  <c r="X305" i="2"/>
  <c r="X304" i="2"/>
  <c r="X303" i="2"/>
  <c r="X302" i="2"/>
  <c r="X301" i="2"/>
  <c r="X300" i="2"/>
  <c r="X299" i="2"/>
  <c r="X298" i="2"/>
  <c r="X297" i="2"/>
  <c r="X296" i="2"/>
  <c r="X295" i="2"/>
  <c r="X294" i="2"/>
  <c r="X293" i="2"/>
  <c r="X292" i="2"/>
  <c r="X291" i="2"/>
  <c r="X290" i="2"/>
  <c r="X289" i="2"/>
  <c r="X288" i="2"/>
  <c r="X287" i="2"/>
  <c r="X286" i="2"/>
  <c r="X285" i="2"/>
  <c r="X284" i="2"/>
  <c r="X283" i="2"/>
  <c r="X282" i="2"/>
  <c r="X281" i="2"/>
  <c r="X280" i="2"/>
  <c r="X279" i="2"/>
  <c r="X278" i="2"/>
  <c r="X277" i="2"/>
  <c r="X276" i="2"/>
  <c r="X275" i="2"/>
  <c r="X274" i="2"/>
  <c r="X273" i="2"/>
  <c r="X272" i="2"/>
  <c r="X271" i="2"/>
  <c r="X270" i="2"/>
  <c r="X269" i="2"/>
  <c r="X268" i="2"/>
  <c r="X267" i="2"/>
  <c r="X266" i="2"/>
  <c r="X265" i="2"/>
  <c r="X264" i="2"/>
  <c r="X263" i="2"/>
  <c r="X262" i="2"/>
  <c r="X261" i="2"/>
  <c r="X260" i="2"/>
  <c r="X259" i="2"/>
  <c r="X258" i="2"/>
  <c r="X257" i="2"/>
  <c r="X256" i="2"/>
  <c r="X255" i="2"/>
  <c r="X254" i="2"/>
  <c r="X253" i="2"/>
  <c r="X252" i="2"/>
  <c r="X251" i="2"/>
  <c r="X250" i="2"/>
  <c r="X249" i="2"/>
  <c r="X248" i="2"/>
  <c r="X247" i="2"/>
  <c r="X246" i="2"/>
  <c r="X245" i="2"/>
  <c r="X244" i="2"/>
  <c r="X243" i="2"/>
  <c r="X242" i="2"/>
  <c r="X241" i="2"/>
  <c r="X240" i="2"/>
  <c r="X239" i="2"/>
  <c r="X238" i="2"/>
  <c r="X237" i="2"/>
  <c r="X236" i="2"/>
  <c r="X235" i="2"/>
  <c r="X234" i="2"/>
  <c r="X233" i="2"/>
  <c r="X232" i="2"/>
  <c r="X231" i="2"/>
  <c r="X230" i="2"/>
  <c r="X229" i="2"/>
  <c r="X228" i="2"/>
  <c r="X227" i="2"/>
  <c r="X226" i="2"/>
  <c r="X225" i="2"/>
  <c r="X224" i="2"/>
  <c r="X223" i="2"/>
  <c r="X222" i="2"/>
  <c r="X221" i="2"/>
  <c r="X220" i="2"/>
  <c r="X219" i="2"/>
  <c r="X218" i="2"/>
  <c r="X217" i="2"/>
  <c r="X216" i="2"/>
  <c r="X215" i="2"/>
  <c r="X214" i="2"/>
  <c r="X213" i="2"/>
  <c r="X212" i="2"/>
  <c r="X211" i="2"/>
  <c r="X210" i="2"/>
  <c r="X209" i="2"/>
  <c r="X208" i="2"/>
  <c r="X207" i="2"/>
  <c r="X206" i="2"/>
  <c r="X205" i="2"/>
  <c r="X204" i="2"/>
  <c r="X203" i="2"/>
  <c r="X202" i="2"/>
  <c r="X201" i="2"/>
  <c r="X200" i="2"/>
  <c r="X199" i="2"/>
  <c r="X198" i="2"/>
  <c r="X197" i="2"/>
  <c r="X196" i="2"/>
  <c r="X195" i="2"/>
  <c r="X194" i="2"/>
  <c r="X193" i="2"/>
  <c r="X192" i="2"/>
  <c r="X191" i="2"/>
  <c r="X190" i="2"/>
  <c r="X189" i="2"/>
  <c r="X188" i="2"/>
  <c r="X187" i="2"/>
  <c r="X186" i="2"/>
  <c r="X185" i="2"/>
  <c r="X184" i="2"/>
  <c r="X183" i="2"/>
  <c r="X182" i="2"/>
  <c r="X181" i="2"/>
  <c r="X180" i="2"/>
  <c r="X179" i="2"/>
  <c r="X178" i="2"/>
  <c r="X177" i="2"/>
  <c r="X176" i="2"/>
  <c r="X175" i="2"/>
  <c r="X174" i="2"/>
  <c r="X173" i="2"/>
  <c r="X172" i="2"/>
  <c r="X171" i="2"/>
  <c r="X170" i="2"/>
  <c r="X169" i="2"/>
  <c r="X168" i="2"/>
  <c r="X167" i="2"/>
  <c r="X166" i="2"/>
  <c r="X165" i="2"/>
  <c r="X164" i="2"/>
  <c r="X163" i="2"/>
  <c r="X162" i="2"/>
  <c r="X161" i="2"/>
  <c r="X160" i="2"/>
  <c r="X159" i="2"/>
  <c r="X158" i="2"/>
  <c r="X157" i="2"/>
  <c r="X156" i="2"/>
  <c r="X155" i="2"/>
  <c r="X154" i="2"/>
  <c r="X153" i="2"/>
  <c r="X152" i="2"/>
  <c r="X151" i="2"/>
  <c r="X150" i="2"/>
  <c r="X149" i="2"/>
  <c r="X148" i="2"/>
  <c r="X147" i="2"/>
  <c r="X146" i="2"/>
  <c r="X145" i="2"/>
  <c r="X144" i="2"/>
  <c r="X143" i="2"/>
  <c r="X142" i="2"/>
  <c r="X141" i="2"/>
  <c r="X140" i="2"/>
  <c r="X139" i="2"/>
  <c r="X138" i="2"/>
  <c r="X137" i="2"/>
  <c r="X136" i="2"/>
  <c r="X135" i="2"/>
  <c r="X134" i="2"/>
  <c r="X133" i="2"/>
  <c r="X132" i="2"/>
  <c r="X131" i="2"/>
  <c r="X130" i="2"/>
  <c r="X129" i="2"/>
  <c r="X128" i="2"/>
  <c r="X127" i="2"/>
  <c r="X126" i="2"/>
  <c r="X125" i="2"/>
  <c r="X124" i="2"/>
  <c r="X123" i="2"/>
  <c r="X122" i="2"/>
  <c r="X121" i="2"/>
  <c r="X120" i="2"/>
  <c r="X119" i="2"/>
  <c r="X118" i="2"/>
  <c r="X117" i="2"/>
  <c r="X116" i="2"/>
  <c r="X115" i="2"/>
  <c r="X114" i="2"/>
  <c r="X113" i="2"/>
  <c r="X112" i="2"/>
  <c r="X111" i="2"/>
  <c r="X110" i="2"/>
  <c r="X109" i="2"/>
  <c r="X108" i="2"/>
  <c r="X107" i="2"/>
  <c r="X106" i="2"/>
  <c r="X105" i="2"/>
  <c r="X104" i="2"/>
  <c r="X103" i="2"/>
  <c r="X102" i="2"/>
  <c r="X101" i="2"/>
  <c r="X100" i="2"/>
  <c r="X99" i="2"/>
  <c r="X98" i="2"/>
  <c r="X97" i="2"/>
  <c r="X96" i="2"/>
  <c r="X95" i="2"/>
  <c r="X94" i="2"/>
  <c r="X93" i="2"/>
  <c r="X92" i="2"/>
  <c r="X91" i="2"/>
  <c r="X90" i="2"/>
  <c r="X89" i="2"/>
  <c r="X88" i="2"/>
  <c r="X87" i="2"/>
  <c r="X86" i="2"/>
  <c r="X85" i="2"/>
  <c r="X84" i="2"/>
  <c r="X83" i="2"/>
  <c r="X82" i="2"/>
  <c r="X81" i="2"/>
  <c r="X80" i="2"/>
  <c r="X79" i="2"/>
  <c r="X78" i="2"/>
  <c r="X77" i="2"/>
  <c r="X76" i="2"/>
  <c r="X75" i="2"/>
  <c r="X74" i="2"/>
  <c r="X73" i="2"/>
  <c r="X72" i="2"/>
  <c r="X71" i="2"/>
  <c r="X70" i="2"/>
  <c r="X69" i="2"/>
  <c r="X68" i="2"/>
  <c r="X67" i="2"/>
  <c r="X66" i="2"/>
  <c r="X65" i="2"/>
  <c r="X64" i="2"/>
  <c r="X63" i="2"/>
  <c r="X62" i="2"/>
  <c r="X61" i="2"/>
  <c r="X60" i="2"/>
  <c r="X59" i="2"/>
  <c r="X58" i="2"/>
  <c r="X57" i="2"/>
  <c r="X56" i="2"/>
  <c r="X55" i="2"/>
  <c r="X54" i="2"/>
  <c r="X53" i="2"/>
  <c r="X52" i="2"/>
  <c r="X51" i="2"/>
  <c r="X50" i="2"/>
  <c r="X49" i="2"/>
  <c r="X48" i="2"/>
  <c r="X47" i="2"/>
  <c r="X46" i="2"/>
  <c r="X45" i="2"/>
  <c r="X44" i="2"/>
  <c r="X43" i="2"/>
  <c r="X42" i="2"/>
  <c r="X41" i="2"/>
  <c r="X40" i="2"/>
  <c r="X39" i="2"/>
  <c r="X38" i="2"/>
  <c r="X37" i="2"/>
  <c r="X36" i="2"/>
  <c r="X35" i="2"/>
  <c r="X34" i="2"/>
  <c r="X33" i="2"/>
  <c r="X32" i="2"/>
  <c r="X31" i="2"/>
  <c r="X30" i="2"/>
  <c r="X29" i="2"/>
  <c r="X28" i="2"/>
  <c r="X27" i="2"/>
  <c r="X26" i="2"/>
  <c r="X25" i="2"/>
  <c r="X24" i="2"/>
  <c r="X23" i="2"/>
  <c r="X22" i="2"/>
  <c r="X21" i="2"/>
  <c r="X20" i="2"/>
  <c r="X19" i="2"/>
  <c r="X18" i="2"/>
  <c r="X17" i="2"/>
  <c r="X16" i="2"/>
  <c r="X15" i="2"/>
  <c r="X14" i="2"/>
  <c r="X13" i="2"/>
  <c r="X12" i="2"/>
  <c r="X11" i="2"/>
  <c r="X10" i="2"/>
  <c r="X9" i="2"/>
  <c r="X8" i="2"/>
  <c r="X7" i="2"/>
  <c r="X6" i="2"/>
  <c r="X5" i="2"/>
  <c r="X4" i="2"/>
  <c r="X3" i="2"/>
  <c r="X2" i="2"/>
  <c r="S1000" i="2"/>
  <c r="S999" i="2"/>
  <c r="S998" i="2"/>
  <c r="S997" i="2"/>
  <c r="S996" i="2"/>
  <c r="S995" i="2"/>
  <c r="S994" i="2"/>
  <c r="S993" i="2"/>
  <c r="S992" i="2"/>
  <c r="S991" i="2"/>
  <c r="S990" i="2"/>
  <c r="S989" i="2"/>
  <c r="S988" i="2"/>
  <c r="S987" i="2"/>
  <c r="S986" i="2"/>
  <c r="S985" i="2"/>
  <c r="S984" i="2"/>
  <c r="S983" i="2"/>
  <c r="S982" i="2"/>
  <c r="S981" i="2"/>
  <c r="S980" i="2"/>
  <c r="S979" i="2"/>
  <c r="S978" i="2"/>
  <c r="S977" i="2"/>
  <c r="S976" i="2"/>
  <c r="S975" i="2"/>
  <c r="S974" i="2"/>
  <c r="S973" i="2"/>
  <c r="S972" i="2"/>
  <c r="S971" i="2"/>
  <c r="S970" i="2"/>
  <c r="S969" i="2"/>
  <c r="S968" i="2"/>
  <c r="S967" i="2"/>
  <c r="S966" i="2"/>
  <c r="S965" i="2"/>
  <c r="S964" i="2"/>
  <c r="S963" i="2"/>
  <c r="S962" i="2"/>
  <c r="S961" i="2"/>
  <c r="S960" i="2"/>
  <c r="S959" i="2"/>
  <c r="S958" i="2"/>
  <c r="S957" i="2"/>
  <c r="S956" i="2"/>
  <c r="S955" i="2"/>
  <c r="S954" i="2"/>
  <c r="S953" i="2"/>
  <c r="S952" i="2"/>
  <c r="S951" i="2"/>
  <c r="S950" i="2"/>
  <c r="S949" i="2"/>
  <c r="S948" i="2"/>
  <c r="S947" i="2"/>
  <c r="S946" i="2"/>
  <c r="S945" i="2"/>
  <c r="S944" i="2"/>
  <c r="S943" i="2"/>
  <c r="S942" i="2"/>
  <c r="S941" i="2"/>
  <c r="S940" i="2"/>
  <c r="S939" i="2"/>
  <c r="S938" i="2"/>
  <c r="S937" i="2"/>
  <c r="S936" i="2"/>
  <c r="S935" i="2"/>
  <c r="S934" i="2"/>
  <c r="S933" i="2"/>
  <c r="S932" i="2"/>
  <c r="S931" i="2"/>
  <c r="S930" i="2"/>
  <c r="S929" i="2"/>
  <c r="S928" i="2"/>
  <c r="S927" i="2"/>
  <c r="S926" i="2"/>
  <c r="S925" i="2"/>
  <c r="S924" i="2"/>
  <c r="S923" i="2"/>
  <c r="S922" i="2"/>
  <c r="S921" i="2"/>
  <c r="S920" i="2"/>
  <c r="S919" i="2"/>
  <c r="S918" i="2"/>
  <c r="S917" i="2"/>
  <c r="S916" i="2"/>
  <c r="S915" i="2"/>
  <c r="S914" i="2"/>
  <c r="S913" i="2"/>
  <c r="S912" i="2"/>
  <c r="S911" i="2"/>
  <c r="S910" i="2"/>
  <c r="S909" i="2"/>
  <c r="S908" i="2"/>
  <c r="S907" i="2"/>
  <c r="S906" i="2"/>
  <c r="S905" i="2"/>
  <c r="S904" i="2"/>
  <c r="S903" i="2"/>
  <c r="S902" i="2"/>
  <c r="S901" i="2"/>
  <c r="S900" i="2"/>
  <c r="S899" i="2"/>
  <c r="S898" i="2"/>
  <c r="S897" i="2"/>
  <c r="S896" i="2"/>
  <c r="S895" i="2"/>
  <c r="S894" i="2"/>
  <c r="S893" i="2"/>
  <c r="S892" i="2"/>
  <c r="S891" i="2"/>
  <c r="S890" i="2"/>
  <c r="S889" i="2"/>
  <c r="S888" i="2"/>
  <c r="S887" i="2"/>
  <c r="S886" i="2"/>
  <c r="S885" i="2"/>
  <c r="S884" i="2"/>
  <c r="S883" i="2"/>
  <c r="S882" i="2"/>
  <c r="S881" i="2"/>
  <c r="S880" i="2"/>
  <c r="S879" i="2"/>
  <c r="S878" i="2"/>
  <c r="S877" i="2"/>
  <c r="S876" i="2"/>
  <c r="S875" i="2"/>
  <c r="S874" i="2"/>
  <c r="S873" i="2"/>
  <c r="S872" i="2"/>
  <c r="S871" i="2"/>
  <c r="S870" i="2"/>
  <c r="S869" i="2"/>
  <c r="S868" i="2"/>
  <c r="S867" i="2"/>
  <c r="S866" i="2"/>
  <c r="S865" i="2"/>
  <c r="S864" i="2"/>
  <c r="S863" i="2"/>
  <c r="S862" i="2"/>
  <c r="S861" i="2"/>
  <c r="S860" i="2"/>
  <c r="S859" i="2"/>
  <c r="S858" i="2"/>
  <c r="S857" i="2"/>
  <c r="S856" i="2"/>
  <c r="S855" i="2"/>
  <c r="S854" i="2"/>
  <c r="S853" i="2"/>
  <c r="S852" i="2"/>
  <c r="S851" i="2"/>
  <c r="S850" i="2"/>
  <c r="S849" i="2"/>
  <c r="S848" i="2"/>
  <c r="S847" i="2"/>
  <c r="S846" i="2"/>
  <c r="S845" i="2"/>
  <c r="S844" i="2"/>
  <c r="S843" i="2"/>
  <c r="S842" i="2"/>
  <c r="S841" i="2"/>
  <c r="S840" i="2"/>
  <c r="S839" i="2"/>
  <c r="S838" i="2"/>
  <c r="S837" i="2"/>
  <c r="S836" i="2"/>
  <c r="S835" i="2"/>
  <c r="S834" i="2"/>
  <c r="S833" i="2"/>
  <c r="S832" i="2"/>
  <c r="S831" i="2"/>
  <c r="S830" i="2"/>
  <c r="S829" i="2"/>
  <c r="S828" i="2"/>
  <c r="S827" i="2"/>
  <c r="S826" i="2"/>
  <c r="S825" i="2"/>
  <c r="S824" i="2"/>
  <c r="S823" i="2"/>
  <c r="S822" i="2"/>
  <c r="S821" i="2"/>
  <c r="S820" i="2"/>
  <c r="S819" i="2"/>
  <c r="S818" i="2"/>
  <c r="S817" i="2"/>
  <c r="S816" i="2"/>
  <c r="S815" i="2"/>
  <c r="S814" i="2"/>
  <c r="S813" i="2"/>
  <c r="S812" i="2"/>
  <c r="S811" i="2"/>
  <c r="S810" i="2"/>
  <c r="S809" i="2"/>
  <c r="S808" i="2"/>
  <c r="S807" i="2"/>
  <c r="S806" i="2"/>
  <c r="S805" i="2"/>
  <c r="S804" i="2"/>
  <c r="S803" i="2"/>
  <c r="S802" i="2"/>
  <c r="S801" i="2"/>
  <c r="S800" i="2"/>
  <c r="S799" i="2"/>
  <c r="S798" i="2"/>
  <c r="S797" i="2"/>
  <c r="S796" i="2"/>
  <c r="S795" i="2"/>
  <c r="S794" i="2"/>
  <c r="S793" i="2"/>
  <c r="S792" i="2"/>
  <c r="S791" i="2"/>
  <c r="S790" i="2"/>
  <c r="S789" i="2"/>
  <c r="S788" i="2"/>
  <c r="S787" i="2"/>
  <c r="S786" i="2"/>
  <c r="S785" i="2"/>
  <c r="S784" i="2"/>
  <c r="S783" i="2"/>
  <c r="S782" i="2"/>
  <c r="S781" i="2"/>
  <c r="S780" i="2"/>
  <c r="S779" i="2"/>
  <c r="S778" i="2"/>
  <c r="S777" i="2"/>
  <c r="S776" i="2"/>
  <c r="S775" i="2"/>
  <c r="S774" i="2"/>
  <c r="S773" i="2"/>
  <c r="S772" i="2"/>
  <c r="S771" i="2"/>
  <c r="S770" i="2"/>
  <c r="S769" i="2"/>
  <c r="S768" i="2"/>
  <c r="S767" i="2"/>
  <c r="S766" i="2"/>
  <c r="S765" i="2"/>
  <c r="S764" i="2"/>
  <c r="S763" i="2"/>
  <c r="S762" i="2"/>
  <c r="S761" i="2"/>
  <c r="S760" i="2"/>
  <c r="S759" i="2"/>
  <c r="S758" i="2"/>
  <c r="S757" i="2"/>
  <c r="S756" i="2"/>
  <c r="S755" i="2"/>
  <c r="S754" i="2"/>
  <c r="S753" i="2"/>
  <c r="S752" i="2"/>
  <c r="S751" i="2"/>
  <c r="S750" i="2"/>
  <c r="S749" i="2"/>
  <c r="S748" i="2"/>
  <c r="S747" i="2"/>
  <c r="S746" i="2"/>
  <c r="S745" i="2"/>
  <c r="S744" i="2"/>
  <c r="S743" i="2"/>
  <c r="S742" i="2"/>
  <c r="S741" i="2"/>
  <c r="S740" i="2"/>
  <c r="S739" i="2"/>
  <c r="S738" i="2"/>
  <c r="S737" i="2"/>
  <c r="S736" i="2"/>
  <c r="S735" i="2"/>
  <c r="S734" i="2"/>
  <c r="S733" i="2"/>
  <c r="S732" i="2"/>
  <c r="S731" i="2"/>
  <c r="S730" i="2"/>
  <c r="S729" i="2"/>
  <c r="S728" i="2"/>
  <c r="S727" i="2"/>
  <c r="S726" i="2"/>
  <c r="S725" i="2"/>
  <c r="S724" i="2"/>
  <c r="S723" i="2"/>
  <c r="S722" i="2"/>
  <c r="S721" i="2"/>
  <c r="S720" i="2"/>
  <c r="S719" i="2"/>
  <c r="S718" i="2"/>
  <c r="S717" i="2"/>
  <c r="S716" i="2"/>
  <c r="S715" i="2"/>
  <c r="S714" i="2"/>
  <c r="S713" i="2"/>
  <c r="S712" i="2"/>
  <c r="S711" i="2"/>
  <c r="S710" i="2"/>
  <c r="S709" i="2"/>
  <c r="S708" i="2"/>
  <c r="S707" i="2"/>
  <c r="S706" i="2"/>
  <c r="S705" i="2"/>
  <c r="S704" i="2"/>
  <c r="S703" i="2"/>
  <c r="S702" i="2"/>
  <c r="S701" i="2"/>
  <c r="S700" i="2"/>
  <c r="S699" i="2"/>
  <c r="S698" i="2"/>
  <c r="S697" i="2"/>
  <c r="S696" i="2"/>
  <c r="S695" i="2"/>
  <c r="S694" i="2"/>
  <c r="S693" i="2"/>
  <c r="S692" i="2"/>
  <c r="S691" i="2"/>
  <c r="S690" i="2"/>
  <c r="S689" i="2"/>
  <c r="S688" i="2"/>
  <c r="S687" i="2"/>
  <c r="S686" i="2"/>
  <c r="S685" i="2"/>
  <c r="S684" i="2"/>
  <c r="S683" i="2"/>
  <c r="S682" i="2"/>
  <c r="S681" i="2"/>
  <c r="S680" i="2"/>
  <c r="S679" i="2"/>
  <c r="S678" i="2"/>
  <c r="S677" i="2"/>
  <c r="S676" i="2"/>
  <c r="S675" i="2"/>
  <c r="S674" i="2"/>
  <c r="S673" i="2"/>
  <c r="S672" i="2"/>
  <c r="S671" i="2"/>
  <c r="S670" i="2"/>
  <c r="S669" i="2"/>
  <c r="S668" i="2"/>
  <c r="S667" i="2"/>
  <c r="S666" i="2"/>
  <c r="S665" i="2"/>
  <c r="S664" i="2"/>
  <c r="S663" i="2"/>
  <c r="S662" i="2"/>
  <c r="S661" i="2"/>
  <c r="S660" i="2"/>
  <c r="S659" i="2"/>
  <c r="S658" i="2"/>
  <c r="S657" i="2"/>
  <c r="S656" i="2"/>
  <c r="S655" i="2"/>
  <c r="S654" i="2"/>
  <c r="S653" i="2"/>
  <c r="S652" i="2"/>
  <c r="S651" i="2"/>
  <c r="S650" i="2"/>
  <c r="S649" i="2"/>
  <c r="S648" i="2"/>
  <c r="S647" i="2"/>
  <c r="S646" i="2"/>
  <c r="S645" i="2"/>
  <c r="S644" i="2"/>
  <c r="S643" i="2"/>
  <c r="S642" i="2"/>
  <c r="S641" i="2"/>
  <c r="S640" i="2"/>
  <c r="S639" i="2"/>
  <c r="S638" i="2"/>
  <c r="S637" i="2"/>
  <c r="S636" i="2"/>
  <c r="S635" i="2"/>
  <c r="S634" i="2"/>
  <c r="S633" i="2"/>
  <c r="S632" i="2"/>
  <c r="S631" i="2"/>
  <c r="S630" i="2"/>
  <c r="S629" i="2"/>
  <c r="S628" i="2"/>
  <c r="S627" i="2"/>
  <c r="S626" i="2"/>
  <c r="S625" i="2"/>
  <c r="S624" i="2"/>
  <c r="S623" i="2"/>
  <c r="S622" i="2"/>
  <c r="S621" i="2"/>
  <c r="S620" i="2"/>
  <c r="S619" i="2"/>
  <c r="S618" i="2"/>
  <c r="S617" i="2"/>
  <c r="S616" i="2"/>
  <c r="S615" i="2"/>
  <c r="S614" i="2"/>
  <c r="S613" i="2"/>
  <c r="S612" i="2"/>
  <c r="S611" i="2"/>
  <c r="S610" i="2"/>
  <c r="S609" i="2"/>
  <c r="S608" i="2"/>
  <c r="S607" i="2"/>
  <c r="S606" i="2"/>
  <c r="S605" i="2"/>
  <c r="S604" i="2"/>
  <c r="S603" i="2"/>
  <c r="S602" i="2"/>
  <c r="S601" i="2"/>
  <c r="S600" i="2"/>
  <c r="S599" i="2"/>
  <c r="S598" i="2"/>
  <c r="S597" i="2"/>
  <c r="S596" i="2"/>
  <c r="S595" i="2"/>
  <c r="S594" i="2"/>
  <c r="S593" i="2"/>
  <c r="S592" i="2"/>
  <c r="S591" i="2"/>
  <c r="S590" i="2"/>
  <c r="S589" i="2"/>
  <c r="S588" i="2"/>
  <c r="S587" i="2"/>
  <c r="S586" i="2"/>
  <c r="S585" i="2"/>
  <c r="S584" i="2"/>
  <c r="S583" i="2"/>
  <c r="S582" i="2"/>
  <c r="S581" i="2"/>
  <c r="S580" i="2"/>
  <c r="S579" i="2"/>
  <c r="S578" i="2"/>
  <c r="S577" i="2"/>
  <c r="S576" i="2"/>
  <c r="S575" i="2"/>
  <c r="S574" i="2"/>
  <c r="S573" i="2"/>
  <c r="S572" i="2"/>
  <c r="S571" i="2"/>
  <c r="S570" i="2"/>
  <c r="S569" i="2"/>
  <c r="S568" i="2"/>
  <c r="S567" i="2"/>
  <c r="S566" i="2"/>
  <c r="S565" i="2"/>
  <c r="S564" i="2"/>
  <c r="S563" i="2"/>
  <c r="S562" i="2"/>
  <c r="S561" i="2"/>
  <c r="S560" i="2"/>
  <c r="S559" i="2"/>
  <c r="S558" i="2"/>
  <c r="S557" i="2"/>
  <c r="S556" i="2"/>
  <c r="S555" i="2"/>
  <c r="S554" i="2"/>
  <c r="S553" i="2"/>
  <c r="S552" i="2"/>
  <c r="S551" i="2"/>
  <c r="S550" i="2"/>
  <c r="S549" i="2"/>
  <c r="S548" i="2"/>
  <c r="S547" i="2"/>
  <c r="S546" i="2"/>
  <c r="S545" i="2"/>
  <c r="S544" i="2"/>
  <c r="S543" i="2"/>
  <c r="S542" i="2"/>
  <c r="S541" i="2"/>
  <c r="S540" i="2"/>
  <c r="S539" i="2"/>
  <c r="S538" i="2"/>
  <c r="S537" i="2"/>
  <c r="S536" i="2"/>
  <c r="S535" i="2"/>
  <c r="S534" i="2"/>
  <c r="S533" i="2"/>
  <c r="S532" i="2"/>
  <c r="S531" i="2"/>
  <c r="S530" i="2"/>
  <c r="S529" i="2"/>
  <c r="S528" i="2"/>
  <c r="S527" i="2"/>
  <c r="S526" i="2"/>
  <c r="S525" i="2"/>
  <c r="S524" i="2"/>
  <c r="S523" i="2"/>
  <c r="S522" i="2"/>
  <c r="S521" i="2"/>
  <c r="S520" i="2"/>
  <c r="S519" i="2"/>
  <c r="S518" i="2"/>
  <c r="S517" i="2"/>
  <c r="S516" i="2"/>
  <c r="S515" i="2"/>
  <c r="S514" i="2"/>
  <c r="S513" i="2"/>
  <c r="S512" i="2"/>
  <c r="S511" i="2"/>
  <c r="S510" i="2"/>
  <c r="S509" i="2"/>
  <c r="S508" i="2"/>
  <c r="S507" i="2"/>
  <c r="S506" i="2"/>
  <c r="S505" i="2"/>
  <c r="S504" i="2"/>
  <c r="S503" i="2"/>
  <c r="S502" i="2"/>
  <c r="S501" i="2"/>
  <c r="S500" i="2"/>
  <c r="S499" i="2"/>
  <c r="S498" i="2"/>
  <c r="S497" i="2"/>
  <c r="S496" i="2"/>
  <c r="S495" i="2"/>
  <c r="S494" i="2"/>
  <c r="S493" i="2"/>
  <c r="S492" i="2"/>
  <c r="S491" i="2"/>
  <c r="S490" i="2"/>
  <c r="S489" i="2"/>
  <c r="S488" i="2"/>
  <c r="S487" i="2"/>
  <c r="S486" i="2"/>
  <c r="S485" i="2"/>
  <c r="S484" i="2"/>
  <c r="S483" i="2"/>
  <c r="S482" i="2"/>
  <c r="S481" i="2"/>
  <c r="S480" i="2"/>
  <c r="S479" i="2"/>
  <c r="S478" i="2"/>
  <c r="S477" i="2"/>
  <c r="S476" i="2"/>
  <c r="S475" i="2"/>
  <c r="S474" i="2"/>
  <c r="S473" i="2"/>
  <c r="S472" i="2"/>
  <c r="S471" i="2"/>
  <c r="S470" i="2"/>
  <c r="S469" i="2"/>
  <c r="S468" i="2"/>
  <c r="S467" i="2"/>
  <c r="S466" i="2"/>
  <c r="S465" i="2"/>
  <c r="S464" i="2"/>
  <c r="S463" i="2"/>
  <c r="S462" i="2"/>
  <c r="S461" i="2"/>
  <c r="S460" i="2"/>
  <c r="S459" i="2"/>
  <c r="S458" i="2"/>
  <c r="S457" i="2"/>
  <c r="S456" i="2"/>
  <c r="S455" i="2"/>
  <c r="S454" i="2"/>
  <c r="S453" i="2"/>
  <c r="S452" i="2"/>
  <c r="S451" i="2"/>
  <c r="S450" i="2"/>
  <c r="S449" i="2"/>
  <c r="S448" i="2"/>
  <c r="S447" i="2"/>
  <c r="S446" i="2"/>
  <c r="S445" i="2"/>
  <c r="S444" i="2"/>
  <c r="S443" i="2"/>
  <c r="S442" i="2"/>
  <c r="S441" i="2"/>
  <c r="S440" i="2"/>
  <c r="S439" i="2"/>
  <c r="S438" i="2"/>
  <c r="S437" i="2"/>
  <c r="S436" i="2"/>
  <c r="S435" i="2"/>
  <c r="S434" i="2"/>
  <c r="S433" i="2"/>
  <c r="S432" i="2"/>
  <c r="S431" i="2"/>
  <c r="S430" i="2"/>
  <c r="S429" i="2"/>
  <c r="S428" i="2"/>
  <c r="S427" i="2"/>
  <c r="S426" i="2"/>
  <c r="S425" i="2"/>
  <c r="S424" i="2"/>
  <c r="S423" i="2"/>
  <c r="S422" i="2"/>
  <c r="S421" i="2"/>
  <c r="S420" i="2"/>
  <c r="S419" i="2"/>
  <c r="S418" i="2"/>
  <c r="S417" i="2"/>
  <c r="S416" i="2"/>
  <c r="S415" i="2"/>
  <c r="S414" i="2"/>
  <c r="S413" i="2"/>
  <c r="S412" i="2"/>
  <c r="S411" i="2"/>
  <c r="S410" i="2"/>
  <c r="S409" i="2"/>
  <c r="S408" i="2"/>
  <c r="S407" i="2"/>
  <c r="S406" i="2"/>
  <c r="S405" i="2"/>
  <c r="S404" i="2"/>
  <c r="S403" i="2"/>
  <c r="S402" i="2"/>
  <c r="S401" i="2"/>
  <c r="S400" i="2"/>
  <c r="S399" i="2"/>
  <c r="S398" i="2"/>
  <c r="S397" i="2"/>
  <c r="S396" i="2"/>
  <c r="S395" i="2"/>
  <c r="S394" i="2"/>
  <c r="S393" i="2"/>
  <c r="S392" i="2"/>
  <c r="S391" i="2"/>
  <c r="S390" i="2"/>
  <c r="S389" i="2"/>
  <c r="S388" i="2"/>
  <c r="S387" i="2"/>
  <c r="S386" i="2"/>
  <c r="S385" i="2"/>
  <c r="S384" i="2"/>
  <c r="S383" i="2"/>
  <c r="S382" i="2"/>
  <c r="S381" i="2"/>
  <c r="S380" i="2"/>
  <c r="S379" i="2"/>
  <c r="S378" i="2"/>
  <c r="S377" i="2"/>
  <c r="S376" i="2"/>
  <c r="S375" i="2"/>
  <c r="S374" i="2"/>
  <c r="S373" i="2"/>
  <c r="S372" i="2"/>
  <c r="S371" i="2"/>
  <c r="S370" i="2"/>
  <c r="S369" i="2"/>
  <c r="S368" i="2"/>
  <c r="S367" i="2"/>
  <c r="S366" i="2"/>
  <c r="S365" i="2"/>
  <c r="S364" i="2"/>
  <c r="S363" i="2"/>
  <c r="S362" i="2"/>
  <c r="S361" i="2"/>
  <c r="S360" i="2"/>
  <c r="S359" i="2"/>
  <c r="S358" i="2"/>
  <c r="S357" i="2"/>
  <c r="S356" i="2"/>
  <c r="S355" i="2"/>
  <c r="S354" i="2"/>
  <c r="S353" i="2"/>
  <c r="S352" i="2"/>
  <c r="S351" i="2"/>
  <c r="S350" i="2"/>
  <c r="S349" i="2"/>
  <c r="S348" i="2"/>
  <c r="S347" i="2"/>
  <c r="S346" i="2"/>
  <c r="S345" i="2"/>
  <c r="S344" i="2"/>
  <c r="S343" i="2"/>
  <c r="S342" i="2"/>
  <c r="S341" i="2"/>
  <c r="S340" i="2"/>
  <c r="S339" i="2"/>
  <c r="S338" i="2"/>
  <c r="S337" i="2"/>
  <c r="S336" i="2"/>
  <c r="S335" i="2"/>
  <c r="S334" i="2"/>
  <c r="S333" i="2"/>
  <c r="S332" i="2"/>
  <c r="S331" i="2"/>
  <c r="S330" i="2"/>
  <c r="S329" i="2"/>
  <c r="S328" i="2"/>
  <c r="S327" i="2"/>
  <c r="S326" i="2"/>
  <c r="S325" i="2"/>
  <c r="S324" i="2"/>
  <c r="S323" i="2"/>
  <c r="S322" i="2"/>
  <c r="S321" i="2"/>
  <c r="S320" i="2"/>
  <c r="S319" i="2"/>
  <c r="S318" i="2"/>
  <c r="S317" i="2"/>
  <c r="S316" i="2"/>
  <c r="S315" i="2"/>
  <c r="S314" i="2"/>
  <c r="S313" i="2"/>
  <c r="S312" i="2"/>
  <c r="S311" i="2"/>
  <c r="S310" i="2"/>
  <c r="S309" i="2"/>
  <c r="S308" i="2"/>
  <c r="S307" i="2"/>
  <c r="S306" i="2"/>
  <c r="S305" i="2"/>
  <c r="S304" i="2"/>
  <c r="S303" i="2"/>
  <c r="S302" i="2"/>
  <c r="S301" i="2"/>
  <c r="S300" i="2"/>
  <c r="S299" i="2"/>
  <c r="S298" i="2"/>
  <c r="S297" i="2"/>
  <c r="S296" i="2"/>
  <c r="S295" i="2"/>
  <c r="S294" i="2"/>
  <c r="S293" i="2"/>
  <c r="S292" i="2"/>
  <c r="S291" i="2"/>
  <c r="S290" i="2"/>
  <c r="S289" i="2"/>
  <c r="S288" i="2"/>
  <c r="S287" i="2"/>
  <c r="S286" i="2"/>
  <c r="S285" i="2"/>
  <c r="S284" i="2"/>
  <c r="S283" i="2"/>
  <c r="S282" i="2"/>
  <c r="S281" i="2"/>
  <c r="S280" i="2"/>
  <c r="S279" i="2"/>
  <c r="S278" i="2"/>
  <c r="S277" i="2"/>
  <c r="S276" i="2"/>
  <c r="S275" i="2"/>
  <c r="S274" i="2"/>
  <c r="S273" i="2"/>
  <c r="S272" i="2"/>
  <c r="S271" i="2"/>
  <c r="S270" i="2"/>
  <c r="S269" i="2"/>
  <c r="S268" i="2"/>
  <c r="S267" i="2"/>
  <c r="S266" i="2"/>
  <c r="S265" i="2"/>
  <c r="S264" i="2"/>
  <c r="S263" i="2"/>
  <c r="S262" i="2"/>
  <c r="S261" i="2"/>
  <c r="S260" i="2"/>
  <c r="S259" i="2"/>
  <c r="S258" i="2"/>
  <c r="S257" i="2"/>
  <c r="S256" i="2"/>
  <c r="S255" i="2"/>
  <c r="S254" i="2"/>
  <c r="S253" i="2"/>
  <c r="S252" i="2"/>
  <c r="S251" i="2"/>
  <c r="S250" i="2"/>
  <c r="S249" i="2"/>
  <c r="S248" i="2"/>
  <c r="S247" i="2"/>
  <c r="S246" i="2"/>
  <c r="S245" i="2"/>
  <c r="S244" i="2"/>
  <c r="S243" i="2"/>
  <c r="S242" i="2"/>
  <c r="S241" i="2"/>
  <c r="S240" i="2"/>
  <c r="S239" i="2"/>
  <c r="S238" i="2"/>
  <c r="S237" i="2"/>
  <c r="S236" i="2"/>
  <c r="S235" i="2"/>
  <c r="S234" i="2"/>
  <c r="S233" i="2"/>
  <c r="S232" i="2"/>
  <c r="S231" i="2"/>
  <c r="S230" i="2"/>
  <c r="S229" i="2"/>
  <c r="S228" i="2"/>
  <c r="S227" i="2"/>
  <c r="S226" i="2"/>
  <c r="S225" i="2"/>
  <c r="S224" i="2"/>
  <c r="S223" i="2"/>
  <c r="S222" i="2"/>
  <c r="S221" i="2"/>
  <c r="S220" i="2"/>
  <c r="S219" i="2"/>
  <c r="S218" i="2"/>
  <c r="S217" i="2"/>
  <c r="S216" i="2"/>
  <c r="S215" i="2"/>
  <c r="S214" i="2"/>
  <c r="S213" i="2"/>
  <c r="S212" i="2"/>
  <c r="S211" i="2"/>
  <c r="S210" i="2"/>
  <c r="S209" i="2"/>
  <c r="S208" i="2"/>
  <c r="S207" i="2"/>
  <c r="S206" i="2"/>
  <c r="S205" i="2"/>
  <c r="S204" i="2"/>
  <c r="S203" i="2"/>
  <c r="S202" i="2"/>
  <c r="S201" i="2"/>
  <c r="S200" i="2"/>
  <c r="S199" i="2"/>
  <c r="S198" i="2"/>
  <c r="S197" i="2"/>
  <c r="S196" i="2"/>
  <c r="S195" i="2"/>
  <c r="S194" i="2"/>
  <c r="S193" i="2"/>
  <c r="S192" i="2"/>
  <c r="S191" i="2"/>
  <c r="S190" i="2"/>
  <c r="S189" i="2"/>
  <c r="S188" i="2"/>
  <c r="S187" i="2"/>
  <c r="S186" i="2"/>
  <c r="S185" i="2"/>
  <c r="S184" i="2"/>
  <c r="S183" i="2"/>
  <c r="S182" i="2"/>
  <c r="S181" i="2"/>
  <c r="S180" i="2"/>
  <c r="S179" i="2"/>
  <c r="S178" i="2"/>
  <c r="S177" i="2"/>
  <c r="S176" i="2"/>
  <c r="S175" i="2"/>
  <c r="S174" i="2"/>
  <c r="S173" i="2"/>
  <c r="S172" i="2"/>
  <c r="S171" i="2"/>
  <c r="S170" i="2"/>
  <c r="S169" i="2"/>
  <c r="S168" i="2"/>
  <c r="S167" i="2"/>
  <c r="S166" i="2"/>
  <c r="S165" i="2"/>
  <c r="S164" i="2"/>
  <c r="S163" i="2"/>
  <c r="S162" i="2"/>
  <c r="S161" i="2"/>
  <c r="S160" i="2"/>
  <c r="S159" i="2"/>
  <c r="S158" i="2"/>
  <c r="S157" i="2"/>
  <c r="S156" i="2"/>
  <c r="S155" i="2"/>
  <c r="S154" i="2"/>
  <c r="S153" i="2"/>
  <c r="S152" i="2"/>
  <c r="S151" i="2"/>
  <c r="S150" i="2"/>
  <c r="S149" i="2"/>
  <c r="S148" i="2"/>
  <c r="S147" i="2"/>
  <c r="S146" i="2"/>
  <c r="S145" i="2"/>
  <c r="S144" i="2"/>
  <c r="S143" i="2"/>
  <c r="S142" i="2"/>
  <c r="S141" i="2"/>
  <c r="S140" i="2"/>
  <c r="S139" i="2"/>
  <c r="S138" i="2"/>
  <c r="S137" i="2"/>
  <c r="S136" i="2"/>
  <c r="S135" i="2"/>
  <c r="S134" i="2"/>
  <c r="S133" i="2"/>
  <c r="S132" i="2"/>
  <c r="S131" i="2"/>
  <c r="S130" i="2"/>
  <c r="S129" i="2"/>
  <c r="S128" i="2"/>
  <c r="S127" i="2"/>
  <c r="S126" i="2"/>
  <c r="S125" i="2"/>
  <c r="S124" i="2"/>
  <c r="S123" i="2"/>
  <c r="S122" i="2"/>
  <c r="S121" i="2"/>
  <c r="S120" i="2"/>
  <c r="S119" i="2"/>
  <c r="S118" i="2"/>
  <c r="S117" i="2"/>
  <c r="S116" i="2"/>
  <c r="S115" i="2"/>
  <c r="S114" i="2"/>
  <c r="S113" i="2"/>
  <c r="S112" i="2"/>
  <c r="S111" i="2"/>
  <c r="S110" i="2"/>
  <c r="S109" i="2"/>
  <c r="S108" i="2"/>
  <c r="S107" i="2"/>
  <c r="S106" i="2"/>
  <c r="S105" i="2"/>
  <c r="S104" i="2"/>
  <c r="S103" i="2"/>
  <c r="S102" i="2"/>
  <c r="S101" i="2"/>
  <c r="S100" i="2"/>
  <c r="S99" i="2"/>
  <c r="S98" i="2"/>
  <c r="S97" i="2"/>
  <c r="S96" i="2"/>
  <c r="S95" i="2"/>
  <c r="S94" i="2"/>
  <c r="S93" i="2"/>
  <c r="S92" i="2"/>
  <c r="S91" i="2"/>
  <c r="S90" i="2"/>
  <c r="S89" i="2"/>
  <c r="S88" i="2"/>
  <c r="S87" i="2"/>
  <c r="S86" i="2"/>
  <c r="S85" i="2"/>
  <c r="S84" i="2"/>
  <c r="S83" i="2"/>
  <c r="S82" i="2"/>
  <c r="S81" i="2"/>
  <c r="S80" i="2"/>
  <c r="S79" i="2"/>
  <c r="S78" i="2"/>
  <c r="S77" i="2"/>
  <c r="S76" i="2"/>
  <c r="S75" i="2"/>
  <c r="S74" i="2"/>
  <c r="S73" i="2"/>
  <c r="S72" i="2"/>
  <c r="S71" i="2"/>
  <c r="S70" i="2"/>
  <c r="S69" i="2"/>
  <c r="S68" i="2"/>
  <c r="S67" i="2"/>
  <c r="S66" i="2"/>
  <c r="S65" i="2"/>
  <c r="S64" i="2"/>
  <c r="S63" i="2"/>
  <c r="S62" i="2"/>
  <c r="S61" i="2"/>
  <c r="S60" i="2"/>
  <c r="S59" i="2"/>
  <c r="S58" i="2"/>
  <c r="S57" i="2"/>
  <c r="S56" i="2"/>
  <c r="S55" i="2"/>
  <c r="S54" i="2"/>
  <c r="S53" i="2"/>
  <c r="S52" i="2"/>
  <c r="S51" i="2"/>
  <c r="S50" i="2"/>
  <c r="S49" i="2"/>
  <c r="S48" i="2"/>
  <c r="S47" i="2"/>
  <c r="S46" i="2"/>
  <c r="S45" i="2"/>
  <c r="S44" i="2"/>
  <c r="S43" i="2"/>
  <c r="S42" i="2"/>
  <c r="S41" i="2"/>
  <c r="S40" i="2"/>
  <c r="S39" i="2"/>
  <c r="S38" i="2"/>
  <c r="S37" i="2"/>
  <c r="S36" i="2"/>
  <c r="S35" i="2"/>
  <c r="S34" i="2"/>
  <c r="S33" i="2"/>
  <c r="S32" i="2"/>
  <c r="S31" i="2"/>
  <c r="S30" i="2"/>
  <c r="S29" i="2"/>
  <c r="S28" i="2"/>
  <c r="S27" i="2"/>
  <c r="S26" i="2"/>
  <c r="S25" i="2"/>
  <c r="S24" i="2"/>
  <c r="S23" i="2"/>
  <c r="S22" i="2"/>
  <c r="S21" i="2"/>
  <c r="S20" i="2"/>
  <c r="S19" i="2"/>
  <c r="S18" i="2"/>
  <c r="S17" i="2"/>
  <c r="S16" i="2"/>
  <c r="S15" i="2"/>
  <c r="S14" i="2"/>
  <c r="S13" i="2"/>
  <c r="S12" i="2"/>
  <c r="S11" i="2"/>
  <c r="S10" i="2"/>
  <c r="S9" i="2"/>
  <c r="S8" i="2"/>
  <c r="S7" i="2"/>
  <c r="S6" i="2"/>
  <c r="S5" i="2"/>
  <c r="S4" i="2"/>
  <c r="S3" i="2"/>
  <c r="S2" i="2"/>
  <c r="R1000" i="2"/>
  <c r="R999" i="2"/>
  <c r="R998" i="2"/>
  <c r="R997" i="2"/>
  <c r="R996" i="2"/>
  <c r="R995" i="2"/>
  <c r="R994" i="2"/>
  <c r="R993" i="2"/>
  <c r="R992" i="2"/>
  <c r="R991" i="2"/>
  <c r="R990" i="2"/>
  <c r="R989" i="2"/>
  <c r="R988" i="2"/>
  <c r="R987" i="2"/>
  <c r="R986" i="2"/>
  <c r="R985" i="2"/>
  <c r="V985" i="2" s="1"/>
  <c r="R984" i="2"/>
  <c r="R983" i="2"/>
  <c r="R982" i="2"/>
  <c r="R981" i="2"/>
  <c r="R980" i="2"/>
  <c r="R979" i="2"/>
  <c r="R978" i="2"/>
  <c r="R977" i="2"/>
  <c r="V977" i="2" s="1"/>
  <c r="R976" i="2"/>
  <c r="R975" i="2"/>
  <c r="R974" i="2"/>
  <c r="R973" i="2"/>
  <c r="R972" i="2"/>
  <c r="R971" i="2"/>
  <c r="R970" i="2"/>
  <c r="R969" i="2"/>
  <c r="V969" i="2" s="1"/>
  <c r="R968" i="2"/>
  <c r="R967" i="2"/>
  <c r="R966" i="2"/>
  <c r="R965" i="2"/>
  <c r="R964" i="2"/>
  <c r="R963" i="2"/>
  <c r="R962" i="2"/>
  <c r="R961" i="2"/>
  <c r="R960" i="2"/>
  <c r="R959" i="2"/>
  <c r="R958" i="2"/>
  <c r="R957" i="2"/>
  <c r="R956" i="2"/>
  <c r="R955" i="2"/>
  <c r="R954" i="2"/>
  <c r="R953" i="2"/>
  <c r="V953" i="2" s="1"/>
  <c r="R952" i="2"/>
  <c r="R951" i="2"/>
  <c r="R950" i="2"/>
  <c r="R949" i="2"/>
  <c r="R948" i="2"/>
  <c r="R947" i="2"/>
  <c r="R946" i="2"/>
  <c r="R945" i="2"/>
  <c r="V945" i="2" s="1"/>
  <c r="R944" i="2"/>
  <c r="R943" i="2"/>
  <c r="R942" i="2"/>
  <c r="R941" i="2"/>
  <c r="R940" i="2"/>
  <c r="R939" i="2"/>
  <c r="R938" i="2"/>
  <c r="R937" i="2"/>
  <c r="V937" i="2" s="1"/>
  <c r="R936" i="2"/>
  <c r="R935" i="2"/>
  <c r="R934" i="2"/>
  <c r="R933" i="2"/>
  <c r="R932" i="2"/>
  <c r="R931" i="2"/>
  <c r="R930" i="2"/>
  <c r="R929" i="2"/>
  <c r="R928" i="2"/>
  <c r="R927" i="2"/>
  <c r="R926" i="2"/>
  <c r="R925" i="2"/>
  <c r="R924" i="2"/>
  <c r="R923" i="2"/>
  <c r="R922" i="2"/>
  <c r="R921" i="2"/>
  <c r="V921" i="2" s="1"/>
  <c r="R920" i="2"/>
  <c r="R919" i="2"/>
  <c r="R918" i="2"/>
  <c r="R917" i="2"/>
  <c r="R916" i="2"/>
  <c r="R915" i="2"/>
  <c r="R914" i="2"/>
  <c r="R913" i="2"/>
  <c r="V913" i="2" s="1"/>
  <c r="R912" i="2"/>
  <c r="R911" i="2"/>
  <c r="R910" i="2"/>
  <c r="R909" i="2"/>
  <c r="R908" i="2"/>
  <c r="R907" i="2"/>
  <c r="R906" i="2"/>
  <c r="R905" i="2"/>
  <c r="V905" i="2" s="1"/>
  <c r="R904" i="2"/>
  <c r="R903" i="2"/>
  <c r="R902" i="2"/>
  <c r="R901" i="2"/>
  <c r="R900" i="2"/>
  <c r="R899" i="2"/>
  <c r="R898" i="2"/>
  <c r="R897" i="2"/>
  <c r="R896" i="2"/>
  <c r="R895" i="2"/>
  <c r="R894" i="2"/>
  <c r="R893" i="2"/>
  <c r="R892" i="2"/>
  <c r="R891" i="2"/>
  <c r="R890" i="2"/>
  <c r="R889" i="2"/>
  <c r="V889" i="2" s="1"/>
  <c r="R888" i="2"/>
  <c r="R887" i="2"/>
  <c r="R886" i="2"/>
  <c r="R885" i="2"/>
  <c r="R884" i="2"/>
  <c r="R883" i="2"/>
  <c r="R882" i="2"/>
  <c r="R881" i="2"/>
  <c r="V881" i="2" s="1"/>
  <c r="R880" i="2"/>
  <c r="R879" i="2"/>
  <c r="R878" i="2"/>
  <c r="R877" i="2"/>
  <c r="R876" i="2"/>
  <c r="R875" i="2"/>
  <c r="R874" i="2"/>
  <c r="R873" i="2"/>
  <c r="V873" i="2" s="1"/>
  <c r="R872" i="2"/>
  <c r="R871" i="2"/>
  <c r="R870" i="2"/>
  <c r="R869" i="2"/>
  <c r="R868" i="2"/>
  <c r="R867" i="2"/>
  <c r="R866" i="2"/>
  <c r="R865" i="2"/>
  <c r="R864" i="2"/>
  <c r="R863" i="2"/>
  <c r="R862" i="2"/>
  <c r="R861" i="2"/>
  <c r="R860" i="2"/>
  <c r="R859" i="2"/>
  <c r="R858" i="2"/>
  <c r="R857" i="2"/>
  <c r="V857" i="2" s="1"/>
  <c r="R856" i="2"/>
  <c r="R855" i="2"/>
  <c r="R854" i="2"/>
  <c r="R853" i="2"/>
  <c r="R852" i="2"/>
  <c r="R851" i="2"/>
  <c r="R850" i="2"/>
  <c r="R849" i="2"/>
  <c r="V849" i="2" s="1"/>
  <c r="R848" i="2"/>
  <c r="R847" i="2"/>
  <c r="R846" i="2"/>
  <c r="R845" i="2"/>
  <c r="R844" i="2"/>
  <c r="R843" i="2"/>
  <c r="R842" i="2"/>
  <c r="R841" i="2"/>
  <c r="V841" i="2" s="1"/>
  <c r="R840" i="2"/>
  <c r="R839" i="2"/>
  <c r="R838" i="2"/>
  <c r="R837" i="2"/>
  <c r="R836" i="2"/>
  <c r="R835" i="2"/>
  <c r="R834" i="2"/>
  <c r="R833" i="2"/>
  <c r="R832" i="2"/>
  <c r="R831" i="2"/>
  <c r="R830" i="2"/>
  <c r="R829" i="2"/>
  <c r="R828" i="2"/>
  <c r="R827" i="2"/>
  <c r="R826" i="2"/>
  <c r="R825" i="2"/>
  <c r="V825" i="2" s="1"/>
  <c r="R824" i="2"/>
  <c r="R823" i="2"/>
  <c r="R822" i="2"/>
  <c r="R821" i="2"/>
  <c r="R820" i="2"/>
  <c r="R819" i="2"/>
  <c r="R818" i="2"/>
  <c r="R817" i="2"/>
  <c r="R816" i="2"/>
  <c r="R815" i="2"/>
  <c r="R814" i="2"/>
  <c r="R813" i="2"/>
  <c r="R812" i="2"/>
  <c r="R811" i="2"/>
  <c r="R810" i="2"/>
  <c r="R809" i="2"/>
  <c r="V809" i="2" s="1"/>
  <c r="R808" i="2"/>
  <c r="R807" i="2"/>
  <c r="R806" i="2"/>
  <c r="R805" i="2"/>
  <c r="R804" i="2"/>
  <c r="R803" i="2"/>
  <c r="R802" i="2"/>
  <c r="R801" i="2"/>
  <c r="V801" i="2" s="1"/>
  <c r="R800" i="2"/>
  <c r="R799" i="2"/>
  <c r="R798" i="2"/>
  <c r="R797" i="2"/>
  <c r="R796" i="2"/>
  <c r="R795" i="2"/>
  <c r="R794" i="2"/>
  <c r="R793" i="2"/>
  <c r="V793" i="2" s="1"/>
  <c r="R792" i="2"/>
  <c r="R791" i="2"/>
  <c r="R790" i="2"/>
  <c r="R789" i="2"/>
  <c r="R788" i="2"/>
  <c r="R787" i="2"/>
  <c r="R786" i="2"/>
  <c r="R785" i="2"/>
  <c r="V785" i="2" s="1"/>
  <c r="R784" i="2"/>
  <c r="R783" i="2"/>
  <c r="R782" i="2"/>
  <c r="R781" i="2"/>
  <c r="R780" i="2"/>
  <c r="R779" i="2"/>
  <c r="R778" i="2"/>
  <c r="R777" i="2"/>
  <c r="V777" i="2" s="1"/>
  <c r="R776" i="2"/>
  <c r="R775" i="2"/>
  <c r="R774" i="2"/>
  <c r="R773" i="2"/>
  <c r="R772" i="2"/>
  <c r="R771" i="2"/>
  <c r="R770" i="2"/>
  <c r="R769" i="2"/>
  <c r="R768" i="2"/>
  <c r="R767" i="2"/>
  <c r="R766" i="2"/>
  <c r="R765" i="2"/>
  <c r="R764" i="2"/>
  <c r="R763" i="2"/>
  <c r="R762" i="2"/>
  <c r="R761" i="2"/>
  <c r="V761" i="2" s="1"/>
  <c r="R760" i="2"/>
  <c r="R759" i="2"/>
  <c r="R758" i="2"/>
  <c r="R757" i="2"/>
  <c r="R756" i="2"/>
  <c r="R755" i="2"/>
  <c r="R754" i="2"/>
  <c r="R753" i="2"/>
  <c r="R752" i="2"/>
  <c r="R751" i="2"/>
  <c r="R750" i="2"/>
  <c r="R749" i="2"/>
  <c r="R748" i="2"/>
  <c r="R747" i="2"/>
  <c r="R746" i="2"/>
  <c r="R745" i="2"/>
  <c r="V745" i="2" s="1"/>
  <c r="R744" i="2"/>
  <c r="R743" i="2"/>
  <c r="R742" i="2"/>
  <c r="R741" i="2"/>
  <c r="R740" i="2"/>
  <c r="R739" i="2"/>
  <c r="R738" i="2"/>
  <c r="R737" i="2"/>
  <c r="V737" i="2" s="1"/>
  <c r="R736" i="2"/>
  <c r="R735" i="2"/>
  <c r="R734" i="2"/>
  <c r="R733" i="2"/>
  <c r="R732" i="2"/>
  <c r="R731" i="2"/>
  <c r="R730" i="2"/>
  <c r="R729" i="2"/>
  <c r="V729" i="2" s="1"/>
  <c r="R728" i="2"/>
  <c r="R727" i="2"/>
  <c r="R726" i="2"/>
  <c r="R725" i="2"/>
  <c r="R724" i="2"/>
  <c r="R723" i="2"/>
  <c r="R722" i="2"/>
  <c r="R721" i="2"/>
  <c r="V721" i="2" s="1"/>
  <c r="R720" i="2"/>
  <c r="R719" i="2"/>
  <c r="R718" i="2"/>
  <c r="R717" i="2"/>
  <c r="R716" i="2"/>
  <c r="R715" i="2"/>
  <c r="R714" i="2"/>
  <c r="R713" i="2"/>
  <c r="V713" i="2" s="1"/>
  <c r="R712" i="2"/>
  <c r="R711" i="2"/>
  <c r="R710" i="2"/>
  <c r="R709" i="2"/>
  <c r="R708" i="2"/>
  <c r="R707" i="2"/>
  <c r="R706" i="2"/>
  <c r="R705" i="2"/>
  <c r="R704" i="2"/>
  <c r="R703" i="2"/>
  <c r="R702" i="2"/>
  <c r="R701" i="2"/>
  <c r="R700" i="2"/>
  <c r="R699" i="2"/>
  <c r="R698" i="2"/>
  <c r="R697" i="2"/>
  <c r="V697" i="2" s="1"/>
  <c r="R696" i="2"/>
  <c r="R695" i="2"/>
  <c r="R694" i="2"/>
  <c r="R693" i="2"/>
  <c r="R692" i="2"/>
  <c r="R691" i="2"/>
  <c r="R690" i="2"/>
  <c r="R689" i="2"/>
  <c r="R688" i="2"/>
  <c r="R687" i="2"/>
  <c r="R686" i="2"/>
  <c r="R685" i="2"/>
  <c r="R684" i="2"/>
  <c r="R683" i="2"/>
  <c r="R682" i="2"/>
  <c r="R681" i="2"/>
  <c r="V681" i="2" s="1"/>
  <c r="R680" i="2"/>
  <c r="R679" i="2"/>
  <c r="R678" i="2"/>
  <c r="R677" i="2"/>
  <c r="R676" i="2"/>
  <c r="R675" i="2"/>
  <c r="R674" i="2"/>
  <c r="R673" i="2"/>
  <c r="V673" i="2" s="1"/>
  <c r="R672" i="2"/>
  <c r="R671" i="2"/>
  <c r="R670" i="2"/>
  <c r="R669" i="2"/>
  <c r="R668" i="2"/>
  <c r="R667" i="2"/>
  <c r="R666" i="2"/>
  <c r="R665" i="2"/>
  <c r="R664" i="2"/>
  <c r="R663" i="2"/>
  <c r="R662" i="2"/>
  <c r="R661" i="2"/>
  <c r="R660" i="2"/>
  <c r="R659" i="2"/>
  <c r="R658" i="2"/>
  <c r="R657" i="2"/>
  <c r="R656" i="2"/>
  <c r="R655" i="2"/>
  <c r="R654" i="2"/>
  <c r="R653" i="2"/>
  <c r="R652" i="2"/>
  <c r="R651" i="2"/>
  <c r="R650" i="2"/>
  <c r="R649" i="2"/>
  <c r="R648" i="2"/>
  <c r="R647" i="2"/>
  <c r="R646" i="2"/>
  <c r="R645" i="2"/>
  <c r="R644" i="2"/>
  <c r="R643" i="2"/>
  <c r="R642" i="2"/>
  <c r="R641" i="2"/>
  <c r="V641" i="2" s="1"/>
  <c r="R640" i="2"/>
  <c r="R639" i="2"/>
  <c r="R638" i="2"/>
  <c r="R637" i="2"/>
  <c r="R636" i="2"/>
  <c r="R635" i="2"/>
  <c r="R634" i="2"/>
  <c r="R633" i="2"/>
  <c r="R632" i="2"/>
  <c r="R631" i="2"/>
  <c r="R630" i="2"/>
  <c r="R629" i="2"/>
  <c r="R628" i="2"/>
  <c r="R627" i="2"/>
  <c r="R626" i="2"/>
  <c r="R625" i="2"/>
  <c r="R624" i="2"/>
  <c r="R623" i="2"/>
  <c r="R622" i="2"/>
  <c r="R621" i="2"/>
  <c r="R620" i="2"/>
  <c r="R619" i="2"/>
  <c r="R618" i="2"/>
  <c r="R617" i="2"/>
  <c r="V617" i="2" s="1"/>
  <c r="R616" i="2"/>
  <c r="R615" i="2"/>
  <c r="R614" i="2"/>
  <c r="R613" i="2"/>
  <c r="R612" i="2"/>
  <c r="R611" i="2"/>
  <c r="R610" i="2"/>
  <c r="R609" i="2"/>
  <c r="V609" i="2" s="1"/>
  <c r="R608" i="2"/>
  <c r="R607" i="2"/>
  <c r="R606" i="2"/>
  <c r="R605" i="2"/>
  <c r="R604" i="2"/>
  <c r="R603" i="2"/>
  <c r="R602" i="2"/>
  <c r="R601" i="2"/>
  <c r="V601" i="2" s="1"/>
  <c r="R600" i="2"/>
  <c r="R599" i="2"/>
  <c r="R598" i="2"/>
  <c r="R597" i="2"/>
  <c r="R596" i="2"/>
  <c r="R595" i="2"/>
  <c r="R594" i="2"/>
  <c r="R593" i="2"/>
  <c r="R592" i="2"/>
  <c r="R591" i="2"/>
  <c r="R590" i="2"/>
  <c r="R589" i="2"/>
  <c r="R588" i="2"/>
  <c r="R587" i="2"/>
  <c r="R586" i="2"/>
  <c r="R585" i="2"/>
  <c r="V585" i="2" s="1"/>
  <c r="R584" i="2"/>
  <c r="R583" i="2"/>
  <c r="R582" i="2"/>
  <c r="R581" i="2"/>
  <c r="R580" i="2"/>
  <c r="R579" i="2"/>
  <c r="R578" i="2"/>
  <c r="R577" i="2"/>
  <c r="V577" i="2" s="1"/>
  <c r="R576" i="2"/>
  <c r="R575" i="2"/>
  <c r="R574" i="2"/>
  <c r="R573" i="2"/>
  <c r="R572" i="2"/>
  <c r="R571" i="2"/>
  <c r="R570" i="2"/>
  <c r="R569" i="2"/>
  <c r="V569" i="2" s="1"/>
  <c r="R568" i="2"/>
  <c r="R567" i="2"/>
  <c r="R566" i="2"/>
  <c r="R565" i="2"/>
  <c r="R564" i="2"/>
  <c r="R563" i="2"/>
  <c r="R562" i="2"/>
  <c r="R561" i="2"/>
  <c r="R560" i="2"/>
  <c r="R559" i="2"/>
  <c r="R558" i="2"/>
  <c r="R557" i="2"/>
  <c r="R556" i="2"/>
  <c r="R555" i="2"/>
  <c r="R554" i="2"/>
  <c r="R553" i="2"/>
  <c r="V553" i="2" s="1"/>
  <c r="R552" i="2"/>
  <c r="R551" i="2"/>
  <c r="R550" i="2"/>
  <c r="R549" i="2"/>
  <c r="R548" i="2"/>
  <c r="R547" i="2"/>
  <c r="R546" i="2"/>
  <c r="R545" i="2"/>
  <c r="R544" i="2"/>
  <c r="R543" i="2"/>
  <c r="R542" i="2"/>
  <c r="R541" i="2"/>
  <c r="R540" i="2"/>
  <c r="R539" i="2"/>
  <c r="R538" i="2"/>
  <c r="R537" i="2"/>
  <c r="V537" i="2" s="1"/>
  <c r="R536" i="2"/>
  <c r="R535" i="2"/>
  <c r="R534" i="2"/>
  <c r="R533" i="2"/>
  <c r="R532" i="2"/>
  <c r="R531" i="2"/>
  <c r="R530" i="2"/>
  <c r="R529" i="2"/>
  <c r="R528" i="2"/>
  <c r="R527" i="2"/>
  <c r="R526" i="2"/>
  <c r="R525" i="2"/>
  <c r="R524" i="2"/>
  <c r="R523" i="2"/>
  <c r="R522" i="2"/>
  <c r="R521" i="2"/>
  <c r="R520" i="2"/>
  <c r="R519" i="2"/>
  <c r="R518" i="2"/>
  <c r="R517" i="2"/>
  <c r="R516" i="2"/>
  <c r="R515" i="2"/>
  <c r="R514" i="2"/>
  <c r="R513" i="2"/>
  <c r="R512" i="2"/>
  <c r="R511" i="2"/>
  <c r="R510" i="2"/>
  <c r="R509" i="2"/>
  <c r="R508" i="2"/>
  <c r="R507" i="2"/>
  <c r="R506" i="2"/>
  <c r="R505" i="2"/>
  <c r="V505" i="2" s="1"/>
  <c r="R504" i="2"/>
  <c r="R503" i="2"/>
  <c r="R502" i="2"/>
  <c r="R501" i="2"/>
  <c r="R500" i="2"/>
  <c r="R499" i="2"/>
  <c r="R498" i="2"/>
  <c r="R497" i="2"/>
  <c r="R496" i="2"/>
  <c r="R495" i="2"/>
  <c r="R494" i="2"/>
  <c r="R493" i="2"/>
  <c r="R492" i="2"/>
  <c r="R491" i="2"/>
  <c r="R490" i="2"/>
  <c r="R489" i="2"/>
  <c r="V489" i="2" s="1"/>
  <c r="R488" i="2"/>
  <c r="R487" i="2"/>
  <c r="R486" i="2"/>
  <c r="R485" i="2"/>
  <c r="R484" i="2"/>
  <c r="R483" i="2"/>
  <c r="R482" i="2"/>
  <c r="R481" i="2"/>
  <c r="R480" i="2"/>
  <c r="R479" i="2"/>
  <c r="R478" i="2"/>
  <c r="R477" i="2"/>
  <c r="R476" i="2"/>
  <c r="R475" i="2"/>
  <c r="R474" i="2"/>
  <c r="R473" i="2"/>
  <c r="R472" i="2"/>
  <c r="R471" i="2"/>
  <c r="R470" i="2"/>
  <c r="R469" i="2"/>
  <c r="R468" i="2"/>
  <c r="R467" i="2"/>
  <c r="R466" i="2"/>
  <c r="R465" i="2"/>
  <c r="R464" i="2"/>
  <c r="R463" i="2"/>
  <c r="R462" i="2"/>
  <c r="R461" i="2"/>
  <c r="R460" i="2"/>
  <c r="R459" i="2"/>
  <c r="R458" i="2"/>
  <c r="R457" i="2"/>
  <c r="R456" i="2"/>
  <c r="R455" i="2"/>
  <c r="R454" i="2"/>
  <c r="R453" i="2"/>
  <c r="R452" i="2"/>
  <c r="R451" i="2"/>
  <c r="R450" i="2"/>
  <c r="R449" i="2"/>
  <c r="R448" i="2"/>
  <c r="R447" i="2"/>
  <c r="R446" i="2"/>
  <c r="R445" i="2"/>
  <c r="R444" i="2"/>
  <c r="R443" i="2"/>
  <c r="R442" i="2"/>
  <c r="R441" i="2"/>
  <c r="V441" i="2" s="1"/>
  <c r="R440" i="2"/>
  <c r="R439" i="2"/>
  <c r="R438" i="2"/>
  <c r="R437" i="2"/>
  <c r="R436" i="2"/>
  <c r="R435" i="2"/>
  <c r="R434" i="2"/>
  <c r="R433" i="2"/>
  <c r="R432" i="2"/>
  <c r="R431" i="2"/>
  <c r="R430" i="2"/>
  <c r="R429" i="2"/>
  <c r="R428" i="2"/>
  <c r="R427" i="2"/>
  <c r="R426" i="2"/>
  <c r="R425" i="2"/>
  <c r="V425" i="2" s="1"/>
  <c r="R424" i="2"/>
  <c r="R423" i="2"/>
  <c r="R422" i="2"/>
  <c r="R421" i="2"/>
  <c r="R420" i="2"/>
  <c r="R419" i="2"/>
  <c r="R418" i="2"/>
  <c r="R417" i="2"/>
  <c r="R416" i="2"/>
  <c r="R415" i="2"/>
  <c r="R414" i="2"/>
  <c r="R413" i="2"/>
  <c r="R412" i="2"/>
  <c r="R411" i="2"/>
  <c r="R410" i="2"/>
  <c r="R409" i="2"/>
  <c r="R408" i="2"/>
  <c r="R407" i="2"/>
  <c r="R406" i="2"/>
  <c r="R405" i="2"/>
  <c r="R404" i="2"/>
  <c r="R403" i="2"/>
  <c r="R402" i="2"/>
  <c r="R401" i="2"/>
  <c r="R400" i="2"/>
  <c r="R399" i="2"/>
  <c r="R398" i="2"/>
  <c r="R397" i="2"/>
  <c r="R396" i="2"/>
  <c r="R395" i="2"/>
  <c r="R394" i="2"/>
  <c r="R393" i="2"/>
  <c r="R392" i="2"/>
  <c r="R391" i="2"/>
  <c r="R390" i="2"/>
  <c r="R389" i="2"/>
  <c r="R388" i="2"/>
  <c r="R387" i="2"/>
  <c r="R386" i="2"/>
  <c r="R385" i="2"/>
  <c r="V385" i="2" s="1"/>
  <c r="R384" i="2"/>
  <c r="R383" i="2"/>
  <c r="R382" i="2"/>
  <c r="R381" i="2"/>
  <c r="R380" i="2"/>
  <c r="R379" i="2"/>
  <c r="R378" i="2"/>
  <c r="R377" i="2"/>
  <c r="V377" i="2" s="1"/>
  <c r="R376" i="2"/>
  <c r="R375" i="2"/>
  <c r="R374" i="2"/>
  <c r="R373" i="2"/>
  <c r="R372" i="2"/>
  <c r="R371" i="2"/>
  <c r="R370" i="2"/>
  <c r="R369" i="2"/>
  <c r="R368" i="2"/>
  <c r="R367" i="2"/>
  <c r="R366" i="2"/>
  <c r="R365" i="2"/>
  <c r="R364" i="2"/>
  <c r="R363" i="2"/>
  <c r="R362" i="2"/>
  <c r="R361" i="2"/>
  <c r="V361" i="2" s="1"/>
  <c r="R360" i="2"/>
  <c r="R359" i="2"/>
  <c r="R358" i="2"/>
  <c r="R357" i="2"/>
  <c r="R356" i="2"/>
  <c r="R355" i="2"/>
  <c r="R354" i="2"/>
  <c r="R353" i="2"/>
  <c r="R352" i="2"/>
  <c r="R351" i="2"/>
  <c r="R350" i="2"/>
  <c r="R349" i="2"/>
  <c r="R348" i="2"/>
  <c r="R347" i="2"/>
  <c r="R346" i="2"/>
  <c r="R345" i="2"/>
  <c r="R344" i="2"/>
  <c r="R343" i="2"/>
  <c r="R342" i="2"/>
  <c r="R341" i="2"/>
  <c r="R340" i="2"/>
  <c r="R339" i="2"/>
  <c r="R338" i="2"/>
  <c r="R337" i="2"/>
  <c r="R336" i="2"/>
  <c r="R335" i="2"/>
  <c r="R334" i="2"/>
  <c r="R333" i="2"/>
  <c r="R332" i="2"/>
  <c r="R331" i="2"/>
  <c r="R330" i="2"/>
  <c r="R329" i="2"/>
  <c r="R328" i="2"/>
  <c r="R327" i="2"/>
  <c r="R326" i="2"/>
  <c r="R325" i="2"/>
  <c r="R324" i="2"/>
  <c r="R323" i="2"/>
  <c r="R322" i="2"/>
  <c r="R321" i="2"/>
  <c r="R320" i="2"/>
  <c r="R319" i="2"/>
  <c r="R318" i="2"/>
  <c r="R317" i="2"/>
  <c r="R316" i="2"/>
  <c r="R315" i="2"/>
  <c r="R314" i="2"/>
  <c r="R313" i="2"/>
  <c r="V313" i="2" s="1"/>
  <c r="R312" i="2"/>
  <c r="R311" i="2"/>
  <c r="R310" i="2"/>
  <c r="R309" i="2"/>
  <c r="R308" i="2"/>
  <c r="R307" i="2"/>
  <c r="R306" i="2"/>
  <c r="R305" i="2"/>
  <c r="R304" i="2"/>
  <c r="R303" i="2"/>
  <c r="R302" i="2"/>
  <c r="R301" i="2"/>
  <c r="R300" i="2"/>
  <c r="R299" i="2"/>
  <c r="R298" i="2"/>
  <c r="R297" i="2"/>
  <c r="V297" i="2" s="1"/>
  <c r="R296" i="2"/>
  <c r="R295" i="2"/>
  <c r="R294" i="2"/>
  <c r="R293" i="2"/>
  <c r="R292" i="2"/>
  <c r="R291" i="2"/>
  <c r="R290" i="2"/>
  <c r="R289" i="2"/>
  <c r="R288" i="2"/>
  <c r="R287" i="2"/>
  <c r="R286" i="2"/>
  <c r="R285" i="2"/>
  <c r="R284" i="2"/>
  <c r="R283" i="2"/>
  <c r="R282" i="2"/>
  <c r="R281" i="2"/>
  <c r="R280" i="2"/>
  <c r="R279" i="2"/>
  <c r="R278" i="2"/>
  <c r="R277" i="2"/>
  <c r="R276" i="2"/>
  <c r="R275" i="2"/>
  <c r="R274" i="2"/>
  <c r="R273" i="2"/>
  <c r="R272" i="2"/>
  <c r="R271" i="2"/>
  <c r="R270" i="2"/>
  <c r="R269" i="2"/>
  <c r="R268" i="2"/>
  <c r="R267" i="2"/>
  <c r="R266" i="2"/>
  <c r="R265" i="2"/>
  <c r="R264" i="2"/>
  <c r="R263" i="2"/>
  <c r="R262" i="2"/>
  <c r="R261" i="2"/>
  <c r="R260" i="2"/>
  <c r="R259" i="2"/>
  <c r="R258" i="2"/>
  <c r="R257" i="2"/>
  <c r="V257" i="2" s="1"/>
  <c r="R256" i="2"/>
  <c r="R255" i="2"/>
  <c r="R254" i="2"/>
  <c r="R253" i="2"/>
  <c r="R252" i="2"/>
  <c r="R251" i="2"/>
  <c r="R250" i="2"/>
  <c r="R249" i="2"/>
  <c r="V249" i="2" s="1"/>
  <c r="R248" i="2"/>
  <c r="R247" i="2"/>
  <c r="R246" i="2"/>
  <c r="R245" i="2"/>
  <c r="R244" i="2"/>
  <c r="R243" i="2"/>
  <c r="R242" i="2"/>
  <c r="R241" i="2"/>
  <c r="R240" i="2"/>
  <c r="R239" i="2"/>
  <c r="R238" i="2"/>
  <c r="R237" i="2"/>
  <c r="R236" i="2"/>
  <c r="R235" i="2"/>
  <c r="R234" i="2"/>
  <c r="R233" i="2"/>
  <c r="V233" i="2" s="1"/>
  <c r="R232" i="2"/>
  <c r="R231" i="2"/>
  <c r="R230" i="2"/>
  <c r="R229" i="2"/>
  <c r="R228" i="2"/>
  <c r="R227" i="2"/>
  <c r="R226" i="2"/>
  <c r="R225" i="2"/>
  <c r="R224" i="2"/>
  <c r="R223" i="2"/>
  <c r="R222" i="2"/>
  <c r="R221" i="2"/>
  <c r="R220" i="2"/>
  <c r="R219" i="2"/>
  <c r="R218" i="2"/>
  <c r="R217" i="2"/>
  <c r="R216" i="2"/>
  <c r="R215" i="2"/>
  <c r="R214" i="2"/>
  <c r="R213" i="2"/>
  <c r="R212" i="2"/>
  <c r="R211" i="2"/>
  <c r="R210" i="2"/>
  <c r="R209" i="2"/>
  <c r="R208" i="2"/>
  <c r="R207" i="2"/>
  <c r="R206" i="2"/>
  <c r="R205" i="2"/>
  <c r="R204" i="2"/>
  <c r="R203" i="2"/>
  <c r="R202" i="2"/>
  <c r="R201" i="2"/>
  <c r="R200" i="2"/>
  <c r="R199" i="2"/>
  <c r="R198" i="2"/>
  <c r="R197" i="2"/>
  <c r="R196" i="2"/>
  <c r="R195" i="2"/>
  <c r="R194" i="2"/>
  <c r="R193" i="2"/>
  <c r="R192" i="2"/>
  <c r="R191" i="2"/>
  <c r="R190" i="2"/>
  <c r="R189" i="2"/>
  <c r="R188" i="2"/>
  <c r="R187" i="2"/>
  <c r="R186" i="2"/>
  <c r="R185" i="2"/>
  <c r="V185" i="2" s="1"/>
  <c r="R184" i="2"/>
  <c r="R183" i="2"/>
  <c r="R182" i="2"/>
  <c r="R181" i="2"/>
  <c r="R180" i="2"/>
  <c r="R179" i="2"/>
  <c r="R178" i="2"/>
  <c r="R177" i="2"/>
  <c r="R176" i="2"/>
  <c r="R175" i="2"/>
  <c r="R174" i="2"/>
  <c r="R173" i="2"/>
  <c r="R172" i="2"/>
  <c r="R171" i="2"/>
  <c r="R170" i="2"/>
  <c r="R169" i="2"/>
  <c r="V169" i="2" s="1"/>
  <c r="R168" i="2"/>
  <c r="R167" i="2"/>
  <c r="R166" i="2"/>
  <c r="R165" i="2"/>
  <c r="R164" i="2"/>
  <c r="R163" i="2"/>
  <c r="R162" i="2"/>
  <c r="R161" i="2"/>
  <c r="R160" i="2"/>
  <c r="R159" i="2"/>
  <c r="R158" i="2"/>
  <c r="R157" i="2"/>
  <c r="R156" i="2"/>
  <c r="R155" i="2"/>
  <c r="R154" i="2"/>
  <c r="R153" i="2"/>
  <c r="R152" i="2"/>
  <c r="R151" i="2"/>
  <c r="R150" i="2"/>
  <c r="R149" i="2"/>
  <c r="R148" i="2"/>
  <c r="R147" i="2"/>
  <c r="R146" i="2"/>
  <c r="R145" i="2"/>
  <c r="R144" i="2"/>
  <c r="R143" i="2"/>
  <c r="R142" i="2"/>
  <c r="R141" i="2"/>
  <c r="R140" i="2"/>
  <c r="R139" i="2"/>
  <c r="R138" i="2"/>
  <c r="R137" i="2"/>
  <c r="R136" i="2"/>
  <c r="R135" i="2"/>
  <c r="R134" i="2"/>
  <c r="R133" i="2"/>
  <c r="R132" i="2"/>
  <c r="R131" i="2"/>
  <c r="R130" i="2"/>
  <c r="R129" i="2"/>
  <c r="V129" i="2" s="1"/>
  <c r="R128" i="2"/>
  <c r="R127" i="2"/>
  <c r="R126" i="2"/>
  <c r="R125" i="2"/>
  <c r="R124" i="2"/>
  <c r="R123" i="2"/>
  <c r="R122" i="2"/>
  <c r="R121" i="2"/>
  <c r="R120" i="2"/>
  <c r="R119" i="2"/>
  <c r="R118" i="2"/>
  <c r="R117" i="2"/>
  <c r="R116" i="2"/>
  <c r="R115" i="2"/>
  <c r="R114" i="2"/>
  <c r="R113" i="2"/>
  <c r="R112" i="2"/>
  <c r="R111" i="2"/>
  <c r="R110" i="2"/>
  <c r="R109" i="2"/>
  <c r="R108" i="2"/>
  <c r="R107" i="2"/>
  <c r="R106" i="2"/>
  <c r="R105" i="2"/>
  <c r="V105" i="2" s="1"/>
  <c r="R104" i="2"/>
  <c r="R103" i="2"/>
  <c r="R102" i="2"/>
  <c r="R101" i="2"/>
  <c r="R100" i="2"/>
  <c r="R99" i="2"/>
  <c r="R98" i="2"/>
  <c r="R97" i="2"/>
  <c r="R96" i="2"/>
  <c r="R95" i="2"/>
  <c r="R94" i="2"/>
  <c r="R93" i="2"/>
  <c r="R92" i="2"/>
  <c r="R91" i="2"/>
  <c r="R90" i="2"/>
  <c r="R89" i="2"/>
  <c r="R88" i="2"/>
  <c r="R87" i="2"/>
  <c r="R86" i="2"/>
  <c r="R85" i="2"/>
  <c r="R84" i="2"/>
  <c r="R83" i="2"/>
  <c r="R82" i="2"/>
  <c r="R81" i="2"/>
  <c r="R80" i="2"/>
  <c r="R79" i="2"/>
  <c r="R78" i="2"/>
  <c r="R77" i="2"/>
  <c r="R76" i="2"/>
  <c r="R75" i="2"/>
  <c r="R74" i="2"/>
  <c r="R73" i="2"/>
  <c r="R72" i="2"/>
  <c r="R71" i="2"/>
  <c r="R70" i="2"/>
  <c r="R69" i="2"/>
  <c r="R68" i="2"/>
  <c r="R67" i="2"/>
  <c r="R66" i="2"/>
  <c r="R65" i="2"/>
  <c r="V65" i="2" s="1"/>
  <c r="R64" i="2"/>
  <c r="R63" i="2"/>
  <c r="R62" i="2"/>
  <c r="R61" i="2"/>
  <c r="R60" i="2"/>
  <c r="R59" i="2"/>
  <c r="R58" i="2"/>
  <c r="R57" i="2"/>
  <c r="V57" i="2" s="1"/>
  <c r="R56" i="2"/>
  <c r="R55" i="2"/>
  <c r="R54" i="2"/>
  <c r="R53" i="2"/>
  <c r="R52" i="2"/>
  <c r="R51" i="2"/>
  <c r="R50" i="2"/>
  <c r="R49" i="2"/>
  <c r="R48" i="2"/>
  <c r="R47" i="2"/>
  <c r="R46" i="2"/>
  <c r="R45" i="2"/>
  <c r="R44" i="2"/>
  <c r="R43" i="2"/>
  <c r="R42" i="2"/>
  <c r="R41" i="2"/>
  <c r="R40" i="2"/>
  <c r="R39" i="2"/>
  <c r="R38" i="2"/>
  <c r="R37" i="2"/>
  <c r="R36" i="2"/>
  <c r="R35" i="2"/>
  <c r="R34" i="2"/>
  <c r="R33" i="2"/>
  <c r="V33" i="2" s="1"/>
  <c r="R32" i="2"/>
  <c r="R31" i="2"/>
  <c r="R30" i="2"/>
  <c r="R29" i="2"/>
  <c r="R28" i="2"/>
  <c r="R27" i="2"/>
  <c r="R26" i="2"/>
  <c r="R25" i="2"/>
  <c r="V25" i="2" s="1"/>
  <c r="R24" i="2"/>
  <c r="R23" i="2"/>
  <c r="R22" i="2"/>
  <c r="R21" i="2"/>
  <c r="R20" i="2"/>
  <c r="R19" i="2"/>
  <c r="R18" i="2"/>
  <c r="R17" i="2"/>
  <c r="V17" i="2" s="1"/>
  <c r="R16" i="2"/>
  <c r="R15" i="2"/>
  <c r="R14" i="2"/>
  <c r="R13" i="2"/>
  <c r="R12" i="2"/>
  <c r="R11" i="2"/>
  <c r="R10" i="2"/>
  <c r="R9" i="2"/>
  <c r="V9" i="2" s="1"/>
  <c r="R8" i="2"/>
  <c r="R7" i="2"/>
  <c r="R6" i="2"/>
  <c r="R5" i="2"/>
  <c r="R4" i="2"/>
  <c r="R3" i="2"/>
  <c r="R2" i="2"/>
  <c r="Q1000" i="2"/>
  <c r="Q999" i="2"/>
  <c r="Q998" i="2"/>
  <c r="Q997" i="2"/>
  <c r="Q996" i="2"/>
  <c r="Q995" i="2"/>
  <c r="Q994" i="2"/>
  <c r="Q993" i="2"/>
  <c r="Q992" i="2"/>
  <c r="Q991" i="2"/>
  <c r="Q990" i="2"/>
  <c r="Q989" i="2"/>
  <c r="Q988" i="2"/>
  <c r="Q987" i="2"/>
  <c r="Q986" i="2"/>
  <c r="Q985" i="2"/>
  <c r="Q984" i="2"/>
  <c r="Q983" i="2"/>
  <c r="Q982" i="2"/>
  <c r="Q981" i="2"/>
  <c r="Q980" i="2"/>
  <c r="Q979" i="2"/>
  <c r="Q978" i="2"/>
  <c r="Q977" i="2"/>
  <c r="Q976" i="2"/>
  <c r="Q975" i="2"/>
  <c r="Q974" i="2"/>
  <c r="Q973" i="2"/>
  <c r="Q972" i="2"/>
  <c r="Q971" i="2"/>
  <c r="Q970" i="2"/>
  <c r="Q969" i="2"/>
  <c r="Q968" i="2"/>
  <c r="Q967" i="2"/>
  <c r="Q966" i="2"/>
  <c r="Q965" i="2"/>
  <c r="Q964" i="2"/>
  <c r="Q963" i="2"/>
  <c r="Q962" i="2"/>
  <c r="Q961" i="2"/>
  <c r="Q960" i="2"/>
  <c r="Q959" i="2"/>
  <c r="Q958" i="2"/>
  <c r="Q957" i="2"/>
  <c r="Q956" i="2"/>
  <c r="Q955" i="2"/>
  <c r="Q954" i="2"/>
  <c r="Q953" i="2"/>
  <c r="Q952" i="2"/>
  <c r="Q951" i="2"/>
  <c r="Q950" i="2"/>
  <c r="Q949" i="2"/>
  <c r="Q948" i="2"/>
  <c r="Q947" i="2"/>
  <c r="Q946" i="2"/>
  <c r="Q945" i="2"/>
  <c r="Q944" i="2"/>
  <c r="Q943" i="2"/>
  <c r="Q942" i="2"/>
  <c r="Q941" i="2"/>
  <c r="Q940" i="2"/>
  <c r="Q939" i="2"/>
  <c r="Q938" i="2"/>
  <c r="Q937" i="2"/>
  <c r="Q936" i="2"/>
  <c r="Q935" i="2"/>
  <c r="Q934" i="2"/>
  <c r="Q933" i="2"/>
  <c r="Q932" i="2"/>
  <c r="Q931" i="2"/>
  <c r="Q930" i="2"/>
  <c r="Q929" i="2"/>
  <c r="Q928" i="2"/>
  <c r="Q927" i="2"/>
  <c r="Q926" i="2"/>
  <c r="Q925" i="2"/>
  <c r="Q924" i="2"/>
  <c r="Q923" i="2"/>
  <c r="Q922" i="2"/>
  <c r="Q921" i="2"/>
  <c r="Q920" i="2"/>
  <c r="Q919" i="2"/>
  <c r="Q918" i="2"/>
  <c r="Q917" i="2"/>
  <c r="Q916" i="2"/>
  <c r="Q915" i="2"/>
  <c r="Q914" i="2"/>
  <c r="Q913" i="2"/>
  <c r="Q912" i="2"/>
  <c r="Q911" i="2"/>
  <c r="Q910" i="2"/>
  <c r="Q909" i="2"/>
  <c r="Q908" i="2"/>
  <c r="Q907" i="2"/>
  <c r="Q906" i="2"/>
  <c r="Q905" i="2"/>
  <c r="Q904" i="2"/>
  <c r="Q903" i="2"/>
  <c r="Q902" i="2"/>
  <c r="Q901" i="2"/>
  <c r="Q900" i="2"/>
  <c r="Q899" i="2"/>
  <c r="Q898" i="2"/>
  <c r="Q897" i="2"/>
  <c r="Q896" i="2"/>
  <c r="Q895" i="2"/>
  <c r="Q894" i="2"/>
  <c r="Q893" i="2"/>
  <c r="Q892" i="2"/>
  <c r="Q891" i="2"/>
  <c r="Q890" i="2"/>
  <c r="Q889" i="2"/>
  <c r="Q888" i="2"/>
  <c r="Q887" i="2"/>
  <c r="Q886" i="2"/>
  <c r="Q885" i="2"/>
  <c r="Q884" i="2"/>
  <c r="Q883" i="2"/>
  <c r="Q882" i="2"/>
  <c r="Q881" i="2"/>
  <c r="Q880" i="2"/>
  <c r="Q879" i="2"/>
  <c r="Q878" i="2"/>
  <c r="Q877" i="2"/>
  <c r="Q876" i="2"/>
  <c r="Q875" i="2"/>
  <c r="Q874" i="2"/>
  <c r="Q873" i="2"/>
  <c r="Q872" i="2"/>
  <c r="Q871" i="2"/>
  <c r="Q870" i="2"/>
  <c r="Q869" i="2"/>
  <c r="Q868" i="2"/>
  <c r="Q867" i="2"/>
  <c r="Q866" i="2"/>
  <c r="Q865" i="2"/>
  <c r="Q864" i="2"/>
  <c r="Q863" i="2"/>
  <c r="Q862" i="2"/>
  <c r="Q861" i="2"/>
  <c r="Q860" i="2"/>
  <c r="Q859" i="2"/>
  <c r="Q858" i="2"/>
  <c r="Q857" i="2"/>
  <c r="Q856" i="2"/>
  <c r="Q855" i="2"/>
  <c r="Q854" i="2"/>
  <c r="Q853" i="2"/>
  <c r="Q852" i="2"/>
  <c r="Q851" i="2"/>
  <c r="Q850" i="2"/>
  <c r="Q849" i="2"/>
  <c r="Q848" i="2"/>
  <c r="Q847" i="2"/>
  <c r="Q846" i="2"/>
  <c r="Q845" i="2"/>
  <c r="Q844" i="2"/>
  <c r="Q843" i="2"/>
  <c r="Q842" i="2"/>
  <c r="Q841" i="2"/>
  <c r="Q840" i="2"/>
  <c r="Q839" i="2"/>
  <c r="Q838" i="2"/>
  <c r="Q837" i="2"/>
  <c r="Q836" i="2"/>
  <c r="Q835" i="2"/>
  <c r="Q834" i="2"/>
  <c r="Q833" i="2"/>
  <c r="Q832" i="2"/>
  <c r="Q831" i="2"/>
  <c r="Q830" i="2"/>
  <c r="Q829" i="2"/>
  <c r="Q828" i="2"/>
  <c r="Q827" i="2"/>
  <c r="Q826" i="2"/>
  <c r="Q825" i="2"/>
  <c r="Q824" i="2"/>
  <c r="Q823" i="2"/>
  <c r="Q822" i="2"/>
  <c r="Q821" i="2"/>
  <c r="Q820" i="2"/>
  <c r="Q819" i="2"/>
  <c r="Q818" i="2"/>
  <c r="Q817" i="2"/>
  <c r="Q816" i="2"/>
  <c r="Q815" i="2"/>
  <c r="Q814" i="2"/>
  <c r="Q813" i="2"/>
  <c r="Q812" i="2"/>
  <c r="Q811" i="2"/>
  <c r="Q810" i="2"/>
  <c r="Q809" i="2"/>
  <c r="Q808" i="2"/>
  <c r="Q807" i="2"/>
  <c r="Q806" i="2"/>
  <c r="Q805" i="2"/>
  <c r="Q804" i="2"/>
  <c r="Q803" i="2"/>
  <c r="Q802" i="2"/>
  <c r="Q801" i="2"/>
  <c r="Q800" i="2"/>
  <c r="Q799" i="2"/>
  <c r="Q798" i="2"/>
  <c r="Q797" i="2"/>
  <c r="Q796" i="2"/>
  <c r="Q795" i="2"/>
  <c r="Q794" i="2"/>
  <c r="Q793" i="2"/>
  <c r="Q792" i="2"/>
  <c r="Q791" i="2"/>
  <c r="Q790" i="2"/>
  <c r="Q789" i="2"/>
  <c r="Q788" i="2"/>
  <c r="Q787" i="2"/>
  <c r="Q786" i="2"/>
  <c r="Q785" i="2"/>
  <c r="Q784" i="2"/>
  <c r="Q783" i="2"/>
  <c r="Q782" i="2"/>
  <c r="Q781" i="2"/>
  <c r="Q780" i="2"/>
  <c r="Q779" i="2"/>
  <c r="Q778" i="2"/>
  <c r="Q777" i="2"/>
  <c r="Q776" i="2"/>
  <c r="Q775" i="2"/>
  <c r="Q774" i="2"/>
  <c r="Q773" i="2"/>
  <c r="Q772" i="2"/>
  <c r="Q771" i="2"/>
  <c r="Q770" i="2"/>
  <c r="Q769" i="2"/>
  <c r="Q768" i="2"/>
  <c r="Q767" i="2"/>
  <c r="Q766" i="2"/>
  <c r="Q765" i="2"/>
  <c r="Q764" i="2"/>
  <c r="Q763" i="2"/>
  <c r="Q762" i="2"/>
  <c r="Q761" i="2"/>
  <c r="Q760" i="2"/>
  <c r="Q759" i="2"/>
  <c r="Q758" i="2"/>
  <c r="Q757" i="2"/>
  <c r="Q756" i="2"/>
  <c r="Q755" i="2"/>
  <c r="Q754" i="2"/>
  <c r="Q753" i="2"/>
  <c r="Q752" i="2"/>
  <c r="Q751" i="2"/>
  <c r="Q750" i="2"/>
  <c r="Q749" i="2"/>
  <c r="Q748" i="2"/>
  <c r="Q747" i="2"/>
  <c r="Q746" i="2"/>
  <c r="Q745" i="2"/>
  <c r="Q744" i="2"/>
  <c r="Q743" i="2"/>
  <c r="Q742" i="2"/>
  <c r="Q741" i="2"/>
  <c r="Q740" i="2"/>
  <c r="Q739" i="2"/>
  <c r="Q738" i="2"/>
  <c r="Q737" i="2"/>
  <c r="Q736" i="2"/>
  <c r="Q735" i="2"/>
  <c r="Q734" i="2"/>
  <c r="Q733" i="2"/>
  <c r="Q732" i="2"/>
  <c r="Q731" i="2"/>
  <c r="Q730" i="2"/>
  <c r="Q729" i="2"/>
  <c r="Q728" i="2"/>
  <c r="Q727" i="2"/>
  <c r="Q726" i="2"/>
  <c r="Q725" i="2"/>
  <c r="Q724" i="2"/>
  <c r="Q723" i="2"/>
  <c r="Q722" i="2"/>
  <c r="Q721" i="2"/>
  <c r="Q720" i="2"/>
  <c r="Q719" i="2"/>
  <c r="Q718" i="2"/>
  <c r="Q717" i="2"/>
  <c r="Q716" i="2"/>
  <c r="Q715" i="2"/>
  <c r="Q714" i="2"/>
  <c r="Q713" i="2"/>
  <c r="Q712" i="2"/>
  <c r="Q711" i="2"/>
  <c r="Q710" i="2"/>
  <c r="Q709" i="2"/>
  <c r="Q708" i="2"/>
  <c r="Q707" i="2"/>
  <c r="Q706" i="2"/>
  <c r="Q705" i="2"/>
  <c r="Q704" i="2"/>
  <c r="Q703" i="2"/>
  <c r="Q702" i="2"/>
  <c r="Q701" i="2"/>
  <c r="Q700" i="2"/>
  <c r="Q699" i="2"/>
  <c r="Q698" i="2"/>
  <c r="Q697" i="2"/>
  <c r="Q696" i="2"/>
  <c r="Q695" i="2"/>
  <c r="Q694" i="2"/>
  <c r="Q693" i="2"/>
  <c r="Q692" i="2"/>
  <c r="Q691" i="2"/>
  <c r="Q690" i="2"/>
  <c r="Q689" i="2"/>
  <c r="Q688" i="2"/>
  <c r="Q687" i="2"/>
  <c r="Q686" i="2"/>
  <c r="Q685" i="2"/>
  <c r="Q684" i="2"/>
  <c r="Q683" i="2"/>
  <c r="Q682" i="2"/>
  <c r="Q681" i="2"/>
  <c r="Q680" i="2"/>
  <c r="Q679" i="2"/>
  <c r="Q678" i="2"/>
  <c r="Q677" i="2"/>
  <c r="Q676" i="2"/>
  <c r="Q675" i="2"/>
  <c r="Q674" i="2"/>
  <c r="Q673" i="2"/>
  <c r="Q672" i="2"/>
  <c r="Q671" i="2"/>
  <c r="Q670" i="2"/>
  <c r="Q669" i="2"/>
  <c r="Q668" i="2"/>
  <c r="Q667" i="2"/>
  <c r="Q666" i="2"/>
  <c r="Q665" i="2"/>
  <c r="Q664" i="2"/>
  <c r="Q663" i="2"/>
  <c r="Q662" i="2"/>
  <c r="Q661" i="2"/>
  <c r="Q660" i="2"/>
  <c r="Q659" i="2"/>
  <c r="Q658" i="2"/>
  <c r="Q657" i="2"/>
  <c r="Q656" i="2"/>
  <c r="Q655" i="2"/>
  <c r="Q654" i="2"/>
  <c r="Q653" i="2"/>
  <c r="Q652" i="2"/>
  <c r="Q651" i="2"/>
  <c r="Q650" i="2"/>
  <c r="Q649" i="2"/>
  <c r="Q648" i="2"/>
  <c r="Q647" i="2"/>
  <c r="Q646" i="2"/>
  <c r="Q645" i="2"/>
  <c r="Q644" i="2"/>
  <c r="Q643" i="2"/>
  <c r="Q642" i="2"/>
  <c r="Q641" i="2"/>
  <c r="Q640" i="2"/>
  <c r="Q639" i="2"/>
  <c r="Q638" i="2"/>
  <c r="Q637" i="2"/>
  <c r="Q636" i="2"/>
  <c r="Q635" i="2"/>
  <c r="Q634" i="2"/>
  <c r="Q633" i="2"/>
  <c r="Q632" i="2"/>
  <c r="Q631" i="2"/>
  <c r="Q630" i="2"/>
  <c r="Q629" i="2"/>
  <c r="Q628" i="2"/>
  <c r="Q627" i="2"/>
  <c r="Q626" i="2"/>
  <c r="Q625" i="2"/>
  <c r="Q624" i="2"/>
  <c r="Q623" i="2"/>
  <c r="Q622" i="2"/>
  <c r="Q621" i="2"/>
  <c r="Q620" i="2"/>
  <c r="Q619" i="2"/>
  <c r="Q618" i="2"/>
  <c r="Q617" i="2"/>
  <c r="Q616" i="2"/>
  <c r="Q615" i="2"/>
  <c r="Q614" i="2"/>
  <c r="Q613" i="2"/>
  <c r="Q612" i="2"/>
  <c r="Q611" i="2"/>
  <c r="Q610" i="2"/>
  <c r="Q609" i="2"/>
  <c r="Q608" i="2"/>
  <c r="Q607" i="2"/>
  <c r="Q606" i="2"/>
  <c r="Q605" i="2"/>
  <c r="Q604" i="2"/>
  <c r="Q603" i="2"/>
  <c r="Q602" i="2"/>
  <c r="Q601" i="2"/>
  <c r="Q600" i="2"/>
  <c r="Q599" i="2"/>
  <c r="Q598" i="2"/>
  <c r="Q597" i="2"/>
  <c r="Q596" i="2"/>
  <c r="Q595" i="2"/>
  <c r="Q594" i="2"/>
  <c r="Q593" i="2"/>
  <c r="Q592" i="2"/>
  <c r="Q591" i="2"/>
  <c r="Q590" i="2"/>
  <c r="Q589" i="2"/>
  <c r="Q588" i="2"/>
  <c r="Q587" i="2"/>
  <c r="Q586" i="2"/>
  <c r="Q585" i="2"/>
  <c r="Q584" i="2"/>
  <c r="Q583" i="2"/>
  <c r="Q582" i="2"/>
  <c r="Q581" i="2"/>
  <c r="Q580" i="2"/>
  <c r="Q579" i="2"/>
  <c r="Q578" i="2"/>
  <c r="Q577" i="2"/>
  <c r="Q576" i="2"/>
  <c r="Q575" i="2"/>
  <c r="Q574" i="2"/>
  <c r="Q573" i="2"/>
  <c r="Q572" i="2"/>
  <c r="Q571" i="2"/>
  <c r="Q570" i="2"/>
  <c r="Q569" i="2"/>
  <c r="Q568" i="2"/>
  <c r="Q567" i="2"/>
  <c r="Q566" i="2"/>
  <c r="Q565" i="2"/>
  <c r="Q564" i="2"/>
  <c r="Q563" i="2"/>
  <c r="Q562" i="2"/>
  <c r="Q561" i="2"/>
  <c r="Q560" i="2"/>
  <c r="Q559" i="2"/>
  <c r="Q558" i="2"/>
  <c r="Q557" i="2"/>
  <c r="Q556" i="2"/>
  <c r="Q555" i="2"/>
  <c r="Q554" i="2"/>
  <c r="Q553" i="2"/>
  <c r="Q552" i="2"/>
  <c r="Q551" i="2"/>
  <c r="Q550" i="2"/>
  <c r="Q549" i="2"/>
  <c r="Q548" i="2"/>
  <c r="Q547" i="2"/>
  <c r="Q546" i="2"/>
  <c r="Q545" i="2"/>
  <c r="Q544" i="2"/>
  <c r="Q543" i="2"/>
  <c r="Q542" i="2"/>
  <c r="Q541" i="2"/>
  <c r="Q540" i="2"/>
  <c r="Q539" i="2"/>
  <c r="Q538" i="2"/>
  <c r="Q537" i="2"/>
  <c r="Q536" i="2"/>
  <c r="Q535" i="2"/>
  <c r="Q534" i="2"/>
  <c r="Q533" i="2"/>
  <c r="Q532" i="2"/>
  <c r="Q531" i="2"/>
  <c r="Q530" i="2"/>
  <c r="Q529" i="2"/>
  <c r="Q528" i="2"/>
  <c r="Q527" i="2"/>
  <c r="Q526" i="2"/>
  <c r="Q525" i="2"/>
  <c r="Q524" i="2"/>
  <c r="Q523" i="2"/>
  <c r="Q522" i="2"/>
  <c r="Q521" i="2"/>
  <c r="Q520" i="2"/>
  <c r="Q519" i="2"/>
  <c r="Q518" i="2"/>
  <c r="Q517" i="2"/>
  <c r="Q516" i="2"/>
  <c r="Q515" i="2"/>
  <c r="Q514" i="2"/>
  <c r="Q513" i="2"/>
  <c r="Q512" i="2"/>
  <c r="Q511" i="2"/>
  <c r="Q510" i="2"/>
  <c r="Q509" i="2"/>
  <c r="Q508" i="2"/>
  <c r="Q507" i="2"/>
  <c r="Q506" i="2"/>
  <c r="Q505" i="2"/>
  <c r="Q504" i="2"/>
  <c r="Q503" i="2"/>
  <c r="Q502" i="2"/>
  <c r="Q501" i="2"/>
  <c r="Q500" i="2"/>
  <c r="Q499" i="2"/>
  <c r="Q498" i="2"/>
  <c r="Q497" i="2"/>
  <c r="Q496" i="2"/>
  <c r="Q495" i="2"/>
  <c r="Q494" i="2"/>
  <c r="Q493" i="2"/>
  <c r="Q492" i="2"/>
  <c r="Q491" i="2"/>
  <c r="Q490" i="2"/>
  <c r="Q489" i="2"/>
  <c r="Q488" i="2"/>
  <c r="Q487" i="2"/>
  <c r="Q486" i="2"/>
  <c r="Q485" i="2"/>
  <c r="Q484" i="2"/>
  <c r="Q483" i="2"/>
  <c r="Q482" i="2"/>
  <c r="Q481" i="2"/>
  <c r="Q480" i="2"/>
  <c r="Q479" i="2"/>
  <c r="Q478" i="2"/>
  <c r="Q477" i="2"/>
  <c r="Q476" i="2"/>
  <c r="Q475" i="2"/>
  <c r="Q474" i="2"/>
  <c r="Q473" i="2"/>
  <c r="Q472" i="2"/>
  <c r="Q471" i="2"/>
  <c r="Q470" i="2"/>
  <c r="Q469" i="2"/>
  <c r="Q468" i="2"/>
  <c r="Q467" i="2"/>
  <c r="Q466" i="2"/>
  <c r="Q465" i="2"/>
  <c r="Q464" i="2"/>
  <c r="Q463" i="2"/>
  <c r="Q462" i="2"/>
  <c r="Q461" i="2"/>
  <c r="Q460" i="2"/>
  <c r="Q459" i="2"/>
  <c r="Q458" i="2"/>
  <c r="Q457" i="2"/>
  <c r="Q456" i="2"/>
  <c r="Q455" i="2"/>
  <c r="Q454" i="2"/>
  <c r="Q453" i="2"/>
  <c r="Q452" i="2"/>
  <c r="Q451" i="2"/>
  <c r="Q450" i="2"/>
  <c r="Q449" i="2"/>
  <c r="Q448" i="2"/>
  <c r="Q447" i="2"/>
  <c r="Q446" i="2"/>
  <c r="Q445" i="2"/>
  <c r="Q444" i="2"/>
  <c r="Q443" i="2"/>
  <c r="Q442" i="2"/>
  <c r="Q441" i="2"/>
  <c r="Q440" i="2"/>
  <c r="Q439" i="2"/>
  <c r="Q438" i="2"/>
  <c r="Q437" i="2"/>
  <c r="Q436" i="2"/>
  <c r="Q435" i="2"/>
  <c r="Q434" i="2"/>
  <c r="Q433" i="2"/>
  <c r="Q432" i="2"/>
  <c r="Q431" i="2"/>
  <c r="Q430" i="2"/>
  <c r="Q429" i="2"/>
  <c r="Q428" i="2"/>
  <c r="Q427" i="2"/>
  <c r="Q426" i="2"/>
  <c r="Q425" i="2"/>
  <c r="Q424" i="2"/>
  <c r="Q423" i="2"/>
  <c r="Q422" i="2"/>
  <c r="Q421" i="2"/>
  <c r="Q420" i="2"/>
  <c r="Q419" i="2"/>
  <c r="Q418" i="2"/>
  <c r="Q417" i="2"/>
  <c r="Q416" i="2"/>
  <c r="Q415" i="2"/>
  <c r="Q414" i="2"/>
  <c r="Q413" i="2"/>
  <c r="Q412" i="2"/>
  <c r="Q411" i="2"/>
  <c r="Q410" i="2"/>
  <c r="Q409" i="2"/>
  <c r="Q408" i="2"/>
  <c r="Q407" i="2"/>
  <c r="Q406" i="2"/>
  <c r="Q405" i="2"/>
  <c r="Q404" i="2"/>
  <c r="Q403" i="2"/>
  <c r="Q402" i="2"/>
  <c r="Q401" i="2"/>
  <c r="Q400" i="2"/>
  <c r="Q399" i="2"/>
  <c r="Q398" i="2"/>
  <c r="Q397" i="2"/>
  <c r="Q396" i="2"/>
  <c r="Q395" i="2"/>
  <c r="Q394" i="2"/>
  <c r="Q393" i="2"/>
  <c r="Q392" i="2"/>
  <c r="Q391" i="2"/>
  <c r="Q390" i="2"/>
  <c r="Q389" i="2"/>
  <c r="Q388" i="2"/>
  <c r="Q387" i="2"/>
  <c r="Q386" i="2"/>
  <c r="Q385" i="2"/>
  <c r="Q384" i="2"/>
  <c r="Q383" i="2"/>
  <c r="Q382" i="2"/>
  <c r="Q381" i="2"/>
  <c r="Q380" i="2"/>
  <c r="Q379" i="2"/>
  <c r="Q378" i="2"/>
  <c r="Q377" i="2"/>
  <c r="Q376" i="2"/>
  <c r="Q375" i="2"/>
  <c r="Q374" i="2"/>
  <c r="Q373" i="2"/>
  <c r="Q372" i="2"/>
  <c r="Q371" i="2"/>
  <c r="Q370" i="2"/>
  <c r="Q369" i="2"/>
  <c r="Q368" i="2"/>
  <c r="Q367" i="2"/>
  <c r="Q366" i="2"/>
  <c r="Q365" i="2"/>
  <c r="Q364" i="2"/>
  <c r="Q363" i="2"/>
  <c r="Q362" i="2"/>
  <c r="Q361" i="2"/>
  <c r="Q360" i="2"/>
  <c r="Q359" i="2"/>
  <c r="Q358" i="2"/>
  <c r="Q357" i="2"/>
  <c r="Q356" i="2"/>
  <c r="Q355" i="2"/>
  <c r="Q354" i="2"/>
  <c r="Q353" i="2"/>
  <c r="Q352" i="2"/>
  <c r="Q351" i="2"/>
  <c r="Q350" i="2"/>
  <c r="Q349" i="2"/>
  <c r="Q348" i="2"/>
  <c r="Q347" i="2"/>
  <c r="Q346" i="2"/>
  <c r="Q345" i="2"/>
  <c r="Q344" i="2"/>
  <c r="Q343" i="2"/>
  <c r="Q342" i="2"/>
  <c r="Q341" i="2"/>
  <c r="Q340" i="2"/>
  <c r="Q339" i="2"/>
  <c r="Q338" i="2"/>
  <c r="Q337" i="2"/>
  <c r="Q336" i="2"/>
  <c r="Q335" i="2"/>
  <c r="Q334" i="2"/>
  <c r="Q333" i="2"/>
  <c r="Q332" i="2"/>
  <c r="Q331" i="2"/>
  <c r="Q330" i="2"/>
  <c r="Q329" i="2"/>
  <c r="Q328" i="2"/>
  <c r="Q327" i="2"/>
  <c r="Q326" i="2"/>
  <c r="Q325" i="2"/>
  <c r="Q324" i="2"/>
  <c r="Q323" i="2"/>
  <c r="Q322" i="2"/>
  <c r="Q321" i="2"/>
  <c r="Q320" i="2"/>
  <c r="Q319" i="2"/>
  <c r="Q318" i="2"/>
  <c r="Q317" i="2"/>
  <c r="Q316" i="2"/>
  <c r="Q315" i="2"/>
  <c r="Q314" i="2"/>
  <c r="Q313" i="2"/>
  <c r="Q312" i="2"/>
  <c r="Q311" i="2"/>
  <c r="Q310" i="2"/>
  <c r="Q309" i="2"/>
  <c r="Q308" i="2"/>
  <c r="Q307" i="2"/>
  <c r="Q306" i="2"/>
  <c r="Q305" i="2"/>
  <c r="Q304" i="2"/>
  <c r="Q303" i="2"/>
  <c r="Q302" i="2"/>
  <c r="Q301" i="2"/>
  <c r="Q300" i="2"/>
  <c r="Q299" i="2"/>
  <c r="Q298" i="2"/>
  <c r="Q297" i="2"/>
  <c r="Q296" i="2"/>
  <c r="Q295" i="2"/>
  <c r="Q294" i="2"/>
  <c r="Q293" i="2"/>
  <c r="Q292" i="2"/>
  <c r="Q291" i="2"/>
  <c r="Q290" i="2"/>
  <c r="Q289" i="2"/>
  <c r="Q288" i="2"/>
  <c r="Q287" i="2"/>
  <c r="Q286" i="2"/>
  <c r="Q285" i="2"/>
  <c r="Q284" i="2"/>
  <c r="Q283" i="2"/>
  <c r="Q282" i="2"/>
  <c r="Q281" i="2"/>
  <c r="Q280" i="2"/>
  <c r="Q279" i="2"/>
  <c r="Q278" i="2"/>
  <c r="Q277" i="2"/>
  <c r="Q276" i="2"/>
  <c r="Q275" i="2"/>
  <c r="Q274" i="2"/>
  <c r="Q273" i="2"/>
  <c r="Q272" i="2"/>
  <c r="Q271" i="2"/>
  <c r="Q270" i="2"/>
  <c r="Q269" i="2"/>
  <c r="Q268" i="2"/>
  <c r="Q267" i="2"/>
  <c r="Q266" i="2"/>
  <c r="Q265" i="2"/>
  <c r="Q264" i="2"/>
  <c r="Q263" i="2"/>
  <c r="Q262" i="2"/>
  <c r="Q261" i="2"/>
  <c r="Q260" i="2"/>
  <c r="Q259" i="2"/>
  <c r="Q258" i="2"/>
  <c r="Q257" i="2"/>
  <c r="Q256" i="2"/>
  <c r="Q255" i="2"/>
  <c r="Q254" i="2"/>
  <c r="Q253" i="2"/>
  <c r="Q252" i="2"/>
  <c r="Q251" i="2"/>
  <c r="Q250" i="2"/>
  <c r="Q249" i="2"/>
  <c r="Q248" i="2"/>
  <c r="Q247" i="2"/>
  <c r="Q246" i="2"/>
  <c r="Q245" i="2"/>
  <c r="Q244" i="2"/>
  <c r="Q243" i="2"/>
  <c r="Q242" i="2"/>
  <c r="Q241" i="2"/>
  <c r="Q240" i="2"/>
  <c r="Q239" i="2"/>
  <c r="Q238" i="2"/>
  <c r="Q237" i="2"/>
  <c r="Q236" i="2"/>
  <c r="Q235" i="2"/>
  <c r="Q234" i="2"/>
  <c r="Q233" i="2"/>
  <c r="Q232" i="2"/>
  <c r="Q231" i="2"/>
  <c r="Q230" i="2"/>
  <c r="Q229" i="2"/>
  <c r="Q228" i="2"/>
  <c r="Q227" i="2"/>
  <c r="Q226" i="2"/>
  <c r="Q225" i="2"/>
  <c r="Q224" i="2"/>
  <c r="Q223" i="2"/>
  <c r="Q222" i="2"/>
  <c r="Q221" i="2"/>
  <c r="Q220" i="2"/>
  <c r="Q219" i="2"/>
  <c r="Q218" i="2"/>
  <c r="Q217" i="2"/>
  <c r="Q216" i="2"/>
  <c r="Q215" i="2"/>
  <c r="Q214" i="2"/>
  <c r="Q213" i="2"/>
  <c r="Q212" i="2"/>
  <c r="Q211" i="2"/>
  <c r="Q210" i="2"/>
  <c r="Q209" i="2"/>
  <c r="Q208" i="2"/>
  <c r="Q207" i="2"/>
  <c r="Q206" i="2"/>
  <c r="Q205" i="2"/>
  <c r="Q204" i="2"/>
  <c r="Q203" i="2"/>
  <c r="Q202" i="2"/>
  <c r="Q201" i="2"/>
  <c r="Q200" i="2"/>
  <c r="Q199" i="2"/>
  <c r="Q198" i="2"/>
  <c r="Q197" i="2"/>
  <c r="Q196" i="2"/>
  <c r="Q195" i="2"/>
  <c r="Q194" i="2"/>
  <c r="Q193" i="2"/>
  <c r="Q192" i="2"/>
  <c r="Q191" i="2"/>
  <c r="Q190" i="2"/>
  <c r="Q189" i="2"/>
  <c r="Q188" i="2"/>
  <c r="Q187" i="2"/>
  <c r="Q186" i="2"/>
  <c r="Q185" i="2"/>
  <c r="Q184" i="2"/>
  <c r="Q183" i="2"/>
  <c r="Q182" i="2"/>
  <c r="Q181" i="2"/>
  <c r="Q180" i="2"/>
  <c r="Q179" i="2"/>
  <c r="Q178" i="2"/>
  <c r="Q177" i="2"/>
  <c r="Q176" i="2"/>
  <c r="Q175" i="2"/>
  <c r="Q174" i="2"/>
  <c r="Q173" i="2"/>
  <c r="Q172" i="2"/>
  <c r="Q171" i="2"/>
  <c r="Q170" i="2"/>
  <c r="Q169" i="2"/>
  <c r="Q168" i="2"/>
  <c r="Q167" i="2"/>
  <c r="Q166" i="2"/>
  <c r="Q165" i="2"/>
  <c r="Q164" i="2"/>
  <c r="Q163" i="2"/>
  <c r="Q162" i="2"/>
  <c r="Q161" i="2"/>
  <c r="Q160" i="2"/>
  <c r="Q159" i="2"/>
  <c r="Q158" i="2"/>
  <c r="Q157" i="2"/>
  <c r="Q156" i="2"/>
  <c r="Q155" i="2"/>
  <c r="Q154" i="2"/>
  <c r="Q153" i="2"/>
  <c r="Q152" i="2"/>
  <c r="Q151" i="2"/>
  <c r="Q150" i="2"/>
  <c r="Q149" i="2"/>
  <c r="Q148" i="2"/>
  <c r="Q147" i="2"/>
  <c r="Q146" i="2"/>
  <c r="Q145" i="2"/>
  <c r="Q144" i="2"/>
  <c r="Q143" i="2"/>
  <c r="Q142" i="2"/>
  <c r="Q141" i="2"/>
  <c r="Q140" i="2"/>
  <c r="Q139" i="2"/>
  <c r="Q138" i="2"/>
  <c r="Q137" i="2"/>
  <c r="Q136" i="2"/>
  <c r="Q135" i="2"/>
  <c r="Q134" i="2"/>
  <c r="Q133" i="2"/>
  <c r="Q132" i="2"/>
  <c r="Q131" i="2"/>
  <c r="Q130" i="2"/>
  <c r="Q129" i="2"/>
  <c r="Q128" i="2"/>
  <c r="Q127" i="2"/>
  <c r="Q126" i="2"/>
  <c r="Q125" i="2"/>
  <c r="Q124" i="2"/>
  <c r="Q123" i="2"/>
  <c r="Q122" i="2"/>
  <c r="Q121" i="2"/>
  <c r="Q120" i="2"/>
  <c r="Q119" i="2"/>
  <c r="Q118" i="2"/>
  <c r="Q117" i="2"/>
  <c r="Q116" i="2"/>
  <c r="Q115" i="2"/>
  <c r="Q114" i="2"/>
  <c r="Q113" i="2"/>
  <c r="Q112" i="2"/>
  <c r="Q111" i="2"/>
  <c r="Q110" i="2"/>
  <c r="Q109" i="2"/>
  <c r="Q108" i="2"/>
  <c r="Q107" i="2"/>
  <c r="Q106" i="2"/>
  <c r="Q105" i="2"/>
  <c r="Q104" i="2"/>
  <c r="Q103" i="2"/>
  <c r="Q102" i="2"/>
  <c r="Q101" i="2"/>
  <c r="Q100" i="2"/>
  <c r="Q99" i="2"/>
  <c r="Q98" i="2"/>
  <c r="Q97" i="2"/>
  <c r="Q96" i="2"/>
  <c r="Q95" i="2"/>
  <c r="Q94" i="2"/>
  <c r="Q93" i="2"/>
  <c r="Q92" i="2"/>
  <c r="Q91" i="2"/>
  <c r="Q90" i="2"/>
  <c r="Q89" i="2"/>
  <c r="Q88" i="2"/>
  <c r="Q87" i="2"/>
  <c r="Q86" i="2"/>
  <c r="Q85" i="2"/>
  <c r="Q84" i="2"/>
  <c r="Q83" i="2"/>
  <c r="Q82" i="2"/>
  <c r="Q81" i="2"/>
  <c r="Q80" i="2"/>
  <c r="Q79" i="2"/>
  <c r="Q78" i="2"/>
  <c r="Q77" i="2"/>
  <c r="Q76" i="2"/>
  <c r="Q75" i="2"/>
  <c r="Q74" i="2"/>
  <c r="Q73" i="2"/>
  <c r="Q72" i="2"/>
  <c r="Q71" i="2"/>
  <c r="Q70" i="2"/>
  <c r="Q69" i="2"/>
  <c r="Q68" i="2"/>
  <c r="Q67" i="2"/>
  <c r="Q66" i="2"/>
  <c r="Q65" i="2"/>
  <c r="Q64" i="2"/>
  <c r="Q63" i="2"/>
  <c r="Q62" i="2"/>
  <c r="Q61" i="2"/>
  <c r="Q60" i="2"/>
  <c r="Q59" i="2"/>
  <c r="Q58" i="2"/>
  <c r="Q57" i="2"/>
  <c r="Q56" i="2"/>
  <c r="Q55" i="2"/>
  <c r="Q54" i="2"/>
  <c r="Q53" i="2"/>
  <c r="Q52" i="2"/>
  <c r="Q51" i="2"/>
  <c r="Q50" i="2"/>
  <c r="Q49" i="2"/>
  <c r="Q48" i="2"/>
  <c r="Q47" i="2"/>
  <c r="Q46" i="2"/>
  <c r="Q45" i="2"/>
  <c r="Q44" i="2"/>
  <c r="Q43" i="2"/>
  <c r="Q42" i="2"/>
  <c r="Q41" i="2"/>
  <c r="Q40" i="2"/>
  <c r="Q39" i="2"/>
  <c r="Q38" i="2"/>
  <c r="Q37" i="2"/>
  <c r="Q36" i="2"/>
  <c r="Q35" i="2"/>
  <c r="Q34" i="2"/>
  <c r="Q33" i="2"/>
  <c r="Q32" i="2"/>
  <c r="Q31" i="2"/>
  <c r="Q30" i="2"/>
  <c r="Q29" i="2"/>
  <c r="Q28" i="2"/>
  <c r="Q27" i="2"/>
  <c r="Q26" i="2"/>
  <c r="Q25" i="2"/>
  <c r="Q24" i="2"/>
  <c r="Q23" i="2"/>
  <c r="Q22" i="2"/>
  <c r="Q21" i="2"/>
  <c r="Q20" i="2"/>
  <c r="Q19" i="2"/>
  <c r="Q18" i="2"/>
  <c r="Q17" i="2"/>
  <c r="Q16" i="2"/>
  <c r="Q15" i="2"/>
  <c r="Q14" i="2"/>
  <c r="Q13" i="2"/>
  <c r="Q12" i="2"/>
  <c r="Q11" i="2"/>
  <c r="Q10" i="2"/>
  <c r="Q9" i="2"/>
  <c r="Q8" i="2"/>
  <c r="Q7" i="2"/>
  <c r="Q6" i="2"/>
  <c r="Q5" i="2"/>
  <c r="Q4" i="2"/>
  <c r="Q3" i="2"/>
  <c r="Q2" i="2"/>
  <c r="P1000" i="2"/>
  <c r="P999" i="2"/>
  <c r="P998" i="2"/>
  <c r="P997" i="2"/>
  <c r="P996" i="2"/>
  <c r="P995" i="2"/>
  <c r="P994" i="2"/>
  <c r="P993" i="2"/>
  <c r="P992" i="2"/>
  <c r="P991" i="2"/>
  <c r="P990" i="2"/>
  <c r="P989" i="2"/>
  <c r="P988" i="2"/>
  <c r="P987" i="2"/>
  <c r="P986" i="2"/>
  <c r="P985" i="2"/>
  <c r="P984" i="2"/>
  <c r="P983" i="2"/>
  <c r="P982" i="2"/>
  <c r="P981" i="2"/>
  <c r="P980" i="2"/>
  <c r="P979" i="2"/>
  <c r="P978" i="2"/>
  <c r="P977" i="2"/>
  <c r="P976" i="2"/>
  <c r="P975" i="2"/>
  <c r="P974" i="2"/>
  <c r="P973" i="2"/>
  <c r="P972" i="2"/>
  <c r="P971" i="2"/>
  <c r="P970" i="2"/>
  <c r="P969" i="2"/>
  <c r="P968" i="2"/>
  <c r="P967" i="2"/>
  <c r="P966" i="2"/>
  <c r="P965" i="2"/>
  <c r="P964" i="2"/>
  <c r="P963" i="2"/>
  <c r="P962" i="2"/>
  <c r="P961" i="2"/>
  <c r="P960" i="2"/>
  <c r="P959" i="2"/>
  <c r="P958" i="2"/>
  <c r="P957" i="2"/>
  <c r="P956" i="2"/>
  <c r="P955" i="2"/>
  <c r="P954" i="2"/>
  <c r="P953" i="2"/>
  <c r="P952" i="2"/>
  <c r="P951" i="2"/>
  <c r="P950" i="2"/>
  <c r="P949" i="2"/>
  <c r="P948" i="2"/>
  <c r="P947" i="2"/>
  <c r="P946" i="2"/>
  <c r="P945" i="2"/>
  <c r="P944" i="2"/>
  <c r="P943" i="2"/>
  <c r="P942" i="2"/>
  <c r="P941" i="2"/>
  <c r="P940" i="2"/>
  <c r="P939" i="2"/>
  <c r="P938" i="2"/>
  <c r="P937" i="2"/>
  <c r="P936" i="2"/>
  <c r="P935" i="2"/>
  <c r="P934" i="2"/>
  <c r="P933" i="2"/>
  <c r="P932" i="2"/>
  <c r="P931" i="2"/>
  <c r="P930" i="2"/>
  <c r="P929" i="2"/>
  <c r="P928" i="2"/>
  <c r="P927" i="2"/>
  <c r="P926" i="2"/>
  <c r="P925" i="2"/>
  <c r="P924" i="2"/>
  <c r="P923" i="2"/>
  <c r="P922" i="2"/>
  <c r="P921" i="2"/>
  <c r="P920" i="2"/>
  <c r="P919" i="2"/>
  <c r="P918" i="2"/>
  <c r="P917" i="2"/>
  <c r="P916" i="2"/>
  <c r="P915" i="2"/>
  <c r="P914" i="2"/>
  <c r="P913" i="2"/>
  <c r="P912" i="2"/>
  <c r="P911" i="2"/>
  <c r="P910" i="2"/>
  <c r="P909" i="2"/>
  <c r="P908" i="2"/>
  <c r="P907" i="2"/>
  <c r="P906" i="2"/>
  <c r="P905" i="2"/>
  <c r="P904" i="2"/>
  <c r="P903" i="2"/>
  <c r="P902" i="2"/>
  <c r="P901" i="2"/>
  <c r="P900" i="2"/>
  <c r="P899" i="2"/>
  <c r="P898" i="2"/>
  <c r="P897" i="2"/>
  <c r="P896" i="2"/>
  <c r="P895" i="2"/>
  <c r="P894" i="2"/>
  <c r="P893" i="2"/>
  <c r="P892" i="2"/>
  <c r="P891" i="2"/>
  <c r="P890" i="2"/>
  <c r="P889" i="2"/>
  <c r="P888" i="2"/>
  <c r="P887" i="2"/>
  <c r="P886" i="2"/>
  <c r="P885" i="2"/>
  <c r="P884" i="2"/>
  <c r="P883" i="2"/>
  <c r="P882" i="2"/>
  <c r="P881" i="2"/>
  <c r="P880" i="2"/>
  <c r="P879" i="2"/>
  <c r="P878" i="2"/>
  <c r="P877" i="2"/>
  <c r="P876" i="2"/>
  <c r="P875" i="2"/>
  <c r="P874" i="2"/>
  <c r="P873" i="2"/>
  <c r="P872" i="2"/>
  <c r="P871" i="2"/>
  <c r="P870" i="2"/>
  <c r="P869" i="2"/>
  <c r="P868" i="2"/>
  <c r="P867" i="2"/>
  <c r="P866" i="2"/>
  <c r="P865" i="2"/>
  <c r="P864" i="2"/>
  <c r="P863" i="2"/>
  <c r="P862" i="2"/>
  <c r="P861" i="2"/>
  <c r="P860" i="2"/>
  <c r="P859" i="2"/>
  <c r="P858" i="2"/>
  <c r="P857" i="2"/>
  <c r="P856" i="2"/>
  <c r="P855" i="2"/>
  <c r="P854" i="2"/>
  <c r="P853" i="2"/>
  <c r="P852" i="2"/>
  <c r="P851" i="2"/>
  <c r="P850" i="2"/>
  <c r="P849" i="2"/>
  <c r="P848" i="2"/>
  <c r="P847" i="2"/>
  <c r="P846" i="2"/>
  <c r="P845" i="2"/>
  <c r="P844" i="2"/>
  <c r="P843" i="2"/>
  <c r="P842" i="2"/>
  <c r="P841" i="2"/>
  <c r="P840" i="2"/>
  <c r="P839" i="2"/>
  <c r="P838" i="2"/>
  <c r="P837" i="2"/>
  <c r="P836" i="2"/>
  <c r="P835" i="2"/>
  <c r="P834" i="2"/>
  <c r="P833" i="2"/>
  <c r="P832" i="2"/>
  <c r="P831" i="2"/>
  <c r="P830" i="2"/>
  <c r="P829" i="2"/>
  <c r="P828" i="2"/>
  <c r="P827" i="2"/>
  <c r="P826" i="2"/>
  <c r="P825" i="2"/>
  <c r="P824" i="2"/>
  <c r="P823" i="2"/>
  <c r="P822" i="2"/>
  <c r="P821" i="2"/>
  <c r="P820" i="2"/>
  <c r="P819" i="2"/>
  <c r="P818" i="2"/>
  <c r="P817" i="2"/>
  <c r="P816" i="2"/>
  <c r="P815" i="2"/>
  <c r="P814" i="2"/>
  <c r="P813" i="2"/>
  <c r="P812" i="2"/>
  <c r="P811" i="2"/>
  <c r="P810" i="2"/>
  <c r="P809" i="2"/>
  <c r="P808" i="2"/>
  <c r="P807" i="2"/>
  <c r="P806" i="2"/>
  <c r="P805" i="2"/>
  <c r="P804" i="2"/>
  <c r="P803" i="2"/>
  <c r="P802" i="2"/>
  <c r="P801" i="2"/>
  <c r="P800" i="2"/>
  <c r="P799" i="2"/>
  <c r="P798" i="2"/>
  <c r="P797" i="2"/>
  <c r="P796" i="2"/>
  <c r="P795" i="2"/>
  <c r="P794" i="2"/>
  <c r="P793" i="2"/>
  <c r="P792" i="2"/>
  <c r="P791" i="2"/>
  <c r="P790" i="2"/>
  <c r="P789" i="2"/>
  <c r="P788" i="2"/>
  <c r="P787" i="2"/>
  <c r="P786" i="2"/>
  <c r="P785" i="2"/>
  <c r="P784" i="2"/>
  <c r="P783" i="2"/>
  <c r="P782" i="2"/>
  <c r="P781" i="2"/>
  <c r="P780" i="2"/>
  <c r="P779" i="2"/>
  <c r="P778" i="2"/>
  <c r="P777" i="2"/>
  <c r="P776" i="2"/>
  <c r="P775" i="2"/>
  <c r="P774" i="2"/>
  <c r="P773" i="2"/>
  <c r="P772" i="2"/>
  <c r="P771" i="2"/>
  <c r="P770" i="2"/>
  <c r="P769" i="2"/>
  <c r="P768" i="2"/>
  <c r="P767" i="2"/>
  <c r="P766" i="2"/>
  <c r="P765" i="2"/>
  <c r="P764" i="2"/>
  <c r="P763" i="2"/>
  <c r="P762" i="2"/>
  <c r="P761" i="2"/>
  <c r="P760" i="2"/>
  <c r="P759" i="2"/>
  <c r="P758" i="2"/>
  <c r="P757" i="2"/>
  <c r="P756" i="2"/>
  <c r="P755" i="2"/>
  <c r="P754" i="2"/>
  <c r="P753" i="2"/>
  <c r="P752" i="2"/>
  <c r="P751" i="2"/>
  <c r="P750" i="2"/>
  <c r="P749" i="2"/>
  <c r="P748" i="2"/>
  <c r="P747" i="2"/>
  <c r="P746" i="2"/>
  <c r="P745" i="2"/>
  <c r="P744" i="2"/>
  <c r="P743" i="2"/>
  <c r="P742" i="2"/>
  <c r="P741" i="2"/>
  <c r="P740" i="2"/>
  <c r="P739" i="2"/>
  <c r="P738" i="2"/>
  <c r="P737" i="2"/>
  <c r="P736" i="2"/>
  <c r="P735" i="2"/>
  <c r="P734" i="2"/>
  <c r="P733" i="2"/>
  <c r="P732" i="2"/>
  <c r="P731" i="2"/>
  <c r="P730" i="2"/>
  <c r="P729" i="2"/>
  <c r="P728" i="2"/>
  <c r="P727" i="2"/>
  <c r="P726" i="2"/>
  <c r="P725" i="2"/>
  <c r="P724" i="2"/>
  <c r="P723" i="2"/>
  <c r="P722" i="2"/>
  <c r="P721" i="2"/>
  <c r="P720" i="2"/>
  <c r="P719" i="2"/>
  <c r="P718" i="2"/>
  <c r="P717" i="2"/>
  <c r="P716" i="2"/>
  <c r="P715" i="2"/>
  <c r="P714" i="2"/>
  <c r="P713" i="2"/>
  <c r="P712" i="2"/>
  <c r="P711" i="2"/>
  <c r="P710" i="2"/>
  <c r="P709" i="2"/>
  <c r="P708" i="2"/>
  <c r="P707" i="2"/>
  <c r="P706" i="2"/>
  <c r="P705" i="2"/>
  <c r="P704" i="2"/>
  <c r="P703" i="2"/>
  <c r="P702" i="2"/>
  <c r="P701" i="2"/>
  <c r="P700" i="2"/>
  <c r="P699" i="2"/>
  <c r="P698" i="2"/>
  <c r="P697" i="2"/>
  <c r="P696" i="2"/>
  <c r="P695" i="2"/>
  <c r="P694" i="2"/>
  <c r="P693" i="2"/>
  <c r="P692" i="2"/>
  <c r="P691" i="2"/>
  <c r="P690" i="2"/>
  <c r="P689" i="2"/>
  <c r="P688" i="2"/>
  <c r="P687" i="2"/>
  <c r="P686" i="2"/>
  <c r="P685" i="2"/>
  <c r="P684" i="2"/>
  <c r="P683" i="2"/>
  <c r="P682" i="2"/>
  <c r="P681" i="2"/>
  <c r="P680" i="2"/>
  <c r="P679" i="2"/>
  <c r="P678" i="2"/>
  <c r="P677" i="2"/>
  <c r="P676" i="2"/>
  <c r="P675" i="2"/>
  <c r="P674" i="2"/>
  <c r="P673" i="2"/>
  <c r="P672" i="2"/>
  <c r="P671" i="2"/>
  <c r="P670" i="2"/>
  <c r="P669" i="2"/>
  <c r="P668" i="2"/>
  <c r="P667" i="2"/>
  <c r="P666" i="2"/>
  <c r="P665" i="2"/>
  <c r="P664" i="2"/>
  <c r="P663" i="2"/>
  <c r="P662" i="2"/>
  <c r="P661" i="2"/>
  <c r="P660" i="2"/>
  <c r="P659" i="2"/>
  <c r="P658" i="2"/>
  <c r="P657" i="2"/>
  <c r="P656" i="2"/>
  <c r="P655" i="2"/>
  <c r="P654" i="2"/>
  <c r="P653" i="2"/>
  <c r="P652" i="2"/>
  <c r="P651" i="2"/>
  <c r="P650" i="2"/>
  <c r="P649" i="2"/>
  <c r="P648" i="2"/>
  <c r="P647" i="2"/>
  <c r="P646" i="2"/>
  <c r="P645" i="2"/>
  <c r="P644" i="2"/>
  <c r="P643" i="2"/>
  <c r="P642" i="2"/>
  <c r="P641" i="2"/>
  <c r="P640" i="2"/>
  <c r="P639" i="2"/>
  <c r="P638" i="2"/>
  <c r="P637" i="2"/>
  <c r="P636" i="2"/>
  <c r="P635" i="2"/>
  <c r="P634" i="2"/>
  <c r="P633" i="2"/>
  <c r="P632" i="2"/>
  <c r="P631" i="2"/>
  <c r="P630" i="2"/>
  <c r="P629" i="2"/>
  <c r="P628" i="2"/>
  <c r="P627" i="2"/>
  <c r="P626" i="2"/>
  <c r="P625" i="2"/>
  <c r="P624" i="2"/>
  <c r="P623" i="2"/>
  <c r="P622" i="2"/>
  <c r="P621" i="2"/>
  <c r="P620" i="2"/>
  <c r="P619" i="2"/>
  <c r="P618" i="2"/>
  <c r="P617" i="2"/>
  <c r="P616" i="2"/>
  <c r="P615" i="2"/>
  <c r="P614" i="2"/>
  <c r="P613" i="2"/>
  <c r="P612" i="2"/>
  <c r="P611" i="2"/>
  <c r="P610" i="2"/>
  <c r="P609" i="2"/>
  <c r="P608" i="2"/>
  <c r="P607" i="2"/>
  <c r="P606" i="2"/>
  <c r="P605" i="2"/>
  <c r="P604" i="2"/>
  <c r="P603" i="2"/>
  <c r="P602" i="2"/>
  <c r="P601" i="2"/>
  <c r="P600" i="2"/>
  <c r="P599" i="2"/>
  <c r="P598" i="2"/>
  <c r="P597" i="2"/>
  <c r="P596" i="2"/>
  <c r="P595" i="2"/>
  <c r="P594" i="2"/>
  <c r="P593" i="2"/>
  <c r="P592" i="2"/>
  <c r="P591" i="2"/>
  <c r="P590" i="2"/>
  <c r="P589" i="2"/>
  <c r="P588" i="2"/>
  <c r="P587" i="2"/>
  <c r="P586" i="2"/>
  <c r="P585" i="2"/>
  <c r="P584" i="2"/>
  <c r="P583" i="2"/>
  <c r="P582" i="2"/>
  <c r="P581" i="2"/>
  <c r="P580" i="2"/>
  <c r="P579" i="2"/>
  <c r="P578" i="2"/>
  <c r="P577" i="2"/>
  <c r="P576" i="2"/>
  <c r="P575" i="2"/>
  <c r="P574" i="2"/>
  <c r="P573" i="2"/>
  <c r="P572" i="2"/>
  <c r="P571" i="2"/>
  <c r="P570" i="2"/>
  <c r="P569" i="2"/>
  <c r="P568" i="2"/>
  <c r="P567" i="2"/>
  <c r="P566" i="2"/>
  <c r="P565" i="2"/>
  <c r="P564" i="2"/>
  <c r="P563" i="2"/>
  <c r="P562" i="2"/>
  <c r="P561" i="2"/>
  <c r="P560" i="2"/>
  <c r="P559" i="2"/>
  <c r="P558" i="2"/>
  <c r="P557" i="2"/>
  <c r="P556" i="2"/>
  <c r="P555" i="2"/>
  <c r="P554" i="2"/>
  <c r="P553" i="2"/>
  <c r="P552" i="2"/>
  <c r="P551" i="2"/>
  <c r="P550" i="2"/>
  <c r="P549" i="2"/>
  <c r="P548" i="2"/>
  <c r="P547" i="2"/>
  <c r="P546" i="2"/>
  <c r="P545" i="2"/>
  <c r="P544" i="2"/>
  <c r="P543" i="2"/>
  <c r="P542" i="2"/>
  <c r="P541" i="2"/>
  <c r="P540" i="2"/>
  <c r="P539" i="2"/>
  <c r="P538" i="2"/>
  <c r="P537" i="2"/>
  <c r="P536" i="2"/>
  <c r="P535" i="2"/>
  <c r="P534" i="2"/>
  <c r="P533" i="2"/>
  <c r="P532" i="2"/>
  <c r="P531" i="2"/>
  <c r="P530" i="2"/>
  <c r="P529" i="2"/>
  <c r="P528" i="2"/>
  <c r="P527" i="2"/>
  <c r="P526" i="2"/>
  <c r="P525" i="2"/>
  <c r="P524" i="2"/>
  <c r="P523" i="2"/>
  <c r="P522" i="2"/>
  <c r="P521" i="2"/>
  <c r="P520" i="2"/>
  <c r="P519" i="2"/>
  <c r="P518" i="2"/>
  <c r="P517" i="2"/>
  <c r="P516" i="2"/>
  <c r="P515" i="2"/>
  <c r="P514" i="2"/>
  <c r="P513" i="2"/>
  <c r="P512" i="2"/>
  <c r="P511" i="2"/>
  <c r="P510" i="2"/>
  <c r="P509" i="2"/>
  <c r="P508" i="2"/>
  <c r="P507" i="2"/>
  <c r="P506" i="2"/>
  <c r="P505" i="2"/>
  <c r="P504" i="2"/>
  <c r="P503" i="2"/>
  <c r="P502" i="2"/>
  <c r="P501" i="2"/>
  <c r="P500" i="2"/>
  <c r="P499" i="2"/>
  <c r="P498" i="2"/>
  <c r="P497" i="2"/>
  <c r="P496" i="2"/>
  <c r="P495" i="2"/>
  <c r="P494" i="2"/>
  <c r="P493" i="2"/>
  <c r="P492" i="2"/>
  <c r="P491" i="2"/>
  <c r="P490" i="2"/>
  <c r="P489" i="2"/>
  <c r="P488" i="2"/>
  <c r="P487" i="2"/>
  <c r="P486" i="2"/>
  <c r="P485" i="2"/>
  <c r="P484" i="2"/>
  <c r="P483" i="2"/>
  <c r="P482" i="2"/>
  <c r="P481" i="2"/>
  <c r="P480" i="2"/>
  <c r="P479" i="2"/>
  <c r="P478" i="2"/>
  <c r="P477" i="2"/>
  <c r="P476" i="2"/>
  <c r="P475" i="2"/>
  <c r="P474" i="2"/>
  <c r="P473" i="2"/>
  <c r="P472" i="2"/>
  <c r="P471" i="2"/>
  <c r="P470" i="2"/>
  <c r="P469" i="2"/>
  <c r="P468" i="2"/>
  <c r="P467" i="2"/>
  <c r="P466" i="2"/>
  <c r="P465" i="2"/>
  <c r="P464" i="2"/>
  <c r="P463" i="2"/>
  <c r="P462" i="2"/>
  <c r="P461" i="2"/>
  <c r="P460" i="2"/>
  <c r="P459" i="2"/>
  <c r="P458" i="2"/>
  <c r="P457" i="2"/>
  <c r="P456" i="2"/>
  <c r="P455" i="2"/>
  <c r="P454" i="2"/>
  <c r="P453" i="2"/>
  <c r="P452" i="2"/>
  <c r="P451" i="2"/>
  <c r="P450" i="2"/>
  <c r="P449" i="2"/>
  <c r="P448" i="2"/>
  <c r="P447" i="2"/>
  <c r="P446" i="2"/>
  <c r="P445" i="2"/>
  <c r="P444" i="2"/>
  <c r="P443" i="2"/>
  <c r="P442" i="2"/>
  <c r="P441" i="2"/>
  <c r="P440" i="2"/>
  <c r="P439" i="2"/>
  <c r="P438" i="2"/>
  <c r="P437" i="2"/>
  <c r="P436" i="2"/>
  <c r="P435" i="2"/>
  <c r="P434" i="2"/>
  <c r="P433" i="2"/>
  <c r="P432" i="2"/>
  <c r="P431" i="2"/>
  <c r="P430" i="2"/>
  <c r="P429" i="2"/>
  <c r="P428" i="2"/>
  <c r="P427" i="2"/>
  <c r="P426" i="2"/>
  <c r="P425" i="2"/>
  <c r="P424" i="2"/>
  <c r="P423" i="2"/>
  <c r="P422" i="2"/>
  <c r="P421" i="2"/>
  <c r="P420" i="2"/>
  <c r="P419" i="2"/>
  <c r="P418" i="2"/>
  <c r="P417" i="2"/>
  <c r="P416" i="2"/>
  <c r="P415" i="2"/>
  <c r="P414" i="2"/>
  <c r="P413" i="2"/>
  <c r="P412" i="2"/>
  <c r="P411" i="2"/>
  <c r="P410" i="2"/>
  <c r="P409" i="2"/>
  <c r="P408" i="2"/>
  <c r="P407" i="2"/>
  <c r="P406" i="2"/>
  <c r="P405" i="2"/>
  <c r="P404" i="2"/>
  <c r="P403" i="2"/>
  <c r="P402" i="2"/>
  <c r="P401" i="2"/>
  <c r="P400" i="2"/>
  <c r="P399" i="2"/>
  <c r="P398" i="2"/>
  <c r="P397" i="2"/>
  <c r="P396" i="2"/>
  <c r="P395" i="2"/>
  <c r="P394" i="2"/>
  <c r="P393" i="2"/>
  <c r="P392" i="2"/>
  <c r="P391" i="2"/>
  <c r="P390" i="2"/>
  <c r="P389" i="2"/>
  <c r="P388" i="2"/>
  <c r="P387" i="2"/>
  <c r="P386" i="2"/>
  <c r="P385" i="2"/>
  <c r="P384" i="2"/>
  <c r="P383" i="2"/>
  <c r="P382" i="2"/>
  <c r="P381" i="2"/>
  <c r="P380" i="2"/>
  <c r="P379" i="2"/>
  <c r="P378" i="2"/>
  <c r="P377" i="2"/>
  <c r="P376" i="2"/>
  <c r="P375" i="2"/>
  <c r="P374" i="2"/>
  <c r="P373" i="2"/>
  <c r="P372" i="2"/>
  <c r="P371" i="2"/>
  <c r="P370" i="2"/>
  <c r="P369" i="2"/>
  <c r="P368" i="2"/>
  <c r="P367" i="2"/>
  <c r="P366" i="2"/>
  <c r="P365" i="2"/>
  <c r="P364" i="2"/>
  <c r="P363" i="2"/>
  <c r="P362" i="2"/>
  <c r="P361" i="2"/>
  <c r="P360" i="2"/>
  <c r="P359" i="2"/>
  <c r="P358" i="2"/>
  <c r="P357" i="2"/>
  <c r="P356" i="2"/>
  <c r="P355" i="2"/>
  <c r="P354" i="2"/>
  <c r="P353" i="2"/>
  <c r="P352" i="2"/>
  <c r="P351" i="2"/>
  <c r="P350" i="2"/>
  <c r="P349" i="2"/>
  <c r="P348" i="2"/>
  <c r="P347" i="2"/>
  <c r="P346" i="2"/>
  <c r="P345" i="2"/>
  <c r="P344" i="2"/>
  <c r="P343" i="2"/>
  <c r="P342" i="2"/>
  <c r="P341" i="2"/>
  <c r="P340" i="2"/>
  <c r="P339" i="2"/>
  <c r="P338" i="2"/>
  <c r="P337" i="2"/>
  <c r="P336" i="2"/>
  <c r="P335" i="2"/>
  <c r="P334" i="2"/>
  <c r="P333" i="2"/>
  <c r="P332" i="2"/>
  <c r="P331" i="2"/>
  <c r="P330" i="2"/>
  <c r="P329" i="2"/>
  <c r="P328" i="2"/>
  <c r="P327" i="2"/>
  <c r="P326" i="2"/>
  <c r="P325" i="2"/>
  <c r="P324" i="2"/>
  <c r="P323" i="2"/>
  <c r="P322" i="2"/>
  <c r="P321" i="2"/>
  <c r="P320" i="2"/>
  <c r="P319" i="2"/>
  <c r="P318" i="2"/>
  <c r="P317" i="2"/>
  <c r="P316" i="2"/>
  <c r="P315" i="2"/>
  <c r="P314" i="2"/>
  <c r="P313" i="2"/>
  <c r="P312" i="2"/>
  <c r="P311" i="2"/>
  <c r="P310" i="2"/>
  <c r="P309" i="2"/>
  <c r="P308" i="2"/>
  <c r="P307" i="2"/>
  <c r="P306" i="2"/>
  <c r="P305" i="2"/>
  <c r="P304" i="2"/>
  <c r="P303" i="2"/>
  <c r="P302" i="2"/>
  <c r="P301" i="2"/>
  <c r="P300" i="2"/>
  <c r="P299" i="2"/>
  <c r="P298" i="2"/>
  <c r="P297" i="2"/>
  <c r="P296" i="2"/>
  <c r="P295" i="2"/>
  <c r="P294" i="2"/>
  <c r="P293" i="2"/>
  <c r="P292" i="2"/>
  <c r="P291" i="2"/>
  <c r="P290" i="2"/>
  <c r="P289" i="2"/>
  <c r="P288" i="2"/>
  <c r="P287" i="2"/>
  <c r="P286" i="2"/>
  <c r="P285" i="2"/>
  <c r="P284" i="2"/>
  <c r="P283" i="2"/>
  <c r="P282" i="2"/>
  <c r="P281" i="2"/>
  <c r="P280" i="2"/>
  <c r="P279" i="2"/>
  <c r="P278" i="2"/>
  <c r="P277" i="2"/>
  <c r="P276" i="2"/>
  <c r="P275" i="2"/>
  <c r="P274" i="2"/>
  <c r="P273" i="2"/>
  <c r="P272" i="2"/>
  <c r="P271" i="2"/>
  <c r="P270" i="2"/>
  <c r="P269" i="2"/>
  <c r="P268" i="2"/>
  <c r="P267" i="2"/>
  <c r="P266" i="2"/>
  <c r="P265" i="2"/>
  <c r="P264" i="2"/>
  <c r="P263" i="2"/>
  <c r="P262" i="2"/>
  <c r="P261" i="2"/>
  <c r="P260" i="2"/>
  <c r="P259" i="2"/>
  <c r="P258" i="2"/>
  <c r="P257" i="2"/>
  <c r="P256" i="2"/>
  <c r="P255" i="2"/>
  <c r="P254" i="2"/>
  <c r="P253" i="2"/>
  <c r="P252" i="2"/>
  <c r="P251" i="2"/>
  <c r="P250" i="2"/>
  <c r="P249" i="2"/>
  <c r="P248" i="2"/>
  <c r="P247" i="2"/>
  <c r="P246" i="2"/>
  <c r="P245" i="2"/>
  <c r="P244" i="2"/>
  <c r="P243" i="2"/>
  <c r="P242" i="2"/>
  <c r="P241" i="2"/>
  <c r="P240" i="2"/>
  <c r="P239" i="2"/>
  <c r="P238" i="2"/>
  <c r="P237" i="2"/>
  <c r="P236" i="2"/>
  <c r="P235" i="2"/>
  <c r="P234" i="2"/>
  <c r="P233" i="2"/>
  <c r="P232" i="2"/>
  <c r="P231" i="2"/>
  <c r="P230" i="2"/>
  <c r="P229" i="2"/>
  <c r="P228" i="2"/>
  <c r="P227" i="2"/>
  <c r="P226" i="2"/>
  <c r="P225" i="2"/>
  <c r="P224" i="2"/>
  <c r="P223" i="2"/>
  <c r="P222" i="2"/>
  <c r="P221" i="2"/>
  <c r="P220" i="2"/>
  <c r="P219" i="2"/>
  <c r="P218" i="2"/>
  <c r="P217" i="2"/>
  <c r="P216" i="2"/>
  <c r="P215" i="2"/>
  <c r="P214" i="2"/>
  <c r="P213" i="2"/>
  <c r="P212" i="2"/>
  <c r="P211" i="2"/>
  <c r="P210" i="2"/>
  <c r="P209" i="2"/>
  <c r="P208" i="2"/>
  <c r="P207" i="2"/>
  <c r="P206" i="2"/>
  <c r="P205" i="2"/>
  <c r="P204" i="2"/>
  <c r="P203" i="2"/>
  <c r="P202" i="2"/>
  <c r="P201" i="2"/>
  <c r="P200" i="2"/>
  <c r="P199" i="2"/>
  <c r="P198" i="2"/>
  <c r="P197" i="2"/>
  <c r="P196" i="2"/>
  <c r="P195" i="2"/>
  <c r="P194" i="2"/>
  <c r="P193" i="2"/>
  <c r="P192" i="2"/>
  <c r="P191" i="2"/>
  <c r="P190" i="2"/>
  <c r="P189" i="2"/>
  <c r="P188" i="2"/>
  <c r="P187" i="2"/>
  <c r="P186" i="2"/>
  <c r="P185" i="2"/>
  <c r="P184" i="2"/>
  <c r="P183" i="2"/>
  <c r="P182" i="2"/>
  <c r="P181" i="2"/>
  <c r="P180" i="2"/>
  <c r="P179" i="2"/>
  <c r="P178" i="2"/>
  <c r="P177" i="2"/>
  <c r="P176" i="2"/>
  <c r="P175" i="2"/>
  <c r="P174" i="2"/>
  <c r="P173" i="2"/>
  <c r="P172" i="2"/>
  <c r="P171" i="2"/>
  <c r="P170" i="2"/>
  <c r="P169" i="2"/>
  <c r="P168" i="2"/>
  <c r="P167" i="2"/>
  <c r="P166" i="2"/>
  <c r="P165" i="2"/>
  <c r="P164" i="2"/>
  <c r="P163" i="2"/>
  <c r="P162" i="2"/>
  <c r="P161" i="2"/>
  <c r="P160" i="2"/>
  <c r="P159" i="2"/>
  <c r="P158" i="2"/>
  <c r="P157" i="2"/>
  <c r="P156" i="2"/>
  <c r="P155" i="2"/>
  <c r="P154" i="2"/>
  <c r="P153" i="2"/>
  <c r="P152" i="2"/>
  <c r="P151" i="2"/>
  <c r="P150" i="2"/>
  <c r="P149" i="2"/>
  <c r="P148" i="2"/>
  <c r="P147" i="2"/>
  <c r="P146" i="2"/>
  <c r="P145" i="2"/>
  <c r="P144" i="2"/>
  <c r="P143" i="2"/>
  <c r="P142" i="2"/>
  <c r="P141" i="2"/>
  <c r="P140" i="2"/>
  <c r="P139" i="2"/>
  <c r="P138" i="2"/>
  <c r="P137" i="2"/>
  <c r="P136" i="2"/>
  <c r="P135" i="2"/>
  <c r="P134" i="2"/>
  <c r="P133" i="2"/>
  <c r="P132" i="2"/>
  <c r="P131" i="2"/>
  <c r="P130" i="2"/>
  <c r="P129" i="2"/>
  <c r="P128" i="2"/>
  <c r="P127" i="2"/>
  <c r="P126" i="2"/>
  <c r="P125" i="2"/>
  <c r="P124" i="2"/>
  <c r="P123" i="2"/>
  <c r="P122" i="2"/>
  <c r="P121" i="2"/>
  <c r="P120" i="2"/>
  <c r="P119" i="2"/>
  <c r="P118" i="2"/>
  <c r="P117" i="2"/>
  <c r="P116" i="2"/>
  <c r="P115" i="2"/>
  <c r="P114" i="2"/>
  <c r="P113" i="2"/>
  <c r="P112" i="2"/>
  <c r="P111" i="2"/>
  <c r="P110" i="2"/>
  <c r="P109" i="2"/>
  <c r="P108" i="2"/>
  <c r="P107" i="2"/>
  <c r="P106" i="2"/>
  <c r="P105" i="2"/>
  <c r="P104" i="2"/>
  <c r="P103" i="2"/>
  <c r="P102" i="2"/>
  <c r="P101" i="2"/>
  <c r="P100" i="2"/>
  <c r="P99" i="2"/>
  <c r="P98" i="2"/>
  <c r="P97" i="2"/>
  <c r="P96" i="2"/>
  <c r="P95" i="2"/>
  <c r="P94" i="2"/>
  <c r="P93" i="2"/>
  <c r="P92" i="2"/>
  <c r="P91" i="2"/>
  <c r="P90" i="2"/>
  <c r="P89" i="2"/>
  <c r="P88" i="2"/>
  <c r="P87" i="2"/>
  <c r="P86" i="2"/>
  <c r="P85" i="2"/>
  <c r="P84" i="2"/>
  <c r="P83" i="2"/>
  <c r="P82" i="2"/>
  <c r="P81" i="2"/>
  <c r="P80" i="2"/>
  <c r="P79" i="2"/>
  <c r="P78" i="2"/>
  <c r="P77" i="2"/>
  <c r="P76" i="2"/>
  <c r="P75" i="2"/>
  <c r="P74" i="2"/>
  <c r="P73" i="2"/>
  <c r="P72" i="2"/>
  <c r="P71" i="2"/>
  <c r="P70" i="2"/>
  <c r="P69" i="2"/>
  <c r="P68" i="2"/>
  <c r="P67" i="2"/>
  <c r="P66" i="2"/>
  <c r="P65" i="2"/>
  <c r="P64" i="2"/>
  <c r="P63" i="2"/>
  <c r="P62" i="2"/>
  <c r="P61" i="2"/>
  <c r="P60" i="2"/>
  <c r="P59" i="2"/>
  <c r="P58" i="2"/>
  <c r="P57" i="2"/>
  <c r="P56" i="2"/>
  <c r="P55" i="2"/>
  <c r="P54" i="2"/>
  <c r="P53" i="2"/>
  <c r="P52" i="2"/>
  <c r="P51" i="2"/>
  <c r="P50" i="2"/>
  <c r="P49" i="2"/>
  <c r="P48" i="2"/>
  <c r="P47" i="2"/>
  <c r="P46" i="2"/>
  <c r="P45" i="2"/>
  <c r="P44" i="2"/>
  <c r="P43" i="2"/>
  <c r="P42" i="2"/>
  <c r="P41" i="2"/>
  <c r="P40" i="2"/>
  <c r="P39" i="2"/>
  <c r="P38" i="2"/>
  <c r="P37" i="2"/>
  <c r="P36" i="2"/>
  <c r="P35" i="2"/>
  <c r="P34" i="2"/>
  <c r="P33" i="2"/>
  <c r="P32" i="2"/>
  <c r="P31" i="2"/>
  <c r="P30" i="2"/>
  <c r="P29" i="2"/>
  <c r="P28" i="2"/>
  <c r="P27" i="2"/>
  <c r="P26" i="2"/>
  <c r="P25" i="2"/>
  <c r="P24" i="2"/>
  <c r="P23" i="2"/>
  <c r="P22" i="2"/>
  <c r="P21" i="2"/>
  <c r="P20" i="2"/>
  <c r="P19" i="2"/>
  <c r="P18" i="2"/>
  <c r="P17" i="2"/>
  <c r="P16" i="2"/>
  <c r="P15" i="2"/>
  <c r="P14" i="2"/>
  <c r="P13" i="2"/>
  <c r="P12" i="2"/>
  <c r="P11" i="2"/>
  <c r="P10" i="2"/>
  <c r="P9" i="2"/>
  <c r="P8" i="2"/>
  <c r="P7" i="2"/>
  <c r="P6" i="2"/>
  <c r="P5" i="2"/>
  <c r="P4" i="2"/>
  <c r="P3" i="2"/>
  <c r="P2" i="2"/>
  <c r="O1000" i="2"/>
  <c r="O999" i="2"/>
  <c r="O998" i="2"/>
  <c r="O997" i="2"/>
  <c r="O996" i="2"/>
  <c r="O995" i="2"/>
  <c r="O994" i="2"/>
  <c r="O993" i="2"/>
  <c r="O992" i="2"/>
  <c r="O991" i="2"/>
  <c r="O990" i="2"/>
  <c r="O989" i="2"/>
  <c r="O988" i="2"/>
  <c r="O987" i="2"/>
  <c r="O986" i="2"/>
  <c r="O985" i="2"/>
  <c r="O984" i="2"/>
  <c r="O983" i="2"/>
  <c r="O982" i="2"/>
  <c r="O981" i="2"/>
  <c r="O980" i="2"/>
  <c r="O979" i="2"/>
  <c r="O978" i="2"/>
  <c r="O977" i="2"/>
  <c r="O976" i="2"/>
  <c r="O975" i="2"/>
  <c r="O974" i="2"/>
  <c r="O973" i="2"/>
  <c r="O972" i="2"/>
  <c r="O971" i="2"/>
  <c r="O970" i="2"/>
  <c r="O969" i="2"/>
  <c r="O968" i="2"/>
  <c r="O967" i="2"/>
  <c r="O966" i="2"/>
  <c r="O965" i="2"/>
  <c r="O964" i="2"/>
  <c r="O963" i="2"/>
  <c r="O962" i="2"/>
  <c r="O961" i="2"/>
  <c r="O960" i="2"/>
  <c r="O959" i="2"/>
  <c r="O958" i="2"/>
  <c r="O957" i="2"/>
  <c r="O956" i="2"/>
  <c r="O955" i="2"/>
  <c r="O954" i="2"/>
  <c r="O953" i="2"/>
  <c r="O952" i="2"/>
  <c r="O951" i="2"/>
  <c r="O950" i="2"/>
  <c r="O949" i="2"/>
  <c r="O948" i="2"/>
  <c r="O947" i="2"/>
  <c r="O946" i="2"/>
  <c r="O945" i="2"/>
  <c r="O944" i="2"/>
  <c r="O943" i="2"/>
  <c r="O942" i="2"/>
  <c r="O941" i="2"/>
  <c r="O940" i="2"/>
  <c r="O939" i="2"/>
  <c r="O938" i="2"/>
  <c r="O937" i="2"/>
  <c r="O936" i="2"/>
  <c r="O935" i="2"/>
  <c r="O934" i="2"/>
  <c r="O933" i="2"/>
  <c r="O932" i="2"/>
  <c r="O931" i="2"/>
  <c r="O930" i="2"/>
  <c r="O929" i="2"/>
  <c r="O928" i="2"/>
  <c r="O927" i="2"/>
  <c r="O926" i="2"/>
  <c r="O925" i="2"/>
  <c r="O924" i="2"/>
  <c r="O923" i="2"/>
  <c r="O922" i="2"/>
  <c r="O921" i="2"/>
  <c r="O920" i="2"/>
  <c r="O919" i="2"/>
  <c r="O918" i="2"/>
  <c r="O917" i="2"/>
  <c r="O916" i="2"/>
  <c r="O915" i="2"/>
  <c r="O914" i="2"/>
  <c r="O913" i="2"/>
  <c r="O912" i="2"/>
  <c r="O911" i="2"/>
  <c r="O910" i="2"/>
  <c r="O909" i="2"/>
  <c r="O908" i="2"/>
  <c r="O907" i="2"/>
  <c r="O906" i="2"/>
  <c r="O905" i="2"/>
  <c r="O904" i="2"/>
  <c r="O903" i="2"/>
  <c r="O902" i="2"/>
  <c r="O901" i="2"/>
  <c r="O900" i="2"/>
  <c r="O899" i="2"/>
  <c r="O898" i="2"/>
  <c r="O897" i="2"/>
  <c r="O896" i="2"/>
  <c r="O895" i="2"/>
  <c r="O894" i="2"/>
  <c r="O893" i="2"/>
  <c r="O892" i="2"/>
  <c r="O891" i="2"/>
  <c r="O890" i="2"/>
  <c r="O889" i="2"/>
  <c r="O888" i="2"/>
  <c r="O887" i="2"/>
  <c r="O886" i="2"/>
  <c r="O885" i="2"/>
  <c r="O884" i="2"/>
  <c r="O883" i="2"/>
  <c r="O882" i="2"/>
  <c r="O881" i="2"/>
  <c r="O880" i="2"/>
  <c r="O879" i="2"/>
  <c r="O878" i="2"/>
  <c r="O877" i="2"/>
  <c r="O876" i="2"/>
  <c r="O875" i="2"/>
  <c r="O874" i="2"/>
  <c r="O873" i="2"/>
  <c r="O872" i="2"/>
  <c r="O871" i="2"/>
  <c r="O870" i="2"/>
  <c r="O869" i="2"/>
  <c r="O868" i="2"/>
  <c r="O867" i="2"/>
  <c r="O866" i="2"/>
  <c r="O865" i="2"/>
  <c r="O864" i="2"/>
  <c r="O863" i="2"/>
  <c r="O862" i="2"/>
  <c r="O861" i="2"/>
  <c r="O860" i="2"/>
  <c r="O859" i="2"/>
  <c r="O858" i="2"/>
  <c r="O857" i="2"/>
  <c r="O856" i="2"/>
  <c r="O855" i="2"/>
  <c r="O854" i="2"/>
  <c r="O853" i="2"/>
  <c r="O852" i="2"/>
  <c r="O851" i="2"/>
  <c r="O850" i="2"/>
  <c r="O849" i="2"/>
  <c r="O848" i="2"/>
  <c r="O847" i="2"/>
  <c r="O846" i="2"/>
  <c r="O845" i="2"/>
  <c r="O844" i="2"/>
  <c r="O843" i="2"/>
  <c r="O842" i="2"/>
  <c r="O841" i="2"/>
  <c r="O840" i="2"/>
  <c r="O839" i="2"/>
  <c r="O838" i="2"/>
  <c r="O837" i="2"/>
  <c r="O836" i="2"/>
  <c r="O835" i="2"/>
  <c r="O834" i="2"/>
  <c r="O833" i="2"/>
  <c r="O832" i="2"/>
  <c r="O831" i="2"/>
  <c r="O830" i="2"/>
  <c r="O829" i="2"/>
  <c r="O828" i="2"/>
  <c r="O827" i="2"/>
  <c r="O826" i="2"/>
  <c r="O825" i="2"/>
  <c r="O824" i="2"/>
  <c r="O823" i="2"/>
  <c r="O822" i="2"/>
  <c r="O821" i="2"/>
  <c r="O820" i="2"/>
  <c r="O819" i="2"/>
  <c r="O818" i="2"/>
  <c r="O817" i="2"/>
  <c r="O816" i="2"/>
  <c r="O815" i="2"/>
  <c r="O814" i="2"/>
  <c r="O813" i="2"/>
  <c r="O812" i="2"/>
  <c r="O811" i="2"/>
  <c r="O810" i="2"/>
  <c r="O809" i="2"/>
  <c r="O808" i="2"/>
  <c r="O807" i="2"/>
  <c r="O806" i="2"/>
  <c r="O805" i="2"/>
  <c r="O804" i="2"/>
  <c r="O803" i="2"/>
  <c r="O802" i="2"/>
  <c r="O801" i="2"/>
  <c r="O800" i="2"/>
  <c r="O799" i="2"/>
  <c r="O798" i="2"/>
  <c r="O797" i="2"/>
  <c r="O796" i="2"/>
  <c r="O795" i="2"/>
  <c r="O794" i="2"/>
  <c r="O793" i="2"/>
  <c r="O792" i="2"/>
  <c r="O791" i="2"/>
  <c r="O790" i="2"/>
  <c r="O789" i="2"/>
  <c r="O788" i="2"/>
  <c r="O787" i="2"/>
  <c r="O786" i="2"/>
  <c r="O785" i="2"/>
  <c r="O784" i="2"/>
  <c r="O783" i="2"/>
  <c r="O782" i="2"/>
  <c r="O781" i="2"/>
  <c r="O780" i="2"/>
  <c r="O779" i="2"/>
  <c r="O778" i="2"/>
  <c r="O777" i="2"/>
  <c r="O776" i="2"/>
  <c r="O775" i="2"/>
  <c r="O774" i="2"/>
  <c r="O773" i="2"/>
  <c r="O772" i="2"/>
  <c r="O771" i="2"/>
  <c r="O770" i="2"/>
  <c r="O769" i="2"/>
  <c r="O768" i="2"/>
  <c r="O767" i="2"/>
  <c r="O766" i="2"/>
  <c r="O765" i="2"/>
  <c r="O764" i="2"/>
  <c r="O763" i="2"/>
  <c r="O762" i="2"/>
  <c r="O761" i="2"/>
  <c r="O760" i="2"/>
  <c r="O759" i="2"/>
  <c r="O758" i="2"/>
  <c r="O757" i="2"/>
  <c r="O756" i="2"/>
  <c r="O755" i="2"/>
  <c r="O754" i="2"/>
  <c r="O753" i="2"/>
  <c r="O752" i="2"/>
  <c r="O751" i="2"/>
  <c r="O750" i="2"/>
  <c r="O749" i="2"/>
  <c r="O748" i="2"/>
  <c r="O747" i="2"/>
  <c r="O746" i="2"/>
  <c r="O745" i="2"/>
  <c r="O744" i="2"/>
  <c r="O743" i="2"/>
  <c r="O742" i="2"/>
  <c r="O741" i="2"/>
  <c r="O740" i="2"/>
  <c r="O739" i="2"/>
  <c r="O738" i="2"/>
  <c r="O737" i="2"/>
  <c r="O736" i="2"/>
  <c r="O735" i="2"/>
  <c r="O734" i="2"/>
  <c r="O733" i="2"/>
  <c r="O732" i="2"/>
  <c r="O731" i="2"/>
  <c r="O730" i="2"/>
  <c r="O729" i="2"/>
  <c r="O728" i="2"/>
  <c r="O727" i="2"/>
  <c r="O726" i="2"/>
  <c r="O725" i="2"/>
  <c r="O724" i="2"/>
  <c r="O723" i="2"/>
  <c r="O722" i="2"/>
  <c r="O721" i="2"/>
  <c r="O720" i="2"/>
  <c r="O719" i="2"/>
  <c r="O718" i="2"/>
  <c r="O717" i="2"/>
  <c r="O716" i="2"/>
  <c r="O715" i="2"/>
  <c r="O714" i="2"/>
  <c r="O713" i="2"/>
  <c r="O712" i="2"/>
  <c r="O711" i="2"/>
  <c r="O710" i="2"/>
  <c r="O709" i="2"/>
  <c r="O708" i="2"/>
  <c r="O707" i="2"/>
  <c r="O706" i="2"/>
  <c r="O705" i="2"/>
  <c r="O704" i="2"/>
  <c r="O703" i="2"/>
  <c r="O702" i="2"/>
  <c r="O701" i="2"/>
  <c r="O700" i="2"/>
  <c r="O699" i="2"/>
  <c r="O698" i="2"/>
  <c r="O697" i="2"/>
  <c r="O696" i="2"/>
  <c r="O695" i="2"/>
  <c r="O694" i="2"/>
  <c r="O693" i="2"/>
  <c r="O692" i="2"/>
  <c r="O691" i="2"/>
  <c r="O690" i="2"/>
  <c r="O689" i="2"/>
  <c r="O688" i="2"/>
  <c r="O687" i="2"/>
  <c r="O686" i="2"/>
  <c r="O685" i="2"/>
  <c r="O684" i="2"/>
  <c r="O683" i="2"/>
  <c r="O682" i="2"/>
  <c r="O681" i="2"/>
  <c r="O680" i="2"/>
  <c r="O679" i="2"/>
  <c r="O678" i="2"/>
  <c r="O677" i="2"/>
  <c r="O676" i="2"/>
  <c r="O675" i="2"/>
  <c r="O674" i="2"/>
  <c r="O673" i="2"/>
  <c r="O672" i="2"/>
  <c r="O671" i="2"/>
  <c r="O670" i="2"/>
  <c r="O669" i="2"/>
  <c r="O668" i="2"/>
  <c r="O667" i="2"/>
  <c r="O666" i="2"/>
  <c r="O665" i="2"/>
  <c r="O664" i="2"/>
  <c r="O663" i="2"/>
  <c r="O662" i="2"/>
  <c r="O661" i="2"/>
  <c r="O660" i="2"/>
  <c r="O659" i="2"/>
  <c r="O658" i="2"/>
  <c r="O657" i="2"/>
  <c r="O656" i="2"/>
  <c r="O655" i="2"/>
  <c r="O654" i="2"/>
  <c r="O653" i="2"/>
  <c r="O652" i="2"/>
  <c r="O651" i="2"/>
  <c r="O650" i="2"/>
  <c r="O649" i="2"/>
  <c r="O648" i="2"/>
  <c r="O647" i="2"/>
  <c r="O646" i="2"/>
  <c r="O645" i="2"/>
  <c r="O644" i="2"/>
  <c r="O643" i="2"/>
  <c r="O642" i="2"/>
  <c r="O641" i="2"/>
  <c r="O640" i="2"/>
  <c r="O639" i="2"/>
  <c r="O638" i="2"/>
  <c r="O637" i="2"/>
  <c r="O636" i="2"/>
  <c r="O635" i="2"/>
  <c r="O634" i="2"/>
  <c r="O633" i="2"/>
  <c r="O632" i="2"/>
  <c r="O631" i="2"/>
  <c r="O630" i="2"/>
  <c r="O629" i="2"/>
  <c r="O628" i="2"/>
  <c r="O627" i="2"/>
  <c r="O626" i="2"/>
  <c r="O625" i="2"/>
  <c r="O624" i="2"/>
  <c r="O623" i="2"/>
  <c r="O622" i="2"/>
  <c r="O621" i="2"/>
  <c r="O620" i="2"/>
  <c r="O619" i="2"/>
  <c r="O618" i="2"/>
  <c r="O617" i="2"/>
  <c r="O616" i="2"/>
  <c r="O615" i="2"/>
  <c r="O614" i="2"/>
  <c r="O613" i="2"/>
  <c r="O612" i="2"/>
  <c r="O611" i="2"/>
  <c r="O610" i="2"/>
  <c r="O609" i="2"/>
  <c r="O608" i="2"/>
  <c r="O607" i="2"/>
  <c r="O606" i="2"/>
  <c r="O605" i="2"/>
  <c r="O604" i="2"/>
  <c r="O603" i="2"/>
  <c r="O602" i="2"/>
  <c r="O601" i="2"/>
  <c r="O600" i="2"/>
  <c r="O599" i="2"/>
  <c r="O598" i="2"/>
  <c r="O597" i="2"/>
  <c r="O596" i="2"/>
  <c r="O595" i="2"/>
  <c r="O594" i="2"/>
  <c r="O593" i="2"/>
  <c r="O592" i="2"/>
  <c r="O591" i="2"/>
  <c r="O590" i="2"/>
  <c r="O589" i="2"/>
  <c r="O588" i="2"/>
  <c r="O587" i="2"/>
  <c r="O586" i="2"/>
  <c r="O585" i="2"/>
  <c r="O584" i="2"/>
  <c r="O583" i="2"/>
  <c r="O582" i="2"/>
  <c r="O581" i="2"/>
  <c r="O580" i="2"/>
  <c r="O579" i="2"/>
  <c r="O578" i="2"/>
  <c r="O577" i="2"/>
  <c r="O576" i="2"/>
  <c r="O575" i="2"/>
  <c r="O574" i="2"/>
  <c r="O573" i="2"/>
  <c r="O572" i="2"/>
  <c r="O571" i="2"/>
  <c r="O570" i="2"/>
  <c r="O569" i="2"/>
  <c r="O568" i="2"/>
  <c r="O567" i="2"/>
  <c r="O566" i="2"/>
  <c r="O565" i="2"/>
  <c r="O564" i="2"/>
  <c r="O563" i="2"/>
  <c r="O562" i="2"/>
  <c r="O561" i="2"/>
  <c r="O560" i="2"/>
  <c r="O559" i="2"/>
  <c r="O558" i="2"/>
  <c r="O557" i="2"/>
  <c r="O556" i="2"/>
  <c r="O555" i="2"/>
  <c r="O554" i="2"/>
  <c r="O553" i="2"/>
  <c r="O552" i="2"/>
  <c r="O551" i="2"/>
  <c r="O550" i="2"/>
  <c r="O549" i="2"/>
  <c r="O548" i="2"/>
  <c r="O547" i="2"/>
  <c r="O546" i="2"/>
  <c r="O545" i="2"/>
  <c r="O544" i="2"/>
  <c r="O543" i="2"/>
  <c r="O542" i="2"/>
  <c r="O541" i="2"/>
  <c r="O540" i="2"/>
  <c r="O539" i="2"/>
  <c r="O538" i="2"/>
  <c r="O537" i="2"/>
  <c r="O536" i="2"/>
  <c r="O535" i="2"/>
  <c r="O534" i="2"/>
  <c r="O533" i="2"/>
  <c r="O532" i="2"/>
  <c r="O531" i="2"/>
  <c r="O530" i="2"/>
  <c r="O529" i="2"/>
  <c r="O528" i="2"/>
  <c r="O527" i="2"/>
  <c r="O526" i="2"/>
  <c r="O525" i="2"/>
  <c r="O524" i="2"/>
  <c r="O523" i="2"/>
  <c r="O522" i="2"/>
  <c r="O521" i="2"/>
  <c r="O520" i="2"/>
  <c r="O519" i="2"/>
  <c r="O518" i="2"/>
  <c r="O517" i="2"/>
  <c r="O516" i="2"/>
  <c r="O515" i="2"/>
  <c r="O514" i="2"/>
  <c r="O513" i="2"/>
  <c r="O512" i="2"/>
  <c r="O511" i="2"/>
  <c r="O510" i="2"/>
  <c r="O509" i="2"/>
  <c r="O508" i="2"/>
  <c r="O507" i="2"/>
  <c r="O506" i="2"/>
  <c r="O505" i="2"/>
  <c r="O504" i="2"/>
  <c r="O503" i="2"/>
  <c r="O502" i="2"/>
  <c r="O501" i="2"/>
  <c r="O500" i="2"/>
  <c r="O499" i="2"/>
  <c r="O498" i="2"/>
  <c r="O497" i="2"/>
  <c r="O496" i="2"/>
  <c r="O495" i="2"/>
  <c r="O494" i="2"/>
  <c r="O493" i="2"/>
  <c r="O492" i="2"/>
  <c r="O491" i="2"/>
  <c r="O490" i="2"/>
  <c r="O489" i="2"/>
  <c r="O488" i="2"/>
  <c r="O487" i="2"/>
  <c r="O486" i="2"/>
  <c r="O485" i="2"/>
  <c r="O484" i="2"/>
  <c r="O483" i="2"/>
  <c r="O482" i="2"/>
  <c r="O481" i="2"/>
  <c r="O480" i="2"/>
  <c r="O479" i="2"/>
  <c r="O478" i="2"/>
  <c r="O477" i="2"/>
  <c r="O476" i="2"/>
  <c r="O475" i="2"/>
  <c r="O474" i="2"/>
  <c r="O473" i="2"/>
  <c r="O472" i="2"/>
  <c r="O471" i="2"/>
  <c r="O470" i="2"/>
  <c r="O469" i="2"/>
  <c r="O468" i="2"/>
  <c r="O467" i="2"/>
  <c r="O466" i="2"/>
  <c r="O465" i="2"/>
  <c r="O464" i="2"/>
  <c r="O463" i="2"/>
  <c r="O462" i="2"/>
  <c r="O461" i="2"/>
  <c r="O460" i="2"/>
  <c r="O459" i="2"/>
  <c r="O458" i="2"/>
  <c r="O457" i="2"/>
  <c r="O456" i="2"/>
  <c r="O455" i="2"/>
  <c r="O454" i="2"/>
  <c r="O453" i="2"/>
  <c r="O452" i="2"/>
  <c r="O451" i="2"/>
  <c r="O450" i="2"/>
  <c r="O449" i="2"/>
  <c r="O448" i="2"/>
  <c r="O447" i="2"/>
  <c r="O446" i="2"/>
  <c r="O445" i="2"/>
  <c r="O444" i="2"/>
  <c r="O443" i="2"/>
  <c r="O442" i="2"/>
  <c r="O441" i="2"/>
  <c r="O440" i="2"/>
  <c r="O439" i="2"/>
  <c r="O438" i="2"/>
  <c r="O437" i="2"/>
  <c r="O436" i="2"/>
  <c r="O435" i="2"/>
  <c r="O434" i="2"/>
  <c r="O433" i="2"/>
  <c r="O432" i="2"/>
  <c r="O431" i="2"/>
  <c r="O430" i="2"/>
  <c r="O429" i="2"/>
  <c r="O428" i="2"/>
  <c r="O427" i="2"/>
  <c r="O426" i="2"/>
  <c r="O425" i="2"/>
  <c r="O424" i="2"/>
  <c r="O423" i="2"/>
  <c r="O422" i="2"/>
  <c r="O421" i="2"/>
  <c r="O420" i="2"/>
  <c r="O419" i="2"/>
  <c r="O418" i="2"/>
  <c r="O417" i="2"/>
  <c r="O416" i="2"/>
  <c r="O415" i="2"/>
  <c r="O414" i="2"/>
  <c r="O413" i="2"/>
  <c r="O412" i="2"/>
  <c r="O411" i="2"/>
  <c r="O410" i="2"/>
  <c r="O409" i="2"/>
  <c r="O408" i="2"/>
  <c r="O407" i="2"/>
  <c r="O406" i="2"/>
  <c r="O405" i="2"/>
  <c r="O404" i="2"/>
  <c r="O403" i="2"/>
  <c r="O402" i="2"/>
  <c r="O401" i="2"/>
  <c r="O400" i="2"/>
  <c r="O399" i="2"/>
  <c r="O398" i="2"/>
  <c r="O397" i="2"/>
  <c r="O396" i="2"/>
  <c r="O395" i="2"/>
  <c r="O394" i="2"/>
  <c r="O393" i="2"/>
  <c r="O392" i="2"/>
  <c r="O391" i="2"/>
  <c r="O390" i="2"/>
  <c r="O389" i="2"/>
  <c r="O388" i="2"/>
  <c r="O387" i="2"/>
  <c r="O386" i="2"/>
  <c r="O385" i="2"/>
  <c r="O384" i="2"/>
  <c r="O383" i="2"/>
  <c r="O382" i="2"/>
  <c r="O381" i="2"/>
  <c r="O380" i="2"/>
  <c r="O379" i="2"/>
  <c r="O378" i="2"/>
  <c r="O377" i="2"/>
  <c r="O376" i="2"/>
  <c r="O375" i="2"/>
  <c r="O374" i="2"/>
  <c r="O373" i="2"/>
  <c r="O372" i="2"/>
  <c r="O371" i="2"/>
  <c r="O370" i="2"/>
  <c r="O369" i="2"/>
  <c r="O368" i="2"/>
  <c r="O367" i="2"/>
  <c r="O366" i="2"/>
  <c r="O365" i="2"/>
  <c r="O364" i="2"/>
  <c r="O363" i="2"/>
  <c r="O362" i="2"/>
  <c r="O361" i="2"/>
  <c r="O360" i="2"/>
  <c r="O359" i="2"/>
  <c r="O358" i="2"/>
  <c r="O357" i="2"/>
  <c r="O356" i="2"/>
  <c r="O355" i="2"/>
  <c r="O354" i="2"/>
  <c r="O353" i="2"/>
  <c r="O352" i="2"/>
  <c r="O351" i="2"/>
  <c r="O350" i="2"/>
  <c r="O349" i="2"/>
  <c r="O348" i="2"/>
  <c r="O347" i="2"/>
  <c r="O346" i="2"/>
  <c r="O345" i="2"/>
  <c r="O344" i="2"/>
  <c r="O343" i="2"/>
  <c r="O342" i="2"/>
  <c r="O341" i="2"/>
  <c r="O340" i="2"/>
  <c r="O339" i="2"/>
  <c r="O338" i="2"/>
  <c r="O337" i="2"/>
  <c r="O336" i="2"/>
  <c r="O335" i="2"/>
  <c r="O334" i="2"/>
  <c r="O333" i="2"/>
  <c r="O332" i="2"/>
  <c r="O331" i="2"/>
  <c r="O330" i="2"/>
  <c r="O329" i="2"/>
  <c r="O328" i="2"/>
  <c r="O327" i="2"/>
  <c r="O326" i="2"/>
  <c r="O325" i="2"/>
  <c r="O324" i="2"/>
  <c r="O323" i="2"/>
  <c r="O322" i="2"/>
  <c r="O321" i="2"/>
  <c r="O320" i="2"/>
  <c r="O319" i="2"/>
  <c r="O318" i="2"/>
  <c r="O317" i="2"/>
  <c r="O316" i="2"/>
  <c r="O315" i="2"/>
  <c r="O314" i="2"/>
  <c r="O313" i="2"/>
  <c r="O312" i="2"/>
  <c r="O311" i="2"/>
  <c r="O310" i="2"/>
  <c r="O309" i="2"/>
  <c r="O308" i="2"/>
  <c r="O307" i="2"/>
  <c r="O306" i="2"/>
  <c r="O305" i="2"/>
  <c r="O304" i="2"/>
  <c r="O303" i="2"/>
  <c r="O302" i="2"/>
  <c r="O301" i="2"/>
  <c r="O300" i="2"/>
  <c r="O299" i="2"/>
  <c r="O298" i="2"/>
  <c r="O297" i="2"/>
  <c r="O296" i="2"/>
  <c r="O295" i="2"/>
  <c r="O294" i="2"/>
  <c r="O293" i="2"/>
  <c r="O292" i="2"/>
  <c r="O291" i="2"/>
  <c r="O290" i="2"/>
  <c r="O289" i="2"/>
  <c r="O288" i="2"/>
  <c r="O287" i="2"/>
  <c r="O286" i="2"/>
  <c r="O285" i="2"/>
  <c r="O284" i="2"/>
  <c r="O283" i="2"/>
  <c r="O282" i="2"/>
  <c r="O281" i="2"/>
  <c r="O280" i="2"/>
  <c r="O279" i="2"/>
  <c r="O278" i="2"/>
  <c r="O277" i="2"/>
  <c r="O276" i="2"/>
  <c r="O275" i="2"/>
  <c r="O274" i="2"/>
  <c r="O273" i="2"/>
  <c r="O272" i="2"/>
  <c r="O271" i="2"/>
  <c r="O270" i="2"/>
  <c r="O269" i="2"/>
  <c r="O268" i="2"/>
  <c r="O267" i="2"/>
  <c r="O266" i="2"/>
  <c r="O265" i="2"/>
  <c r="O264" i="2"/>
  <c r="O263" i="2"/>
  <c r="O262" i="2"/>
  <c r="O261" i="2"/>
  <c r="O260" i="2"/>
  <c r="O259" i="2"/>
  <c r="O258" i="2"/>
  <c r="O257" i="2"/>
  <c r="O256" i="2"/>
  <c r="O255" i="2"/>
  <c r="O254" i="2"/>
  <c r="O253" i="2"/>
  <c r="O252" i="2"/>
  <c r="O251" i="2"/>
  <c r="O250" i="2"/>
  <c r="O249" i="2"/>
  <c r="O248" i="2"/>
  <c r="O247" i="2"/>
  <c r="O246" i="2"/>
  <c r="O245" i="2"/>
  <c r="O244" i="2"/>
  <c r="O243" i="2"/>
  <c r="O242" i="2"/>
  <c r="O241" i="2"/>
  <c r="O240" i="2"/>
  <c r="O239" i="2"/>
  <c r="O238" i="2"/>
  <c r="O237" i="2"/>
  <c r="O236" i="2"/>
  <c r="O235" i="2"/>
  <c r="O234" i="2"/>
  <c r="O233" i="2"/>
  <c r="O232" i="2"/>
  <c r="O231" i="2"/>
  <c r="O230" i="2"/>
  <c r="O229" i="2"/>
  <c r="O228" i="2"/>
  <c r="O227" i="2"/>
  <c r="O226" i="2"/>
  <c r="O225" i="2"/>
  <c r="O224" i="2"/>
  <c r="O223" i="2"/>
  <c r="O222" i="2"/>
  <c r="O221" i="2"/>
  <c r="O220" i="2"/>
  <c r="O219" i="2"/>
  <c r="O218" i="2"/>
  <c r="O217" i="2"/>
  <c r="O216" i="2"/>
  <c r="O215" i="2"/>
  <c r="O214" i="2"/>
  <c r="O213" i="2"/>
  <c r="O212" i="2"/>
  <c r="O211" i="2"/>
  <c r="O210" i="2"/>
  <c r="O209" i="2"/>
  <c r="O208" i="2"/>
  <c r="O207" i="2"/>
  <c r="O206" i="2"/>
  <c r="O205" i="2"/>
  <c r="O204" i="2"/>
  <c r="O203" i="2"/>
  <c r="O202" i="2"/>
  <c r="O201" i="2"/>
  <c r="O200" i="2"/>
  <c r="O199" i="2"/>
  <c r="O198" i="2"/>
  <c r="O197" i="2"/>
  <c r="O196" i="2"/>
  <c r="O195" i="2"/>
  <c r="O194" i="2"/>
  <c r="O193" i="2"/>
  <c r="O192" i="2"/>
  <c r="O191" i="2"/>
  <c r="O190" i="2"/>
  <c r="O189" i="2"/>
  <c r="O188" i="2"/>
  <c r="O187" i="2"/>
  <c r="O186" i="2"/>
  <c r="O185" i="2"/>
  <c r="O184" i="2"/>
  <c r="O183" i="2"/>
  <c r="O182" i="2"/>
  <c r="O181" i="2"/>
  <c r="O180" i="2"/>
  <c r="O179" i="2"/>
  <c r="O178" i="2"/>
  <c r="O177" i="2"/>
  <c r="O176" i="2"/>
  <c r="O175" i="2"/>
  <c r="O174" i="2"/>
  <c r="O173" i="2"/>
  <c r="O172" i="2"/>
  <c r="O171" i="2"/>
  <c r="O170" i="2"/>
  <c r="O169" i="2"/>
  <c r="O168" i="2"/>
  <c r="O167" i="2"/>
  <c r="O166" i="2"/>
  <c r="O165" i="2"/>
  <c r="O164" i="2"/>
  <c r="O163" i="2"/>
  <c r="O162" i="2"/>
  <c r="O161" i="2"/>
  <c r="O160" i="2"/>
  <c r="O159" i="2"/>
  <c r="O158" i="2"/>
  <c r="O157" i="2"/>
  <c r="O156" i="2"/>
  <c r="O155" i="2"/>
  <c r="O154" i="2"/>
  <c r="O153" i="2"/>
  <c r="O152" i="2"/>
  <c r="O151" i="2"/>
  <c r="O150" i="2"/>
  <c r="O149" i="2"/>
  <c r="O148" i="2"/>
  <c r="O147" i="2"/>
  <c r="O146" i="2"/>
  <c r="O145" i="2"/>
  <c r="O144" i="2"/>
  <c r="O143" i="2"/>
  <c r="O142" i="2"/>
  <c r="O141" i="2"/>
  <c r="O140" i="2"/>
  <c r="O139" i="2"/>
  <c r="O138" i="2"/>
  <c r="O137" i="2"/>
  <c r="O136" i="2"/>
  <c r="O135" i="2"/>
  <c r="O134" i="2"/>
  <c r="O133" i="2"/>
  <c r="O132" i="2"/>
  <c r="O131" i="2"/>
  <c r="O130" i="2"/>
  <c r="O129" i="2"/>
  <c r="O128" i="2"/>
  <c r="O127" i="2"/>
  <c r="O126" i="2"/>
  <c r="O125" i="2"/>
  <c r="O124" i="2"/>
  <c r="O123" i="2"/>
  <c r="O122" i="2"/>
  <c r="O121" i="2"/>
  <c r="O120" i="2"/>
  <c r="O119" i="2"/>
  <c r="O118" i="2"/>
  <c r="O117" i="2"/>
  <c r="O116" i="2"/>
  <c r="O115" i="2"/>
  <c r="O114" i="2"/>
  <c r="O113" i="2"/>
  <c r="O112" i="2"/>
  <c r="O111" i="2"/>
  <c r="O110" i="2"/>
  <c r="O109" i="2"/>
  <c r="O108" i="2"/>
  <c r="O107" i="2"/>
  <c r="O106" i="2"/>
  <c r="O105" i="2"/>
  <c r="O104" i="2"/>
  <c r="O103" i="2"/>
  <c r="O102" i="2"/>
  <c r="O101" i="2"/>
  <c r="O100" i="2"/>
  <c r="O99" i="2"/>
  <c r="O98" i="2"/>
  <c r="O97" i="2"/>
  <c r="O96" i="2"/>
  <c r="O95" i="2"/>
  <c r="O94" i="2"/>
  <c r="O93" i="2"/>
  <c r="O92" i="2"/>
  <c r="O91" i="2"/>
  <c r="O90" i="2"/>
  <c r="O89" i="2"/>
  <c r="O88" i="2"/>
  <c r="O87" i="2"/>
  <c r="O86" i="2"/>
  <c r="O85" i="2"/>
  <c r="O84" i="2"/>
  <c r="O83" i="2"/>
  <c r="O82" i="2"/>
  <c r="O81" i="2"/>
  <c r="O80" i="2"/>
  <c r="O79" i="2"/>
  <c r="O78" i="2"/>
  <c r="O77" i="2"/>
  <c r="O76" i="2"/>
  <c r="O75" i="2"/>
  <c r="O74" i="2"/>
  <c r="O73" i="2"/>
  <c r="O72" i="2"/>
  <c r="O71" i="2"/>
  <c r="O70" i="2"/>
  <c r="O69" i="2"/>
  <c r="O68" i="2"/>
  <c r="O67" i="2"/>
  <c r="O66" i="2"/>
  <c r="O65" i="2"/>
  <c r="O64" i="2"/>
  <c r="O63" i="2"/>
  <c r="O62" i="2"/>
  <c r="O61" i="2"/>
  <c r="O60" i="2"/>
  <c r="O59" i="2"/>
  <c r="O58" i="2"/>
  <c r="O57" i="2"/>
  <c r="O56" i="2"/>
  <c r="O55" i="2"/>
  <c r="O54" i="2"/>
  <c r="O53" i="2"/>
  <c r="O52" i="2"/>
  <c r="O51" i="2"/>
  <c r="O50" i="2"/>
  <c r="O49" i="2"/>
  <c r="O48" i="2"/>
  <c r="O47" i="2"/>
  <c r="O46" i="2"/>
  <c r="O45" i="2"/>
  <c r="O44" i="2"/>
  <c r="O43" i="2"/>
  <c r="O42" i="2"/>
  <c r="O41" i="2"/>
  <c r="O40" i="2"/>
  <c r="O39" i="2"/>
  <c r="O38" i="2"/>
  <c r="O37" i="2"/>
  <c r="O36" i="2"/>
  <c r="O35" i="2"/>
  <c r="O34" i="2"/>
  <c r="O33" i="2"/>
  <c r="O32" i="2"/>
  <c r="O31" i="2"/>
  <c r="O30" i="2"/>
  <c r="O29" i="2"/>
  <c r="O28" i="2"/>
  <c r="O27" i="2"/>
  <c r="O26" i="2"/>
  <c r="O25" i="2"/>
  <c r="O24" i="2"/>
  <c r="O23" i="2"/>
  <c r="O22" i="2"/>
  <c r="O21" i="2"/>
  <c r="O20" i="2"/>
  <c r="O19" i="2"/>
  <c r="O18" i="2"/>
  <c r="O17" i="2"/>
  <c r="O16" i="2"/>
  <c r="O15" i="2"/>
  <c r="O14" i="2"/>
  <c r="O13" i="2"/>
  <c r="O12" i="2"/>
  <c r="O11" i="2"/>
  <c r="O10" i="2"/>
  <c r="O9" i="2"/>
  <c r="O8" i="2"/>
  <c r="O7" i="2"/>
  <c r="O6" i="2"/>
  <c r="O5" i="2"/>
  <c r="O4" i="2"/>
  <c r="O3" i="2"/>
  <c r="O2" i="2"/>
  <c r="W1000" i="2"/>
  <c r="W999" i="2"/>
  <c r="W998" i="2"/>
  <c r="W997" i="2"/>
  <c r="W996" i="2"/>
  <c r="W995" i="2"/>
  <c r="W994" i="2"/>
  <c r="W993" i="2"/>
  <c r="W992" i="2"/>
  <c r="W991" i="2"/>
  <c r="W990" i="2"/>
  <c r="W989" i="2"/>
  <c r="W988" i="2"/>
  <c r="W987" i="2"/>
  <c r="W986" i="2"/>
  <c r="W985" i="2"/>
  <c r="W984" i="2"/>
  <c r="W983" i="2"/>
  <c r="W982" i="2"/>
  <c r="W981" i="2"/>
  <c r="W980" i="2"/>
  <c r="W979" i="2"/>
  <c r="W978" i="2"/>
  <c r="W977" i="2"/>
  <c r="W976" i="2"/>
  <c r="W975" i="2"/>
  <c r="W974" i="2"/>
  <c r="W973" i="2"/>
  <c r="W972" i="2"/>
  <c r="W971" i="2"/>
  <c r="W970" i="2"/>
  <c r="W969" i="2"/>
  <c r="W968" i="2"/>
  <c r="W967" i="2"/>
  <c r="W966" i="2"/>
  <c r="W965" i="2"/>
  <c r="W964" i="2"/>
  <c r="W963" i="2"/>
  <c r="W962" i="2"/>
  <c r="W961" i="2"/>
  <c r="W960" i="2"/>
  <c r="W959" i="2"/>
  <c r="W958" i="2"/>
  <c r="W957" i="2"/>
  <c r="W956" i="2"/>
  <c r="W955" i="2"/>
  <c r="W954" i="2"/>
  <c r="W953" i="2"/>
  <c r="W952" i="2"/>
  <c r="W951" i="2"/>
  <c r="W950" i="2"/>
  <c r="W949" i="2"/>
  <c r="W948" i="2"/>
  <c r="W947" i="2"/>
  <c r="W946" i="2"/>
  <c r="W945" i="2"/>
  <c r="W944" i="2"/>
  <c r="W943" i="2"/>
  <c r="W942" i="2"/>
  <c r="W941" i="2"/>
  <c r="W940" i="2"/>
  <c r="W939" i="2"/>
  <c r="W938" i="2"/>
  <c r="W937" i="2"/>
  <c r="W936" i="2"/>
  <c r="W935" i="2"/>
  <c r="W934" i="2"/>
  <c r="W933" i="2"/>
  <c r="W932" i="2"/>
  <c r="W931" i="2"/>
  <c r="W930" i="2"/>
  <c r="W929" i="2"/>
  <c r="W928" i="2"/>
  <c r="W927" i="2"/>
  <c r="W926" i="2"/>
  <c r="W925" i="2"/>
  <c r="W924" i="2"/>
  <c r="W923" i="2"/>
  <c r="W922" i="2"/>
  <c r="W921" i="2"/>
  <c r="W920" i="2"/>
  <c r="W919" i="2"/>
  <c r="W918" i="2"/>
  <c r="W917" i="2"/>
  <c r="W916" i="2"/>
  <c r="W915" i="2"/>
  <c r="W914" i="2"/>
  <c r="W913" i="2"/>
  <c r="W912" i="2"/>
  <c r="W911" i="2"/>
  <c r="W910" i="2"/>
  <c r="W909" i="2"/>
  <c r="W908" i="2"/>
  <c r="W907" i="2"/>
  <c r="W906" i="2"/>
  <c r="W905" i="2"/>
  <c r="W904" i="2"/>
  <c r="W903" i="2"/>
  <c r="W902" i="2"/>
  <c r="W901" i="2"/>
  <c r="W900" i="2"/>
  <c r="W899" i="2"/>
  <c r="W898" i="2"/>
  <c r="W897" i="2"/>
  <c r="W896" i="2"/>
  <c r="W895" i="2"/>
  <c r="W894" i="2"/>
  <c r="W893" i="2"/>
  <c r="W892" i="2"/>
  <c r="W891" i="2"/>
  <c r="W890" i="2"/>
  <c r="W889" i="2"/>
  <c r="W888" i="2"/>
  <c r="W887" i="2"/>
  <c r="W886" i="2"/>
  <c r="W885" i="2"/>
  <c r="W884" i="2"/>
  <c r="W883" i="2"/>
  <c r="W882" i="2"/>
  <c r="W881" i="2"/>
  <c r="W880" i="2"/>
  <c r="W879" i="2"/>
  <c r="W878" i="2"/>
  <c r="W877" i="2"/>
  <c r="W876" i="2"/>
  <c r="W875" i="2"/>
  <c r="W874" i="2"/>
  <c r="W873" i="2"/>
  <c r="W872" i="2"/>
  <c r="W871" i="2"/>
  <c r="W870" i="2"/>
  <c r="W869" i="2"/>
  <c r="W868" i="2"/>
  <c r="W867" i="2"/>
  <c r="W866" i="2"/>
  <c r="W865" i="2"/>
  <c r="W864" i="2"/>
  <c r="W863" i="2"/>
  <c r="W862" i="2"/>
  <c r="W861" i="2"/>
  <c r="W860" i="2"/>
  <c r="W859" i="2"/>
  <c r="W858" i="2"/>
  <c r="W857" i="2"/>
  <c r="W856" i="2"/>
  <c r="W855" i="2"/>
  <c r="W854" i="2"/>
  <c r="W853" i="2"/>
  <c r="W852" i="2"/>
  <c r="W851" i="2"/>
  <c r="W850" i="2"/>
  <c r="W849" i="2"/>
  <c r="W848" i="2"/>
  <c r="W847" i="2"/>
  <c r="W846" i="2"/>
  <c r="W845" i="2"/>
  <c r="W844" i="2"/>
  <c r="W843" i="2"/>
  <c r="W842" i="2"/>
  <c r="W841" i="2"/>
  <c r="W840" i="2"/>
  <c r="W839" i="2"/>
  <c r="W838" i="2"/>
  <c r="W837" i="2"/>
  <c r="W836" i="2"/>
  <c r="W835" i="2"/>
  <c r="W834" i="2"/>
  <c r="W833" i="2"/>
  <c r="W832" i="2"/>
  <c r="W831" i="2"/>
  <c r="W830" i="2"/>
  <c r="W829" i="2"/>
  <c r="W828" i="2"/>
  <c r="W827" i="2"/>
  <c r="W826" i="2"/>
  <c r="W825" i="2"/>
  <c r="W824" i="2"/>
  <c r="W823" i="2"/>
  <c r="W822" i="2"/>
  <c r="W821" i="2"/>
  <c r="W820" i="2"/>
  <c r="W819" i="2"/>
  <c r="W818" i="2"/>
  <c r="W817" i="2"/>
  <c r="W816" i="2"/>
  <c r="W815" i="2"/>
  <c r="W814" i="2"/>
  <c r="W813" i="2"/>
  <c r="W812" i="2"/>
  <c r="W811" i="2"/>
  <c r="W810" i="2"/>
  <c r="W809" i="2"/>
  <c r="W808" i="2"/>
  <c r="W807" i="2"/>
  <c r="W806" i="2"/>
  <c r="W805" i="2"/>
  <c r="W804" i="2"/>
  <c r="W803" i="2"/>
  <c r="W802" i="2"/>
  <c r="W801" i="2"/>
  <c r="W800" i="2"/>
  <c r="W799" i="2"/>
  <c r="W798" i="2"/>
  <c r="W797" i="2"/>
  <c r="W796" i="2"/>
  <c r="W795" i="2"/>
  <c r="W794" i="2"/>
  <c r="W793" i="2"/>
  <c r="W792" i="2"/>
  <c r="W791" i="2"/>
  <c r="W790" i="2"/>
  <c r="W789" i="2"/>
  <c r="W788" i="2"/>
  <c r="W787" i="2"/>
  <c r="W786" i="2"/>
  <c r="W785" i="2"/>
  <c r="W784" i="2"/>
  <c r="W783" i="2"/>
  <c r="W782" i="2"/>
  <c r="W781" i="2"/>
  <c r="W780" i="2"/>
  <c r="W779" i="2"/>
  <c r="W778" i="2"/>
  <c r="W777" i="2"/>
  <c r="W776" i="2"/>
  <c r="W775" i="2"/>
  <c r="W774" i="2"/>
  <c r="W773" i="2"/>
  <c r="W772" i="2"/>
  <c r="W771" i="2"/>
  <c r="W770" i="2"/>
  <c r="W769" i="2"/>
  <c r="W768" i="2"/>
  <c r="W767" i="2"/>
  <c r="W766" i="2"/>
  <c r="W765" i="2"/>
  <c r="W764" i="2"/>
  <c r="W763" i="2"/>
  <c r="W762" i="2"/>
  <c r="W761" i="2"/>
  <c r="W760" i="2"/>
  <c r="W759" i="2"/>
  <c r="W758" i="2"/>
  <c r="W757" i="2"/>
  <c r="W756" i="2"/>
  <c r="W755" i="2"/>
  <c r="W754" i="2"/>
  <c r="W753" i="2"/>
  <c r="W752" i="2"/>
  <c r="W751" i="2"/>
  <c r="W750" i="2"/>
  <c r="W749" i="2"/>
  <c r="W748" i="2"/>
  <c r="W747" i="2"/>
  <c r="W746" i="2"/>
  <c r="W745" i="2"/>
  <c r="W744" i="2"/>
  <c r="W743" i="2"/>
  <c r="W742" i="2"/>
  <c r="W741" i="2"/>
  <c r="W740" i="2"/>
  <c r="W739" i="2"/>
  <c r="W738" i="2"/>
  <c r="W737" i="2"/>
  <c r="W736" i="2"/>
  <c r="W735" i="2"/>
  <c r="W734" i="2"/>
  <c r="W733" i="2"/>
  <c r="W732" i="2"/>
  <c r="W731" i="2"/>
  <c r="W730" i="2"/>
  <c r="W729" i="2"/>
  <c r="W728" i="2"/>
  <c r="W727" i="2"/>
  <c r="W726" i="2"/>
  <c r="W725" i="2"/>
  <c r="W724" i="2"/>
  <c r="W723" i="2"/>
  <c r="W722" i="2"/>
  <c r="W721" i="2"/>
  <c r="W720" i="2"/>
  <c r="W719" i="2"/>
  <c r="W718" i="2"/>
  <c r="W717" i="2"/>
  <c r="W716" i="2"/>
  <c r="W715" i="2"/>
  <c r="W714" i="2"/>
  <c r="W713" i="2"/>
  <c r="W712" i="2"/>
  <c r="W711" i="2"/>
  <c r="W710" i="2"/>
  <c r="W709" i="2"/>
  <c r="W708" i="2"/>
  <c r="W707" i="2"/>
  <c r="W706" i="2"/>
  <c r="W705" i="2"/>
  <c r="W704" i="2"/>
  <c r="W703" i="2"/>
  <c r="W702" i="2"/>
  <c r="W701" i="2"/>
  <c r="W700" i="2"/>
  <c r="W699" i="2"/>
  <c r="W698" i="2"/>
  <c r="W697" i="2"/>
  <c r="W696" i="2"/>
  <c r="W695" i="2"/>
  <c r="W694" i="2"/>
  <c r="W693" i="2"/>
  <c r="W692" i="2"/>
  <c r="W691" i="2"/>
  <c r="W690" i="2"/>
  <c r="W689" i="2"/>
  <c r="W688" i="2"/>
  <c r="W687" i="2"/>
  <c r="W686" i="2"/>
  <c r="W685" i="2"/>
  <c r="W684" i="2"/>
  <c r="W683" i="2"/>
  <c r="W682" i="2"/>
  <c r="W681" i="2"/>
  <c r="W680" i="2"/>
  <c r="W679" i="2"/>
  <c r="W678" i="2"/>
  <c r="W677" i="2"/>
  <c r="W676" i="2"/>
  <c r="W675" i="2"/>
  <c r="W674" i="2"/>
  <c r="W673" i="2"/>
  <c r="W672" i="2"/>
  <c r="W671" i="2"/>
  <c r="W670" i="2"/>
  <c r="W669" i="2"/>
  <c r="W668" i="2"/>
  <c r="W667" i="2"/>
  <c r="W666" i="2"/>
  <c r="W665" i="2"/>
  <c r="W664" i="2"/>
  <c r="W663" i="2"/>
  <c r="W662" i="2"/>
  <c r="W661" i="2"/>
  <c r="W660" i="2"/>
  <c r="W659" i="2"/>
  <c r="W658" i="2"/>
  <c r="W657" i="2"/>
  <c r="W656" i="2"/>
  <c r="W655" i="2"/>
  <c r="W654" i="2"/>
  <c r="W653" i="2"/>
  <c r="W652" i="2"/>
  <c r="W651" i="2"/>
  <c r="W650" i="2"/>
  <c r="W649" i="2"/>
  <c r="W648" i="2"/>
  <c r="W647" i="2"/>
  <c r="W646" i="2"/>
  <c r="W645" i="2"/>
  <c r="W644" i="2"/>
  <c r="W643" i="2"/>
  <c r="W642" i="2"/>
  <c r="W641" i="2"/>
  <c r="W640" i="2"/>
  <c r="W639" i="2"/>
  <c r="W638" i="2"/>
  <c r="W637" i="2"/>
  <c r="W636" i="2"/>
  <c r="W635" i="2"/>
  <c r="W634" i="2"/>
  <c r="W633" i="2"/>
  <c r="W632" i="2"/>
  <c r="W631" i="2"/>
  <c r="W630" i="2"/>
  <c r="W629" i="2"/>
  <c r="W628" i="2"/>
  <c r="W627" i="2"/>
  <c r="W626" i="2"/>
  <c r="W625" i="2"/>
  <c r="W624" i="2"/>
  <c r="W623" i="2"/>
  <c r="W622" i="2"/>
  <c r="W621" i="2"/>
  <c r="W620" i="2"/>
  <c r="W619" i="2"/>
  <c r="W618" i="2"/>
  <c r="W617" i="2"/>
  <c r="W616" i="2"/>
  <c r="W615" i="2"/>
  <c r="W614" i="2"/>
  <c r="W613" i="2"/>
  <c r="W612" i="2"/>
  <c r="W611" i="2"/>
  <c r="W610" i="2"/>
  <c r="W609" i="2"/>
  <c r="W608" i="2"/>
  <c r="W607" i="2"/>
  <c r="W606" i="2"/>
  <c r="W605" i="2"/>
  <c r="W604" i="2"/>
  <c r="W603" i="2"/>
  <c r="W602" i="2"/>
  <c r="W601" i="2"/>
  <c r="W600" i="2"/>
  <c r="W599" i="2"/>
  <c r="W598" i="2"/>
  <c r="W597" i="2"/>
  <c r="W596" i="2"/>
  <c r="W595" i="2"/>
  <c r="W594" i="2"/>
  <c r="W593" i="2"/>
  <c r="W592" i="2"/>
  <c r="W591" i="2"/>
  <c r="W590" i="2"/>
  <c r="W589" i="2"/>
  <c r="W588" i="2"/>
  <c r="W587" i="2"/>
  <c r="W586" i="2"/>
  <c r="W585" i="2"/>
  <c r="W584" i="2"/>
  <c r="W583" i="2"/>
  <c r="W582" i="2"/>
  <c r="W581" i="2"/>
  <c r="W580" i="2"/>
  <c r="W579" i="2"/>
  <c r="W578" i="2"/>
  <c r="W577" i="2"/>
  <c r="W576" i="2"/>
  <c r="W575" i="2"/>
  <c r="W574" i="2"/>
  <c r="W573" i="2"/>
  <c r="W572" i="2"/>
  <c r="W571" i="2"/>
  <c r="W570" i="2"/>
  <c r="W569" i="2"/>
  <c r="W568" i="2"/>
  <c r="W567" i="2"/>
  <c r="W566" i="2"/>
  <c r="W565" i="2"/>
  <c r="W564" i="2"/>
  <c r="W563" i="2"/>
  <c r="W562" i="2"/>
  <c r="W561" i="2"/>
  <c r="W560" i="2"/>
  <c r="W559" i="2"/>
  <c r="W558" i="2"/>
  <c r="W557" i="2"/>
  <c r="W556" i="2"/>
  <c r="W555" i="2"/>
  <c r="W554" i="2"/>
  <c r="W553" i="2"/>
  <c r="W552" i="2"/>
  <c r="W551" i="2"/>
  <c r="W550" i="2"/>
  <c r="W549" i="2"/>
  <c r="W548" i="2"/>
  <c r="W547" i="2"/>
  <c r="W546" i="2"/>
  <c r="W545" i="2"/>
  <c r="W544" i="2"/>
  <c r="W543" i="2"/>
  <c r="W542" i="2"/>
  <c r="W541" i="2"/>
  <c r="W540" i="2"/>
  <c r="W539" i="2"/>
  <c r="W538" i="2"/>
  <c r="W537" i="2"/>
  <c r="W536" i="2"/>
  <c r="W535" i="2"/>
  <c r="W534" i="2"/>
  <c r="W533" i="2"/>
  <c r="W532" i="2"/>
  <c r="W531" i="2"/>
  <c r="W530" i="2"/>
  <c r="W529" i="2"/>
  <c r="W528" i="2"/>
  <c r="W527" i="2"/>
  <c r="W526" i="2"/>
  <c r="W525" i="2"/>
  <c r="W524" i="2"/>
  <c r="W523" i="2"/>
  <c r="W522" i="2"/>
  <c r="W521" i="2"/>
  <c r="W520" i="2"/>
  <c r="W519" i="2"/>
  <c r="W518" i="2"/>
  <c r="W517" i="2"/>
  <c r="W516" i="2"/>
  <c r="W515" i="2"/>
  <c r="W514" i="2"/>
  <c r="W513" i="2"/>
  <c r="W512" i="2"/>
  <c r="W511" i="2"/>
  <c r="W510" i="2"/>
  <c r="W509" i="2"/>
  <c r="W508" i="2"/>
  <c r="W507" i="2"/>
  <c r="W506" i="2"/>
  <c r="W505" i="2"/>
  <c r="W504" i="2"/>
  <c r="W503" i="2"/>
  <c r="W502" i="2"/>
  <c r="W501" i="2"/>
  <c r="W500" i="2"/>
  <c r="W499" i="2"/>
  <c r="W498" i="2"/>
  <c r="W497" i="2"/>
  <c r="W496" i="2"/>
  <c r="W495" i="2"/>
  <c r="W494" i="2"/>
  <c r="W493" i="2"/>
  <c r="W492" i="2"/>
  <c r="W491" i="2"/>
  <c r="W490" i="2"/>
  <c r="W489" i="2"/>
  <c r="W488" i="2"/>
  <c r="W487" i="2"/>
  <c r="W486" i="2"/>
  <c r="W485" i="2"/>
  <c r="W484" i="2"/>
  <c r="W483" i="2"/>
  <c r="W482" i="2"/>
  <c r="W481" i="2"/>
  <c r="W480" i="2"/>
  <c r="W479" i="2"/>
  <c r="W478" i="2"/>
  <c r="W477" i="2"/>
  <c r="W476" i="2"/>
  <c r="W475" i="2"/>
  <c r="W474" i="2"/>
  <c r="W473" i="2"/>
  <c r="W472" i="2"/>
  <c r="W471" i="2"/>
  <c r="W470" i="2"/>
  <c r="W469" i="2"/>
  <c r="W468" i="2"/>
  <c r="W467" i="2"/>
  <c r="W466" i="2"/>
  <c r="W465" i="2"/>
  <c r="W464" i="2"/>
  <c r="W463" i="2"/>
  <c r="W462" i="2"/>
  <c r="W461" i="2"/>
  <c r="W460" i="2"/>
  <c r="W459" i="2"/>
  <c r="W458" i="2"/>
  <c r="W457" i="2"/>
  <c r="W456" i="2"/>
  <c r="W455" i="2"/>
  <c r="W454" i="2"/>
  <c r="W453" i="2"/>
  <c r="W452" i="2"/>
  <c r="W451" i="2"/>
  <c r="W450" i="2"/>
  <c r="W449" i="2"/>
  <c r="W448" i="2"/>
  <c r="W447" i="2"/>
  <c r="W446" i="2"/>
  <c r="W445" i="2"/>
  <c r="W444" i="2"/>
  <c r="W443" i="2"/>
  <c r="W442" i="2"/>
  <c r="W441" i="2"/>
  <c r="W440" i="2"/>
  <c r="W439" i="2"/>
  <c r="W438" i="2"/>
  <c r="W437" i="2"/>
  <c r="W436" i="2"/>
  <c r="W435" i="2"/>
  <c r="W434" i="2"/>
  <c r="W433" i="2"/>
  <c r="W432" i="2"/>
  <c r="W431" i="2"/>
  <c r="W430" i="2"/>
  <c r="W429" i="2"/>
  <c r="W428" i="2"/>
  <c r="W427" i="2"/>
  <c r="W426" i="2"/>
  <c r="W425" i="2"/>
  <c r="W424" i="2"/>
  <c r="W423" i="2"/>
  <c r="W422" i="2"/>
  <c r="W421" i="2"/>
  <c r="W420" i="2"/>
  <c r="W419" i="2"/>
  <c r="W418" i="2"/>
  <c r="W417" i="2"/>
  <c r="W416" i="2"/>
  <c r="W415" i="2"/>
  <c r="W414" i="2"/>
  <c r="W413" i="2"/>
  <c r="W412" i="2"/>
  <c r="W411" i="2"/>
  <c r="W410" i="2"/>
  <c r="W409" i="2"/>
  <c r="W408" i="2"/>
  <c r="W407" i="2"/>
  <c r="W406" i="2"/>
  <c r="W405" i="2"/>
  <c r="W404" i="2"/>
  <c r="W403" i="2"/>
  <c r="W402" i="2"/>
  <c r="W401" i="2"/>
  <c r="W400" i="2"/>
  <c r="W399" i="2"/>
  <c r="W398" i="2"/>
  <c r="W397" i="2"/>
  <c r="W396" i="2"/>
  <c r="W395" i="2"/>
  <c r="W394" i="2"/>
  <c r="W393" i="2"/>
  <c r="W392" i="2"/>
  <c r="W391" i="2"/>
  <c r="W390" i="2"/>
  <c r="W389" i="2"/>
  <c r="W388" i="2"/>
  <c r="W387" i="2"/>
  <c r="W386" i="2"/>
  <c r="W385" i="2"/>
  <c r="W384" i="2"/>
  <c r="W383" i="2"/>
  <c r="W382" i="2"/>
  <c r="W381" i="2"/>
  <c r="W380" i="2"/>
  <c r="W379" i="2"/>
  <c r="W378" i="2"/>
  <c r="W377" i="2"/>
  <c r="W376" i="2"/>
  <c r="W375" i="2"/>
  <c r="W374" i="2"/>
  <c r="W373" i="2"/>
  <c r="W372" i="2"/>
  <c r="W371" i="2"/>
  <c r="W370" i="2"/>
  <c r="W369" i="2"/>
  <c r="W368" i="2"/>
  <c r="W367" i="2"/>
  <c r="W366" i="2"/>
  <c r="W365" i="2"/>
  <c r="W364" i="2"/>
  <c r="W363" i="2"/>
  <c r="W362" i="2"/>
  <c r="W361" i="2"/>
  <c r="W360" i="2"/>
  <c r="W359" i="2"/>
  <c r="W358" i="2"/>
  <c r="W357" i="2"/>
  <c r="W356" i="2"/>
  <c r="W355" i="2"/>
  <c r="W354" i="2"/>
  <c r="W353" i="2"/>
  <c r="W352" i="2"/>
  <c r="W351" i="2"/>
  <c r="W350" i="2"/>
  <c r="W349" i="2"/>
  <c r="W348" i="2"/>
  <c r="W347" i="2"/>
  <c r="W346" i="2"/>
  <c r="W345" i="2"/>
  <c r="W344" i="2"/>
  <c r="W343" i="2"/>
  <c r="W342" i="2"/>
  <c r="W341" i="2"/>
  <c r="W340" i="2"/>
  <c r="W339" i="2"/>
  <c r="W338" i="2"/>
  <c r="W337" i="2"/>
  <c r="W336" i="2"/>
  <c r="W335" i="2"/>
  <c r="W334" i="2"/>
  <c r="W333" i="2"/>
  <c r="W332" i="2"/>
  <c r="W331" i="2"/>
  <c r="W330" i="2"/>
  <c r="W329" i="2"/>
  <c r="W328" i="2"/>
  <c r="W327" i="2"/>
  <c r="W326" i="2"/>
  <c r="W325" i="2"/>
  <c r="W324" i="2"/>
  <c r="W323" i="2"/>
  <c r="W322" i="2"/>
  <c r="W321" i="2"/>
  <c r="W320" i="2"/>
  <c r="W319" i="2"/>
  <c r="W318" i="2"/>
  <c r="W317" i="2"/>
  <c r="W316" i="2"/>
  <c r="W315" i="2"/>
  <c r="W314" i="2"/>
  <c r="W313" i="2"/>
  <c r="W312" i="2"/>
  <c r="W311" i="2"/>
  <c r="W310" i="2"/>
  <c r="W309" i="2"/>
  <c r="W308" i="2"/>
  <c r="W307" i="2"/>
  <c r="W306" i="2"/>
  <c r="W305" i="2"/>
  <c r="W304" i="2"/>
  <c r="W303" i="2"/>
  <c r="W302" i="2"/>
  <c r="W301" i="2"/>
  <c r="W300" i="2"/>
  <c r="W299" i="2"/>
  <c r="W298" i="2"/>
  <c r="W297" i="2"/>
  <c r="W296" i="2"/>
  <c r="W295" i="2"/>
  <c r="W294" i="2"/>
  <c r="W293" i="2"/>
  <c r="W292" i="2"/>
  <c r="W291" i="2"/>
  <c r="W290" i="2"/>
  <c r="W289" i="2"/>
  <c r="W288" i="2"/>
  <c r="W287" i="2"/>
  <c r="W286" i="2"/>
  <c r="W285" i="2"/>
  <c r="W284" i="2"/>
  <c r="W283" i="2"/>
  <c r="W282" i="2"/>
  <c r="W281" i="2"/>
  <c r="W280" i="2"/>
  <c r="W279" i="2"/>
  <c r="W278" i="2"/>
  <c r="W277" i="2"/>
  <c r="W276" i="2"/>
  <c r="W275" i="2"/>
  <c r="W274" i="2"/>
  <c r="W273" i="2"/>
  <c r="W272" i="2"/>
  <c r="W271" i="2"/>
  <c r="W270" i="2"/>
  <c r="W269" i="2"/>
  <c r="W268" i="2"/>
  <c r="W267" i="2"/>
  <c r="W266" i="2"/>
  <c r="W265" i="2"/>
  <c r="W264" i="2"/>
  <c r="W263" i="2"/>
  <c r="W262" i="2"/>
  <c r="W261" i="2"/>
  <c r="W260" i="2"/>
  <c r="W259" i="2"/>
  <c r="W258" i="2"/>
  <c r="W257" i="2"/>
  <c r="W256" i="2"/>
  <c r="W255" i="2"/>
  <c r="W254" i="2"/>
  <c r="W253" i="2"/>
  <c r="W252" i="2"/>
  <c r="W251" i="2"/>
  <c r="W250" i="2"/>
  <c r="W249" i="2"/>
  <c r="W248" i="2"/>
  <c r="W247" i="2"/>
  <c r="W246" i="2"/>
  <c r="W245" i="2"/>
  <c r="W244" i="2"/>
  <c r="W243" i="2"/>
  <c r="W242" i="2"/>
  <c r="W241" i="2"/>
  <c r="W240" i="2"/>
  <c r="W239" i="2"/>
  <c r="W238" i="2"/>
  <c r="W237" i="2"/>
  <c r="W236" i="2"/>
  <c r="W235" i="2"/>
  <c r="W234" i="2"/>
  <c r="W233" i="2"/>
  <c r="W232" i="2"/>
  <c r="W231" i="2"/>
  <c r="W230" i="2"/>
  <c r="W229" i="2"/>
  <c r="W228" i="2"/>
  <c r="W227" i="2"/>
  <c r="W226" i="2"/>
  <c r="W225" i="2"/>
  <c r="W224" i="2"/>
  <c r="W223" i="2"/>
  <c r="W222" i="2"/>
  <c r="W221" i="2"/>
  <c r="W220" i="2"/>
  <c r="W219" i="2"/>
  <c r="W218" i="2"/>
  <c r="W217" i="2"/>
  <c r="W216" i="2"/>
  <c r="W215" i="2"/>
  <c r="W214" i="2"/>
  <c r="W213" i="2"/>
  <c r="W212" i="2"/>
  <c r="W211" i="2"/>
  <c r="W210" i="2"/>
  <c r="W209" i="2"/>
  <c r="W208" i="2"/>
  <c r="W207" i="2"/>
  <c r="W206" i="2"/>
  <c r="W205" i="2"/>
  <c r="W204" i="2"/>
  <c r="W203" i="2"/>
  <c r="W202" i="2"/>
  <c r="W201" i="2"/>
  <c r="W200" i="2"/>
  <c r="W199" i="2"/>
  <c r="W198" i="2"/>
  <c r="W197" i="2"/>
  <c r="W196" i="2"/>
  <c r="W195" i="2"/>
  <c r="W194" i="2"/>
  <c r="W193" i="2"/>
  <c r="W192" i="2"/>
  <c r="W191" i="2"/>
  <c r="W190" i="2"/>
  <c r="W189" i="2"/>
  <c r="W188" i="2"/>
  <c r="W187" i="2"/>
  <c r="W186" i="2"/>
  <c r="W185" i="2"/>
  <c r="W184" i="2"/>
  <c r="W183" i="2"/>
  <c r="W182" i="2"/>
  <c r="W181" i="2"/>
  <c r="W180" i="2"/>
  <c r="W179" i="2"/>
  <c r="W178" i="2"/>
  <c r="W177" i="2"/>
  <c r="W176" i="2"/>
  <c r="W175" i="2"/>
  <c r="W174" i="2"/>
  <c r="W173" i="2"/>
  <c r="W172" i="2"/>
  <c r="W171" i="2"/>
  <c r="W170" i="2"/>
  <c r="W169" i="2"/>
  <c r="W168" i="2"/>
  <c r="W167" i="2"/>
  <c r="W166" i="2"/>
  <c r="W165" i="2"/>
  <c r="W164" i="2"/>
  <c r="W163" i="2"/>
  <c r="W162" i="2"/>
  <c r="W161" i="2"/>
  <c r="W160" i="2"/>
  <c r="W159" i="2"/>
  <c r="W158" i="2"/>
  <c r="W157" i="2"/>
  <c r="W156" i="2"/>
  <c r="W155" i="2"/>
  <c r="W154" i="2"/>
  <c r="W153" i="2"/>
  <c r="W152" i="2"/>
  <c r="W151" i="2"/>
  <c r="W150" i="2"/>
  <c r="W149" i="2"/>
  <c r="W148" i="2"/>
  <c r="W147" i="2"/>
  <c r="W146" i="2"/>
  <c r="W145" i="2"/>
  <c r="W144" i="2"/>
  <c r="W143" i="2"/>
  <c r="W142" i="2"/>
  <c r="W141" i="2"/>
  <c r="W140" i="2"/>
  <c r="W139" i="2"/>
  <c r="W138" i="2"/>
  <c r="W137" i="2"/>
  <c r="W136" i="2"/>
  <c r="W135" i="2"/>
  <c r="W134" i="2"/>
  <c r="W133" i="2"/>
  <c r="W132" i="2"/>
  <c r="W131" i="2"/>
  <c r="W130" i="2"/>
  <c r="W129" i="2"/>
  <c r="W128" i="2"/>
  <c r="W127" i="2"/>
  <c r="W126" i="2"/>
  <c r="W125" i="2"/>
  <c r="W124" i="2"/>
  <c r="W123" i="2"/>
  <c r="W122" i="2"/>
  <c r="W121" i="2"/>
  <c r="W120" i="2"/>
  <c r="W119" i="2"/>
  <c r="W118" i="2"/>
  <c r="W117" i="2"/>
  <c r="W116" i="2"/>
  <c r="W115" i="2"/>
  <c r="W114" i="2"/>
  <c r="W113" i="2"/>
  <c r="W112" i="2"/>
  <c r="W111" i="2"/>
  <c r="W110" i="2"/>
  <c r="W109" i="2"/>
  <c r="W108" i="2"/>
  <c r="W107" i="2"/>
  <c r="W106" i="2"/>
  <c r="W105" i="2"/>
  <c r="W104" i="2"/>
  <c r="W103" i="2"/>
  <c r="W102" i="2"/>
  <c r="W101" i="2"/>
  <c r="W100" i="2"/>
  <c r="W99" i="2"/>
  <c r="W98" i="2"/>
  <c r="W97" i="2"/>
  <c r="W96" i="2"/>
  <c r="W95" i="2"/>
  <c r="W94" i="2"/>
  <c r="W93" i="2"/>
  <c r="W92" i="2"/>
  <c r="W91" i="2"/>
  <c r="W90" i="2"/>
  <c r="W89" i="2"/>
  <c r="W88" i="2"/>
  <c r="W87" i="2"/>
  <c r="W86" i="2"/>
  <c r="W85" i="2"/>
  <c r="W84" i="2"/>
  <c r="W83" i="2"/>
  <c r="W82" i="2"/>
  <c r="W81" i="2"/>
  <c r="W80" i="2"/>
  <c r="W79" i="2"/>
  <c r="W78" i="2"/>
  <c r="W77" i="2"/>
  <c r="W76" i="2"/>
  <c r="W75" i="2"/>
  <c r="W74" i="2"/>
  <c r="W73" i="2"/>
  <c r="W72" i="2"/>
  <c r="W71" i="2"/>
  <c r="W70" i="2"/>
  <c r="W69" i="2"/>
  <c r="W68" i="2"/>
  <c r="W67" i="2"/>
  <c r="W66" i="2"/>
  <c r="W65" i="2"/>
  <c r="W64" i="2"/>
  <c r="W63" i="2"/>
  <c r="W62" i="2"/>
  <c r="W61" i="2"/>
  <c r="W60" i="2"/>
  <c r="W59" i="2"/>
  <c r="W58" i="2"/>
  <c r="W57" i="2"/>
  <c r="W56" i="2"/>
  <c r="W55" i="2"/>
  <c r="W54" i="2"/>
  <c r="W53" i="2"/>
  <c r="W52" i="2"/>
  <c r="W51" i="2"/>
  <c r="W50" i="2"/>
  <c r="W49" i="2"/>
  <c r="W48" i="2"/>
  <c r="W47" i="2"/>
  <c r="W46" i="2"/>
  <c r="W45" i="2"/>
  <c r="W44" i="2"/>
  <c r="W43" i="2"/>
  <c r="W42" i="2"/>
  <c r="W41" i="2"/>
  <c r="W40" i="2"/>
  <c r="W39" i="2"/>
  <c r="W38" i="2"/>
  <c r="W37" i="2"/>
  <c r="W36" i="2"/>
  <c r="W35" i="2"/>
  <c r="W34" i="2"/>
  <c r="W33" i="2"/>
  <c r="W32" i="2"/>
  <c r="W31" i="2"/>
  <c r="W30" i="2"/>
  <c r="W29" i="2"/>
  <c r="W28" i="2"/>
  <c r="W27" i="2"/>
  <c r="W26" i="2"/>
  <c r="W25" i="2"/>
  <c r="W24" i="2"/>
  <c r="W23" i="2"/>
  <c r="W22" i="2"/>
  <c r="W21" i="2"/>
  <c r="W20" i="2"/>
  <c r="W19" i="2"/>
  <c r="W18" i="2"/>
  <c r="W17" i="2"/>
  <c r="W16" i="2"/>
  <c r="W15" i="2"/>
  <c r="W14" i="2"/>
  <c r="W13" i="2"/>
  <c r="W12" i="2"/>
  <c r="W11" i="2"/>
  <c r="W10" i="2"/>
  <c r="W9" i="2"/>
  <c r="W8" i="2"/>
  <c r="W7" i="2"/>
  <c r="W6" i="2"/>
  <c r="W5" i="2"/>
  <c r="W4" i="2"/>
  <c r="W3" i="2"/>
  <c r="V449" i="2"/>
  <c r="V545" i="2"/>
  <c r="V665" i="2"/>
  <c r="V767" i="2"/>
  <c r="V775" i="2"/>
  <c r="V783" i="2"/>
  <c r="V791" i="2"/>
  <c r="V831" i="2"/>
  <c r="V839" i="2"/>
  <c r="V847" i="2"/>
  <c r="V855" i="2"/>
  <c r="V871" i="2"/>
  <c r="V18" i="2"/>
  <c r="V26" i="2"/>
  <c r="V34" i="2"/>
  <c r="V42" i="2"/>
  <c r="V50" i="2"/>
  <c r="V58" i="2"/>
  <c r="V66" i="2"/>
  <c r="V74" i="2"/>
  <c r="V82" i="2"/>
  <c r="V90" i="2"/>
  <c r="V98" i="2"/>
  <c r="V106" i="2"/>
  <c r="V114" i="2"/>
  <c r="V122" i="2"/>
  <c r="V130" i="2"/>
  <c r="V138" i="2"/>
  <c r="V146" i="2"/>
  <c r="V154" i="2"/>
  <c r="V162" i="2"/>
  <c r="V170" i="2"/>
  <c r="V178" i="2"/>
  <c r="V186" i="2"/>
  <c r="V194" i="2"/>
  <c r="V202" i="2"/>
  <c r="V210" i="2"/>
  <c r="V218" i="2"/>
  <c r="V226" i="2"/>
  <c r="V234" i="2"/>
  <c r="V242" i="2"/>
  <c r="V250" i="2"/>
  <c r="V258" i="2"/>
  <c r="V266" i="2"/>
  <c r="V274" i="2"/>
  <c r="V282" i="2"/>
  <c r="V290" i="2"/>
  <c r="V298" i="2"/>
  <c r="V306" i="2"/>
  <c r="V314" i="2"/>
  <c r="V322" i="2"/>
  <c r="V330" i="2"/>
  <c r="V338" i="2"/>
  <c r="V346" i="2"/>
  <c r="V354" i="2"/>
  <c r="V362" i="2"/>
  <c r="V370" i="2"/>
  <c r="V378" i="2"/>
  <c r="V386" i="2"/>
  <c r="V394" i="2"/>
  <c r="V402" i="2"/>
  <c r="V410" i="2"/>
  <c r="V418" i="2"/>
  <c r="V426" i="2"/>
  <c r="V434" i="2"/>
  <c r="V442" i="2"/>
  <c r="V450" i="2"/>
  <c r="V458" i="2"/>
  <c r="V466" i="2"/>
  <c r="V474" i="2"/>
  <c r="V482" i="2"/>
  <c r="V490" i="2"/>
  <c r="V498" i="2"/>
  <c r="V506" i="2"/>
  <c r="V514" i="2"/>
  <c r="V522" i="2"/>
  <c r="V530" i="2"/>
  <c r="V538" i="2"/>
  <c r="V546" i="2"/>
  <c r="V554" i="2"/>
  <c r="V562" i="2"/>
  <c r="V570" i="2"/>
  <c r="V578" i="2"/>
  <c r="V586" i="2"/>
  <c r="V594" i="2"/>
  <c r="V602" i="2"/>
  <c r="V610" i="2"/>
  <c r="V618" i="2"/>
  <c r="V626" i="2"/>
  <c r="V634" i="2"/>
  <c r="V642" i="2"/>
  <c r="V650" i="2"/>
  <c r="V658" i="2"/>
  <c r="V666" i="2"/>
  <c r="V674" i="2"/>
  <c r="V682" i="2"/>
  <c r="V690" i="2"/>
  <c r="W2" i="2"/>
  <c r="V3" i="2"/>
  <c r="V4" i="2"/>
  <c r="V5" i="2"/>
  <c r="V6" i="2"/>
  <c r="V7" i="2"/>
  <c r="V8" i="2"/>
  <c r="V10" i="2"/>
  <c r="V11" i="2"/>
  <c r="V12" i="2"/>
  <c r="V13" i="2"/>
  <c r="V14" i="2"/>
  <c r="V15" i="2"/>
  <c r="V16" i="2"/>
  <c r="V19" i="2"/>
  <c r="V20" i="2"/>
  <c r="V21" i="2"/>
  <c r="V22" i="2"/>
  <c r="V23" i="2"/>
  <c r="V24" i="2"/>
  <c r="V27" i="2"/>
  <c r="V28" i="2"/>
  <c r="V29" i="2"/>
  <c r="V30" i="2"/>
  <c r="V31" i="2"/>
  <c r="V32" i="2"/>
  <c r="V35" i="2"/>
  <c r="V36" i="2"/>
  <c r="V37" i="2"/>
  <c r="V38" i="2"/>
  <c r="V39" i="2"/>
  <c r="V40" i="2"/>
  <c r="V41" i="2"/>
  <c r="V43" i="2"/>
  <c r="V44" i="2"/>
  <c r="V45" i="2"/>
  <c r="V46" i="2"/>
  <c r="V47" i="2"/>
  <c r="V48" i="2"/>
  <c r="V51" i="2"/>
  <c r="V52" i="2"/>
  <c r="V53" i="2"/>
  <c r="V54" i="2"/>
  <c r="V55" i="2"/>
  <c r="V56" i="2"/>
  <c r="V59" i="2"/>
  <c r="V60" i="2"/>
  <c r="V61" i="2"/>
  <c r="V62" i="2"/>
  <c r="V63" i="2"/>
  <c r="V64" i="2"/>
  <c r="V67" i="2"/>
  <c r="V68" i="2"/>
  <c r="V69" i="2"/>
  <c r="V70" i="2"/>
  <c r="V71" i="2"/>
  <c r="V72" i="2"/>
  <c r="V75" i="2"/>
  <c r="V76" i="2"/>
  <c r="V77" i="2"/>
  <c r="V78" i="2"/>
  <c r="V79" i="2"/>
  <c r="V80" i="2"/>
  <c r="V83" i="2"/>
  <c r="V84" i="2"/>
  <c r="V85" i="2"/>
  <c r="V86" i="2"/>
  <c r="V87" i="2"/>
  <c r="V88" i="2"/>
  <c r="V91" i="2"/>
  <c r="V92" i="2"/>
  <c r="V93" i="2"/>
  <c r="V94" i="2"/>
  <c r="V95" i="2"/>
  <c r="V96" i="2"/>
  <c r="V99" i="2"/>
  <c r="V100" i="2"/>
  <c r="V101" i="2"/>
  <c r="V102" i="2"/>
  <c r="V103" i="2"/>
  <c r="V104" i="2"/>
  <c r="V107" i="2"/>
  <c r="V108" i="2"/>
  <c r="V109" i="2"/>
  <c r="V110" i="2"/>
  <c r="V111" i="2"/>
  <c r="V112" i="2"/>
  <c r="V115" i="2"/>
  <c r="V116" i="2"/>
  <c r="V117" i="2"/>
  <c r="V118" i="2"/>
  <c r="V119" i="2"/>
  <c r="V120" i="2"/>
  <c r="V121" i="2"/>
  <c r="V123" i="2"/>
  <c r="V124" i="2"/>
  <c r="V125" i="2"/>
  <c r="V126" i="2"/>
  <c r="V127" i="2"/>
  <c r="V128" i="2"/>
  <c r="V131" i="2"/>
  <c r="V132" i="2"/>
  <c r="V133" i="2"/>
  <c r="V134" i="2"/>
  <c r="V135" i="2"/>
  <c r="V136" i="2"/>
  <c r="V139" i="2"/>
  <c r="V140" i="2"/>
  <c r="V141" i="2"/>
  <c r="V142" i="2"/>
  <c r="V143" i="2"/>
  <c r="V144" i="2"/>
  <c r="V147" i="2"/>
  <c r="V148" i="2"/>
  <c r="V149" i="2"/>
  <c r="V150" i="2"/>
  <c r="V151" i="2"/>
  <c r="V152" i="2"/>
  <c r="V155" i="2"/>
  <c r="V156" i="2"/>
  <c r="V157" i="2"/>
  <c r="V158" i="2"/>
  <c r="V159" i="2"/>
  <c r="V160" i="2"/>
  <c r="V163" i="2"/>
  <c r="V164" i="2"/>
  <c r="V165" i="2"/>
  <c r="V166" i="2"/>
  <c r="V167" i="2"/>
  <c r="V168" i="2"/>
  <c r="V171" i="2"/>
  <c r="V172" i="2"/>
  <c r="V173" i="2"/>
  <c r="V174" i="2"/>
  <c r="V175" i="2"/>
  <c r="V176" i="2"/>
  <c r="V179" i="2"/>
  <c r="V180" i="2"/>
  <c r="V181" i="2"/>
  <c r="V182" i="2"/>
  <c r="V183" i="2"/>
  <c r="V184" i="2"/>
  <c r="V187" i="2"/>
  <c r="V188" i="2"/>
  <c r="V189" i="2"/>
  <c r="V190" i="2"/>
  <c r="V191" i="2"/>
  <c r="V192" i="2"/>
  <c r="V193" i="2"/>
  <c r="V195" i="2"/>
  <c r="V196" i="2"/>
  <c r="V197" i="2"/>
  <c r="V198" i="2"/>
  <c r="V199" i="2"/>
  <c r="V200" i="2"/>
  <c r="V203" i="2"/>
  <c r="V204" i="2"/>
  <c r="V205" i="2"/>
  <c r="V206" i="2"/>
  <c r="V207" i="2"/>
  <c r="V208" i="2"/>
  <c r="V211" i="2"/>
  <c r="V212" i="2"/>
  <c r="V213" i="2"/>
  <c r="V214" i="2"/>
  <c r="V215" i="2"/>
  <c r="V216" i="2"/>
  <c r="V219" i="2"/>
  <c r="V220" i="2"/>
  <c r="V221" i="2"/>
  <c r="V222" i="2"/>
  <c r="V223" i="2"/>
  <c r="V224" i="2"/>
  <c r="V227" i="2"/>
  <c r="V228" i="2"/>
  <c r="V229" i="2"/>
  <c r="V230" i="2"/>
  <c r="V231" i="2"/>
  <c r="V232" i="2"/>
  <c r="V235" i="2"/>
  <c r="V236" i="2"/>
  <c r="V237" i="2"/>
  <c r="V238" i="2"/>
  <c r="V239" i="2"/>
  <c r="V240" i="2"/>
  <c r="V243" i="2"/>
  <c r="V244" i="2"/>
  <c r="V245" i="2"/>
  <c r="V246" i="2"/>
  <c r="V247" i="2"/>
  <c r="V248" i="2"/>
  <c r="V251" i="2"/>
  <c r="V252" i="2"/>
  <c r="V253" i="2"/>
  <c r="V254" i="2"/>
  <c r="V255" i="2"/>
  <c r="V256" i="2"/>
  <c r="V259" i="2"/>
  <c r="V260" i="2"/>
  <c r="V261" i="2"/>
  <c r="V262" i="2"/>
  <c r="V263" i="2"/>
  <c r="V264" i="2"/>
  <c r="V267" i="2"/>
  <c r="V268" i="2"/>
  <c r="V269" i="2"/>
  <c r="V270" i="2"/>
  <c r="V271" i="2"/>
  <c r="V272" i="2"/>
  <c r="V275" i="2"/>
  <c r="V276" i="2"/>
  <c r="V277" i="2"/>
  <c r="V278" i="2"/>
  <c r="V279" i="2"/>
  <c r="V280" i="2"/>
  <c r="V283" i="2"/>
  <c r="V284" i="2"/>
  <c r="V285" i="2"/>
  <c r="V286" i="2"/>
  <c r="V287" i="2"/>
  <c r="V288" i="2"/>
  <c r="V291" i="2"/>
  <c r="V292" i="2"/>
  <c r="V293" i="2"/>
  <c r="V294" i="2"/>
  <c r="V295" i="2"/>
  <c r="V296" i="2"/>
  <c r="V299" i="2"/>
  <c r="V300" i="2"/>
  <c r="V301" i="2"/>
  <c r="V302" i="2"/>
  <c r="V303" i="2"/>
  <c r="V304" i="2"/>
  <c r="V307" i="2"/>
  <c r="V308" i="2"/>
  <c r="V309" i="2"/>
  <c r="V310" i="2"/>
  <c r="V311" i="2"/>
  <c r="V312" i="2"/>
  <c r="V315" i="2"/>
  <c r="V316" i="2"/>
  <c r="V317" i="2"/>
  <c r="V318" i="2"/>
  <c r="V319" i="2"/>
  <c r="V320" i="2"/>
  <c r="V321" i="2"/>
  <c r="V323" i="2"/>
  <c r="V324" i="2"/>
  <c r="V325" i="2"/>
  <c r="V326" i="2"/>
  <c r="V327" i="2"/>
  <c r="V328" i="2"/>
  <c r="V331" i="2"/>
  <c r="V332" i="2"/>
  <c r="V333" i="2"/>
  <c r="V334" i="2"/>
  <c r="V335" i="2"/>
  <c r="V336" i="2"/>
  <c r="V339" i="2"/>
  <c r="V340" i="2"/>
  <c r="V341" i="2"/>
  <c r="V342" i="2"/>
  <c r="V343" i="2"/>
  <c r="V344" i="2"/>
  <c r="V347" i="2"/>
  <c r="V348" i="2"/>
  <c r="V349" i="2"/>
  <c r="V350" i="2"/>
  <c r="V351" i="2"/>
  <c r="V352" i="2"/>
  <c r="V355" i="2"/>
  <c r="V356" i="2"/>
  <c r="V357" i="2"/>
  <c r="V358" i="2"/>
  <c r="V359" i="2"/>
  <c r="V360" i="2"/>
  <c r="V363" i="2"/>
  <c r="V364" i="2"/>
  <c r="V365" i="2"/>
  <c r="V366" i="2"/>
  <c r="V367" i="2"/>
  <c r="V368" i="2"/>
  <c r="V371" i="2"/>
  <c r="V372" i="2"/>
  <c r="V373" i="2"/>
  <c r="V374" i="2"/>
  <c r="V375" i="2"/>
  <c r="V376" i="2"/>
  <c r="V379" i="2"/>
  <c r="V380" i="2"/>
  <c r="V381" i="2"/>
  <c r="V382" i="2"/>
  <c r="V384" i="2"/>
  <c r="V387" i="2"/>
  <c r="V388" i="2"/>
  <c r="V389" i="2"/>
  <c r="V390" i="2"/>
  <c r="V392" i="2"/>
  <c r="V395" i="2"/>
  <c r="V396" i="2"/>
  <c r="V397" i="2"/>
  <c r="V398" i="2"/>
  <c r="V399" i="2"/>
  <c r="V400" i="2"/>
  <c r="V403" i="2"/>
  <c r="V404" i="2"/>
  <c r="V405" i="2"/>
  <c r="V406" i="2"/>
  <c r="V407" i="2"/>
  <c r="V408" i="2"/>
  <c r="V411" i="2"/>
  <c r="V412" i="2"/>
  <c r="V413" i="2"/>
  <c r="V414" i="2"/>
  <c r="V415" i="2"/>
  <c r="V416" i="2"/>
  <c r="V419" i="2"/>
  <c r="V420" i="2"/>
  <c r="V421" i="2"/>
  <c r="V422" i="2"/>
  <c r="V423" i="2"/>
  <c r="V424" i="2"/>
  <c r="V427" i="2"/>
  <c r="V428" i="2"/>
  <c r="V429" i="2"/>
  <c r="V430" i="2"/>
  <c r="V431" i="2"/>
  <c r="V432" i="2"/>
  <c r="V435" i="2"/>
  <c r="V436" i="2"/>
  <c r="V437" i="2"/>
  <c r="V438" i="2"/>
  <c r="V439" i="2"/>
  <c r="V440" i="2"/>
  <c r="V443" i="2"/>
  <c r="V444" i="2"/>
  <c r="V445" i="2"/>
  <c r="V446" i="2"/>
  <c r="V448" i="2"/>
  <c r="V451" i="2"/>
  <c r="V452" i="2"/>
  <c r="V453" i="2"/>
  <c r="V454" i="2"/>
  <c r="V456" i="2"/>
  <c r="V459" i="2"/>
  <c r="V460" i="2"/>
  <c r="V461" i="2"/>
  <c r="V462" i="2"/>
  <c r="V463" i="2"/>
  <c r="V464" i="2"/>
  <c r="V467" i="2"/>
  <c r="V468" i="2"/>
  <c r="V469" i="2"/>
  <c r="V470" i="2"/>
  <c r="V471" i="2"/>
  <c r="V472" i="2"/>
  <c r="V475" i="2"/>
  <c r="V476" i="2"/>
  <c r="V477" i="2"/>
  <c r="V478" i="2"/>
  <c r="V479" i="2"/>
  <c r="V480" i="2"/>
  <c r="V483" i="2"/>
  <c r="V484" i="2"/>
  <c r="V485" i="2"/>
  <c r="V486" i="2"/>
  <c r="V487" i="2"/>
  <c r="V488" i="2"/>
  <c r="V491" i="2"/>
  <c r="V492" i="2"/>
  <c r="V493" i="2"/>
  <c r="V494" i="2"/>
  <c r="V495" i="2"/>
  <c r="V496" i="2"/>
  <c r="V499" i="2"/>
  <c r="V500" i="2"/>
  <c r="V501" i="2"/>
  <c r="V502" i="2"/>
  <c r="V503" i="2"/>
  <c r="V504" i="2"/>
  <c r="V507" i="2"/>
  <c r="V508" i="2"/>
  <c r="V509" i="2"/>
  <c r="V510" i="2"/>
  <c r="V512" i="2"/>
  <c r="V515" i="2"/>
  <c r="V516" i="2"/>
  <c r="V517" i="2"/>
  <c r="V518" i="2"/>
  <c r="V520" i="2"/>
  <c r="V523" i="2"/>
  <c r="V524" i="2"/>
  <c r="V525" i="2"/>
  <c r="V526" i="2"/>
  <c r="V527" i="2"/>
  <c r="V528" i="2"/>
  <c r="V531" i="2"/>
  <c r="V532" i="2"/>
  <c r="V533" i="2"/>
  <c r="V534" i="2"/>
  <c r="V535" i="2"/>
  <c r="V536" i="2"/>
  <c r="V539" i="2"/>
  <c r="V540" i="2"/>
  <c r="V541" i="2"/>
  <c r="V542" i="2"/>
  <c r="V543" i="2"/>
  <c r="V544" i="2"/>
  <c r="V547" i="2"/>
  <c r="V548" i="2"/>
  <c r="V549" i="2"/>
  <c r="V550" i="2"/>
  <c r="V551" i="2"/>
  <c r="V552" i="2"/>
  <c r="V555" i="2"/>
  <c r="V556" i="2"/>
  <c r="V557" i="2"/>
  <c r="V558" i="2"/>
  <c r="V559" i="2"/>
  <c r="V560" i="2"/>
  <c r="V563" i="2"/>
  <c r="V564" i="2"/>
  <c r="V565" i="2"/>
  <c r="V566" i="2"/>
  <c r="V568" i="2"/>
  <c r="V571" i="2"/>
  <c r="V572" i="2"/>
  <c r="V573" i="2"/>
  <c r="V574" i="2"/>
  <c r="V576" i="2"/>
  <c r="V579" i="2"/>
  <c r="V580" i="2"/>
  <c r="V581" i="2"/>
  <c r="V582" i="2"/>
  <c r="V584" i="2"/>
  <c r="V587" i="2"/>
  <c r="V588" i="2"/>
  <c r="V589" i="2"/>
  <c r="V590" i="2"/>
  <c r="V591" i="2"/>
  <c r="V592" i="2"/>
  <c r="V595" i="2"/>
  <c r="V596" i="2"/>
  <c r="V597" i="2"/>
  <c r="V598" i="2"/>
  <c r="V599" i="2"/>
  <c r="V600" i="2"/>
  <c r="V603" i="2"/>
  <c r="V604" i="2"/>
  <c r="V605" i="2"/>
  <c r="V606" i="2"/>
  <c r="V607" i="2"/>
  <c r="V608" i="2"/>
  <c r="V611" i="2"/>
  <c r="V612" i="2"/>
  <c r="V613" i="2"/>
  <c r="V614" i="2"/>
  <c r="V615" i="2"/>
  <c r="V616" i="2"/>
  <c r="V619" i="2"/>
  <c r="V620" i="2"/>
  <c r="V621" i="2"/>
  <c r="V622" i="2"/>
  <c r="V623" i="2"/>
  <c r="V624" i="2"/>
  <c r="V627" i="2"/>
  <c r="V628" i="2"/>
  <c r="V629" i="2"/>
  <c r="V630" i="2"/>
  <c r="V632" i="2"/>
  <c r="V633" i="2"/>
  <c r="V635" i="2"/>
  <c r="V636" i="2"/>
  <c r="V637" i="2"/>
  <c r="V638" i="2"/>
  <c r="V640" i="2"/>
  <c r="V643" i="2"/>
  <c r="V644" i="2"/>
  <c r="V645" i="2"/>
  <c r="V646" i="2"/>
  <c r="V648" i="2"/>
  <c r="V651" i="2"/>
  <c r="V652" i="2"/>
  <c r="V653" i="2"/>
  <c r="V654" i="2"/>
  <c r="V655" i="2"/>
  <c r="V656" i="2"/>
  <c r="V659" i="2"/>
  <c r="V660" i="2"/>
  <c r="V661" i="2"/>
  <c r="V662" i="2"/>
  <c r="V663" i="2"/>
  <c r="V664" i="2"/>
  <c r="V667" i="2"/>
  <c r="V668" i="2"/>
  <c r="V669" i="2"/>
  <c r="V670" i="2"/>
  <c r="V671" i="2"/>
  <c r="V672" i="2"/>
  <c r="V675" i="2"/>
  <c r="V676" i="2"/>
  <c r="V677" i="2"/>
  <c r="V678" i="2"/>
  <c r="V679" i="2"/>
  <c r="V680" i="2"/>
  <c r="V683" i="2"/>
  <c r="V684" i="2"/>
  <c r="V685" i="2"/>
  <c r="V686" i="2"/>
  <c r="V687" i="2"/>
  <c r="V688" i="2"/>
  <c r="V691" i="2"/>
  <c r="V692" i="2"/>
  <c r="V693" i="2"/>
  <c r="V694" i="2"/>
  <c r="V696" i="2"/>
  <c r="V698" i="2"/>
  <c r="V699" i="2"/>
  <c r="V700" i="2"/>
  <c r="V701" i="2"/>
  <c r="V702" i="2"/>
  <c r="V704" i="2"/>
  <c r="V705" i="2"/>
  <c r="V706" i="2"/>
  <c r="V707" i="2"/>
  <c r="V708" i="2"/>
  <c r="V709" i="2"/>
  <c r="V710" i="2"/>
  <c r="V712" i="2"/>
  <c r="V714" i="2"/>
  <c r="V715" i="2"/>
  <c r="V716" i="2"/>
  <c r="V717" i="2"/>
  <c r="V718" i="2"/>
  <c r="V720" i="2"/>
  <c r="V722" i="2"/>
  <c r="V723" i="2"/>
  <c r="V724" i="2"/>
  <c r="V725" i="2"/>
  <c r="V726" i="2"/>
  <c r="V728" i="2"/>
  <c r="V730" i="2"/>
  <c r="V731" i="2"/>
  <c r="V732" i="2"/>
  <c r="V733" i="2"/>
  <c r="V734" i="2"/>
  <c r="V736" i="2"/>
  <c r="V738" i="2"/>
  <c r="V739" i="2"/>
  <c r="V740" i="2"/>
  <c r="V741" i="2"/>
  <c r="V742" i="2"/>
  <c r="V744" i="2"/>
  <c r="V746" i="2"/>
  <c r="V747" i="2"/>
  <c r="V748" i="2"/>
  <c r="V749" i="2"/>
  <c r="V750" i="2"/>
  <c r="V752" i="2"/>
  <c r="V753" i="2"/>
  <c r="V754" i="2"/>
  <c r="V755" i="2"/>
  <c r="V756" i="2"/>
  <c r="V757" i="2"/>
  <c r="V758" i="2"/>
  <c r="V760" i="2"/>
  <c r="V762" i="2"/>
  <c r="V763" i="2"/>
  <c r="V764" i="2"/>
  <c r="V765" i="2"/>
  <c r="V766" i="2"/>
  <c r="V768" i="2"/>
  <c r="V769" i="2"/>
  <c r="V770" i="2"/>
  <c r="V771" i="2"/>
  <c r="V772" i="2"/>
  <c r="V773" i="2"/>
  <c r="V774" i="2"/>
  <c r="V776" i="2"/>
  <c r="V778" i="2"/>
  <c r="V779" i="2"/>
  <c r="V780" i="2"/>
  <c r="V781" i="2"/>
  <c r="V782" i="2"/>
  <c r="V784" i="2"/>
  <c r="V786" i="2"/>
  <c r="V787" i="2"/>
  <c r="V788" i="2"/>
  <c r="V789" i="2"/>
  <c r="V790" i="2"/>
  <c r="V792" i="2"/>
  <c r="V794" i="2"/>
  <c r="V795" i="2"/>
  <c r="V796" i="2"/>
  <c r="V797" i="2"/>
  <c r="V798" i="2"/>
  <c r="V800" i="2"/>
  <c r="V802" i="2"/>
  <c r="V803" i="2"/>
  <c r="V804" i="2"/>
  <c r="V805" i="2"/>
  <c r="V806" i="2"/>
  <c r="V808" i="2"/>
  <c r="V810" i="2"/>
  <c r="V811" i="2"/>
  <c r="V812" i="2"/>
  <c r="V813" i="2"/>
  <c r="V814" i="2"/>
  <c r="V816" i="2"/>
  <c r="V817" i="2"/>
  <c r="V818" i="2"/>
  <c r="V819" i="2"/>
  <c r="V820" i="2"/>
  <c r="V821" i="2"/>
  <c r="V822" i="2"/>
  <c r="V824" i="2"/>
  <c r="V826" i="2"/>
  <c r="V827" i="2"/>
  <c r="V828" i="2"/>
  <c r="V829" i="2"/>
  <c r="V832" i="2"/>
  <c r="V833" i="2"/>
  <c r="V834" i="2"/>
  <c r="V835" i="2"/>
  <c r="V836" i="2"/>
  <c r="V837" i="2"/>
  <c r="V840" i="2"/>
  <c r="V842" i="2"/>
  <c r="V843" i="2"/>
  <c r="V844" i="2"/>
  <c r="V845" i="2"/>
  <c r="V848" i="2"/>
  <c r="V850" i="2"/>
  <c r="V851" i="2"/>
  <c r="V852" i="2"/>
  <c r="V853" i="2"/>
  <c r="V856" i="2"/>
  <c r="V858" i="2"/>
  <c r="V859" i="2"/>
  <c r="V860" i="2"/>
  <c r="V861" i="2"/>
  <c r="V864" i="2"/>
  <c r="V865" i="2"/>
  <c r="V866" i="2"/>
  <c r="V867" i="2"/>
  <c r="V868" i="2"/>
  <c r="V869" i="2"/>
  <c r="V872" i="2"/>
  <c r="V874" i="2"/>
  <c r="V875" i="2"/>
  <c r="V876" i="2"/>
  <c r="V877" i="2"/>
  <c r="V880" i="2"/>
  <c r="V882" i="2"/>
  <c r="V883" i="2"/>
  <c r="V884" i="2"/>
  <c r="V885" i="2"/>
  <c r="V888" i="2"/>
  <c r="V890" i="2"/>
  <c r="V891" i="2"/>
  <c r="V892" i="2"/>
  <c r="V893" i="2"/>
  <c r="V896" i="2"/>
  <c r="V897" i="2"/>
  <c r="V898" i="2"/>
  <c r="V899" i="2"/>
  <c r="V900" i="2"/>
  <c r="V901" i="2"/>
  <c r="V904" i="2"/>
  <c r="V906" i="2"/>
  <c r="V907" i="2"/>
  <c r="V908" i="2"/>
  <c r="V909" i="2"/>
  <c r="V912" i="2"/>
  <c r="V914" i="2"/>
  <c r="V915" i="2"/>
  <c r="V916" i="2"/>
  <c r="V917" i="2"/>
  <c r="V920" i="2"/>
  <c r="V922" i="2"/>
  <c r="V923" i="2"/>
  <c r="V924" i="2"/>
  <c r="V925" i="2"/>
  <c r="V928" i="2"/>
  <c r="V929" i="2"/>
  <c r="V930" i="2"/>
  <c r="V931" i="2"/>
  <c r="V932" i="2"/>
  <c r="V933" i="2"/>
  <c r="V936" i="2"/>
  <c r="V938" i="2"/>
  <c r="V939" i="2"/>
  <c r="V940" i="2"/>
  <c r="V941" i="2"/>
  <c r="V944" i="2"/>
  <c r="V946" i="2"/>
  <c r="V947" i="2"/>
  <c r="V948" i="2"/>
  <c r="V949" i="2"/>
  <c r="V952" i="2"/>
  <c r="V954" i="2"/>
  <c r="V955" i="2"/>
  <c r="V956" i="2"/>
  <c r="V957" i="2"/>
  <c r="V960" i="2"/>
  <c r="V961" i="2"/>
  <c r="V962" i="2"/>
  <c r="V963" i="2"/>
  <c r="V964" i="2"/>
  <c r="V965" i="2"/>
  <c r="V968" i="2"/>
  <c r="V970" i="2"/>
  <c r="V971" i="2"/>
  <c r="V972" i="2"/>
  <c r="V973" i="2"/>
  <c r="V976" i="2"/>
  <c r="V978" i="2"/>
  <c r="V979" i="2"/>
  <c r="V980" i="2"/>
  <c r="V981" i="2"/>
  <c r="V984" i="2"/>
  <c r="V986" i="2"/>
  <c r="V987" i="2"/>
  <c r="V988" i="2"/>
  <c r="V989" i="2"/>
  <c r="V992" i="2"/>
  <c r="V993" i="2"/>
  <c r="V994" i="2"/>
  <c r="V995" i="2"/>
  <c r="V996" i="2"/>
  <c r="V997" i="2"/>
  <c r="V1000" i="2"/>
  <c r="V2" i="2"/>
  <c r="T3" i="2"/>
  <c r="T4" i="2"/>
  <c r="T5" i="2"/>
  <c r="T6" i="2"/>
  <c r="T7" i="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38" i="2"/>
  <c r="T39" i="2"/>
  <c r="T40" i="2"/>
  <c r="T41" i="2"/>
  <c r="T42" i="2"/>
  <c r="T43" i="2"/>
  <c r="T44" i="2"/>
  <c r="T45" i="2"/>
  <c r="T46" i="2"/>
  <c r="T47" i="2"/>
  <c r="T48" i="2"/>
  <c r="T49" i="2"/>
  <c r="T50" i="2"/>
  <c r="T51" i="2"/>
  <c r="T52" i="2"/>
  <c r="T53" i="2"/>
  <c r="T54" i="2"/>
  <c r="T55" i="2"/>
  <c r="T56" i="2"/>
  <c r="T57" i="2"/>
  <c r="T58" i="2"/>
  <c r="T59" i="2"/>
  <c r="T60" i="2"/>
  <c r="T61" i="2"/>
  <c r="T62" i="2"/>
  <c r="T63" i="2"/>
  <c r="T64" i="2"/>
  <c r="T65" i="2"/>
  <c r="T66" i="2"/>
  <c r="T67" i="2"/>
  <c r="T68" i="2"/>
  <c r="T69" i="2"/>
  <c r="T70" i="2"/>
  <c r="T71" i="2"/>
  <c r="T72" i="2"/>
  <c r="T73" i="2"/>
  <c r="T74" i="2"/>
  <c r="T75" i="2"/>
  <c r="T76" i="2"/>
  <c r="T77" i="2"/>
  <c r="T78" i="2"/>
  <c r="T79" i="2"/>
  <c r="T80" i="2"/>
  <c r="T81" i="2"/>
  <c r="T82" i="2"/>
  <c r="T83" i="2"/>
  <c r="T84" i="2"/>
  <c r="T85" i="2"/>
  <c r="T86" i="2"/>
  <c r="T87" i="2"/>
  <c r="T88" i="2"/>
  <c r="T89" i="2"/>
  <c r="T90" i="2"/>
  <c r="T91" i="2"/>
  <c r="T92" i="2"/>
  <c r="T93" i="2"/>
  <c r="T94" i="2"/>
  <c r="T95" i="2"/>
  <c r="T96" i="2"/>
  <c r="T97" i="2"/>
  <c r="T98" i="2"/>
  <c r="T99" i="2"/>
  <c r="T100" i="2"/>
  <c r="T101" i="2"/>
  <c r="T102" i="2"/>
  <c r="T103" i="2"/>
  <c r="T104" i="2"/>
  <c r="T105" i="2"/>
  <c r="T106" i="2"/>
  <c r="T107" i="2"/>
  <c r="T108" i="2"/>
  <c r="T109" i="2"/>
  <c r="T110" i="2"/>
  <c r="T111" i="2"/>
  <c r="T112" i="2"/>
  <c r="T113" i="2"/>
  <c r="T114" i="2"/>
  <c r="T115" i="2"/>
  <c r="T116" i="2"/>
  <c r="T117" i="2"/>
  <c r="T118" i="2"/>
  <c r="T119" i="2"/>
  <c r="T120" i="2"/>
  <c r="T121" i="2"/>
  <c r="T122" i="2"/>
  <c r="T123" i="2"/>
  <c r="T124" i="2"/>
  <c r="T125" i="2"/>
  <c r="T126" i="2"/>
  <c r="T127" i="2"/>
  <c r="T128" i="2"/>
  <c r="T129" i="2"/>
  <c r="T130" i="2"/>
  <c r="T131" i="2"/>
  <c r="T132" i="2"/>
  <c r="T133" i="2"/>
  <c r="T134" i="2"/>
  <c r="T135" i="2"/>
  <c r="T136" i="2"/>
  <c r="T137" i="2"/>
  <c r="T138" i="2"/>
  <c r="T139" i="2"/>
  <c r="T140" i="2"/>
  <c r="T141" i="2"/>
  <c r="T142" i="2"/>
  <c r="T143" i="2"/>
  <c r="T144" i="2"/>
  <c r="T145" i="2"/>
  <c r="T146" i="2"/>
  <c r="T147" i="2"/>
  <c r="T148" i="2"/>
  <c r="T149" i="2"/>
  <c r="T150" i="2"/>
  <c r="T151" i="2"/>
  <c r="T152" i="2"/>
  <c r="T153" i="2"/>
  <c r="T154" i="2"/>
  <c r="T155" i="2"/>
  <c r="T156" i="2"/>
  <c r="T157" i="2"/>
  <c r="T158" i="2"/>
  <c r="T159" i="2"/>
  <c r="T160" i="2"/>
  <c r="T161" i="2"/>
  <c r="T162" i="2"/>
  <c r="T163" i="2"/>
  <c r="T164" i="2"/>
  <c r="T165" i="2"/>
  <c r="T166" i="2"/>
  <c r="T167" i="2"/>
  <c r="T168" i="2"/>
  <c r="T169" i="2"/>
  <c r="T170" i="2"/>
  <c r="T171" i="2"/>
  <c r="T172" i="2"/>
  <c r="T173" i="2"/>
  <c r="T174" i="2"/>
  <c r="T175" i="2"/>
  <c r="T176" i="2"/>
  <c r="T177" i="2"/>
  <c r="T178" i="2"/>
  <c r="T179" i="2"/>
  <c r="T180" i="2"/>
  <c r="T181" i="2"/>
  <c r="T182" i="2"/>
  <c r="T183" i="2"/>
  <c r="T184" i="2"/>
  <c r="T185" i="2"/>
  <c r="T186" i="2"/>
  <c r="T187" i="2"/>
  <c r="T188" i="2"/>
  <c r="T189" i="2"/>
  <c r="T190" i="2"/>
  <c r="T191" i="2"/>
  <c r="T192" i="2"/>
  <c r="T193" i="2"/>
  <c r="T194" i="2"/>
  <c r="T195" i="2"/>
  <c r="T196" i="2"/>
  <c r="T197" i="2"/>
  <c r="T198" i="2"/>
  <c r="T199" i="2"/>
  <c r="T200" i="2"/>
  <c r="T201" i="2"/>
  <c r="T202" i="2"/>
  <c r="T203" i="2"/>
  <c r="T204" i="2"/>
  <c r="T205" i="2"/>
  <c r="T206" i="2"/>
  <c r="T207" i="2"/>
  <c r="T208" i="2"/>
  <c r="T209" i="2"/>
  <c r="T210" i="2"/>
  <c r="T211" i="2"/>
  <c r="T212" i="2"/>
  <c r="T213" i="2"/>
  <c r="T214" i="2"/>
  <c r="T215" i="2"/>
  <c r="T216" i="2"/>
  <c r="T217" i="2"/>
  <c r="T218" i="2"/>
  <c r="T219" i="2"/>
  <c r="T220" i="2"/>
  <c r="T221" i="2"/>
  <c r="T222" i="2"/>
  <c r="T223" i="2"/>
  <c r="T224" i="2"/>
  <c r="T225" i="2"/>
  <c r="T226" i="2"/>
  <c r="T227" i="2"/>
  <c r="T228" i="2"/>
  <c r="T229" i="2"/>
  <c r="T230" i="2"/>
  <c r="T231" i="2"/>
  <c r="T232" i="2"/>
  <c r="T233" i="2"/>
  <c r="T234" i="2"/>
  <c r="T235" i="2"/>
  <c r="T236" i="2"/>
  <c r="T237" i="2"/>
  <c r="T238" i="2"/>
  <c r="T239" i="2"/>
  <c r="T240" i="2"/>
  <c r="T241" i="2"/>
  <c r="T242" i="2"/>
  <c r="T243" i="2"/>
  <c r="T244" i="2"/>
  <c r="T245" i="2"/>
  <c r="T246" i="2"/>
  <c r="T247" i="2"/>
  <c r="T248" i="2"/>
  <c r="T249" i="2"/>
  <c r="T250" i="2"/>
  <c r="T251" i="2"/>
  <c r="T252" i="2"/>
  <c r="T253" i="2"/>
  <c r="T254" i="2"/>
  <c r="T255" i="2"/>
  <c r="T256" i="2"/>
  <c r="T257" i="2"/>
  <c r="T258" i="2"/>
  <c r="T259" i="2"/>
  <c r="T260" i="2"/>
  <c r="T261" i="2"/>
  <c r="T262" i="2"/>
  <c r="T263" i="2"/>
  <c r="T264" i="2"/>
  <c r="T265" i="2"/>
  <c r="T266" i="2"/>
  <c r="T267" i="2"/>
  <c r="T268" i="2"/>
  <c r="T269" i="2"/>
  <c r="T270" i="2"/>
  <c r="T271" i="2"/>
  <c r="T272" i="2"/>
  <c r="T273" i="2"/>
  <c r="T274" i="2"/>
  <c r="T275" i="2"/>
  <c r="T276" i="2"/>
  <c r="T277" i="2"/>
  <c r="T278" i="2"/>
  <c r="T279" i="2"/>
  <c r="T280" i="2"/>
  <c r="T281" i="2"/>
  <c r="T282" i="2"/>
  <c r="T283" i="2"/>
  <c r="T284" i="2"/>
  <c r="T285" i="2"/>
  <c r="T286" i="2"/>
  <c r="T287" i="2"/>
  <c r="T288" i="2"/>
  <c r="T289" i="2"/>
  <c r="T290" i="2"/>
  <c r="T291" i="2"/>
  <c r="T292" i="2"/>
  <c r="T293" i="2"/>
  <c r="T294" i="2"/>
  <c r="T295" i="2"/>
  <c r="T296" i="2"/>
  <c r="T297" i="2"/>
  <c r="T298" i="2"/>
  <c r="T299" i="2"/>
  <c r="T300" i="2"/>
  <c r="T301" i="2"/>
  <c r="T302" i="2"/>
  <c r="T303" i="2"/>
  <c r="T304" i="2"/>
  <c r="T305" i="2"/>
  <c r="T306" i="2"/>
  <c r="T307" i="2"/>
  <c r="T308" i="2"/>
  <c r="T309" i="2"/>
  <c r="T310" i="2"/>
  <c r="T311" i="2"/>
  <c r="T312" i="2"/>
  <c r="T313" i="2"/>
  <c r="T314" i="2"/>
  <c r="T315" i="2"/>
  <c r="T316" i="2"/>
  <c r="T317" i="2"/>
  <c r="T318" i="2"/>
  <c r="T319" i="2"/>
  <c r="T320" i="2"/>
  <c r="T321" i="2"/>
  <c r="T322" i="2"/>
  <c r="T323" i="2"/>
  <c r="T324" i="2"/>
  <c r="T325" i="2"/>
  <c r="T326" i="2"/>
  <c r="T327" i="2"/>
  <c r="T328" i="2"/>
  <c r="T329" i="2"/>
  <c r="T330" i="2"/>
  <c r="T331" i="2"/>
  <c r="T332" i="2"/>
  <c r="T333" i="2"/>
  <c r="T334" i="2"/>
  <c r="T335" i="2"/>
  <c r="T336" i="2"/>
  <c r="T337" i="2"/>
  <c r="T338" i="2"/>
  <c r="T339" i="2"/>
  <c r="T340" i="2"/>
  <c r="T341" i="2"/>
  <c r="T342" i="2"/>
  <c r="T343" i="2"/>
  <c r="T344" i="2"/>
  <c r="T345" i="2"/>
  <c r="T346" i="2"/>
  <c r="T347" i="2"/>
  <c r="T348" i="2"/>
  <c r="T349" i="2"/>
  <c r="T350" i="2"/>
  <c r="T351" i="2"/>
  <c r="T352" i="2"/>
  <c r="T353" i="2"/>
  <c r="T354" i="2"/>
  <c r="T355" i="2"/>
  <c r="T356" i="2"/>
  <c r="T357" i="2"/>
  <c r="T358" i="2"/>
  <c r="T359" i="2"/>
  <c r="T360" i="2"/>
  <c r="T361" i="2"/>
  <c r="T362" i="2"/>
  <c r="T363" i="2"/>
  <c r="T364" i="2"/>
  <c r="T365" i="2"/>
  <c r="T366" i="2"/>
  <c r="T367" i="2"/>
  <c r="T368" i="2"/>
  <c r="T369" i="2"/>
  <c r="T370" i="2"/>
  <c r="T371" i="2"/>
  <c r="T372" i="2"/>
  <c r="T373" i="2"/>
  <c r="T374" i="2"/>
  <c r="T375" i="2"/>
  <c r="T376" i="2"/>
  <c r="T377" i="2"/>
  <c r="T378" i="2"/>
  <c r="T379" i="2"/>
  <c r="T380" i="2"/>
  <c r="T381" i="2"/>
  <c r="T382" i="2"/>
  <c r="T383" i="2"/>
  <c r="T384" i="2"/>
  <c r="T385" i="2"/>
  <c r="T386" i="2"/>
  <c r="T387" i="2"/>
  <c r="T388" i="2"/>
  <c r="T389" i="2"/>
  <c r="T390" i="2"/>
  <c r="T391" i="2"/>
  <c r="T392" i="2"/>
  <c r="T393" i="2"/>
  <c r="T394" i="2"/>
  <c r="T395" i="2"/>
  <c r="T396" i="2"/>
  <c r="T397" i="2"/>
  <c r="T398" i="2"/>
  <c r="T399" i="2"/>
  <c r="T400" i="2"/>
  <c r="T401" i="2"/>
  <c r="T402" i="2"/>
  <c r="T403" i="2"/>
  <c r="T404" i="2"/>
  <c r="T405" i="2"/>
  <c r="T406" i="2"/>
  <c r="T407" i="2"/>
  <c r="T408" i="2"/>
  <c r="T409" i="2"/>
  <c r="T410" i="2"/>
  <c r="T411" i="2"/>
  <c r="T412" i="2"/>
  <c r="T413" i="2"/>
  <c r="T414" i="2"/>
  <c r="T415" i="2"/>
  <c r="T416" i="2"/>
  <c r="T417" i="2"/>
  <c r="T418" i="2"/>
  <c r="T419" i="2"/>
  <c r="T420" i="2"/>
  <c r="T421" i="2"/>
  <c r="T422" i="2"/>
  <c r="T423" i="2"/>
  <c r="T424" i="2"/>
  <c r="T425" i="2"/>
  <c r="T426" i="2"/>
  <c r="T427" i="2"/>
  <c r="T428" i="2"/>
  <c r="T429" i="2"/>
  <c r="T430" i="2"/>
  <c r="T431" i="2"/>
  <c r="T432" i="2"/>
  <c r="T433" i="2"/>
  <c r="T434" i="2"/>
  <c r="T435" i="2"/>
  <c r="T436" i="2"/>
  <c r="T437" i="2"/>
  <c r="T438" i="2"/>
  <c r="T439" i="2"/>
  <c r="T440" i="2"/>
  <c r="T441" i="2"/>
  <c r="T442" i="2"/>
  <c r="T443" i="2"/>
  <c r="T444" i="2"/>
  <c r="T445" i="2"/>
  <c r="T446" i="2"/>
  <c r="T447" i="2"/>
  <c r="T448" i="2"/>
  <c r="T449" i="2"/>
  <c r="T450" i="2"/>
  <c r="T451" i="2"/>
  <c r="T452" i="2"/>
  <c r="T453" i="2"/>
  <c r="T454" i="2"/>
  <c r="T455" i="2"/>
  <c r="T456" i="2"/>
  <c r="T457" i="2"/>
  <c r="T458" i="2"/>
  <c r="T459" i="2"/>
  <c r="T460" i="2"/>
  <c r="T461" i="2"/>
  <c r="T462" i="2"/>
  <c r="T463" i="2"/>
  <c r="T464" i="2"/>
  <c r="T465" i="2"/>
  <c r="T466" i="2"/>
  <c r="T467" i="2"/>
  <c r="T468" i="2"/>
  <c r="T469" i="2"/>
  <c r="T470" i="2"/>
  <c r="T471" i="2"/>
  <c r="T472" i="2"/>
  <c r="T473" i="2"/>
  <c r="T474" i="2"/>
  <c r="T475" i="2"/>
  <c r="T476" i="2"/>
  <c r="T477" i="2"/>
  <c r="T478" i="2"/>
  <c r="T479" i="2"/>
  <c r="T480" i="2"/>
  <c r="T481" i="2"/>
  <c r="T482" i="2"/>
  <c r="T483" i="2"/>
  <c r="T484" i="2"/>
  <c r="T485" i="2"/>
  <c r="T486" i="2"/>
  <c r="T487" i="2"/>
  <c r="T488" i="2"/>
  <c r="T489" i="2"/>
  <c r="T490" i="2"/>
  <c r="T491" i="2"/>
  <c r="T492" i="2"/>
  <c r="T493" i="2"/>
  <c r="T494" i="2"/>
  <c r="T495" i="2"/>
  <c r="T496" i="2"/>
  <c r="T497" i="2"/>
  <c r="T498" i="2"/>
  <c r="T499" i="2"/>
  <c r="T500" i="2"/>
  <c r="T501" i="2"/>
  <c r="T502" i="2"/>
  <c r="T503" i="2"/>
  <c r="T504" i="2"/>
  <c r="T505" i="2"/>
  <c r="T506" i="2"/>
  <c r="T507" i="2"/>
  <c r="T508" i="2"/>
  <c r="T509" i="2"/>
  <c r="T510" i="2"/>
  <c r="T511" i="2"/>
  <c r="T512" i="2"/>
  <c r="T513" i="2"/>
  <c r="T514" i="2"/>
  <c r="T515" i="2"/>
  <c r="T516" i="2"/>
  <c r="T517" i="2"/>
  <c r="T518" i="2"/>
  <c r="T519" i="2"/>
  <c r="T520" i="2"/>
  <c r="T521" i="2"/>
  <c r="T522" i="2"/>
  <c r="T523" i="2"/>
  <c r="T524" i="2"/>
  <c r="T525" i="2"/>
  <c r="T526" i="2"/>
  <c r="T527" i="2"/>
  <c r="T528" i="2"/>
  <c r="T529" i="2"/>
  <c r="T530" i="2"/>
  <c r="T531" i="2"/>
  <c r="T532" i="2"/>
  <c r="T533" i="2"/>
  <c r="T534" i="2"/>
  <c r="T535" i="2"/>
  <c r="T536" i="2"/>
  <c r="T537" i="2"/>
  <c r="T538" i="2"/>
  <c r="T539" i="2"/>
  <c r="T540" i="2"/>
  <c r="T541" i="2"/>
  <c r="T542" i="2"/>
  <c r="T543" i="2"/>
  <c r="T544" i="2"/>
  <c r="T545" i="2"/>
  <c r="T546" i="2"/>
  <c r="T547" i="2"/>
  <c r="T548" i="2"/>
  <c r="T549" i="2"/>
  <c r="T550" i="2"/>
  <c r="T551" i="2"/>
  <c r="T552" i="2"/>
  <c r="T553" i="2"/>
  <c r="T554" i="2"/>
  <c r="T555" i="2"/>
  <c r="T556" i="2"/>
  <c r="T557" i="2"/>
  <c r="T558" i="2"/>
  <c r="T559" i="2"/>
  <c r="T560" i="2"/>
  <c r="T561" i="2"/>
  <c r="T562" i="2"/>
  <c r="T563" i="2"/>
  <c r="T564" i="2"/>
  <c r="T565" i="2"/>
  <c r="T566" i="2"/>
  <c r="T567" i="2"/>
  <c r="T568" i="2"/>
  <c r="T569" i="2"/>
  <c r="T570" i="2"/>
  <c r="T571" i="2"/>
  <c r="T572" i="2"/>
  <c r="T573" i="2"/>
  <c r="T574" i="2"/>
  <c r="T575" i="2"/>
  <c r="T576" i="2"/>
  <c r="T577" i="2"/>
  <c r="T578" i="2"/>
  <c r="T579" i="2"/>
  <c r="T580" i="2"/>
  <c r="T581" i="2"/>
  <c r="T582" i="2"/>
  <c r="T583" i="2"/>
  <c r="T584" i="2"/>
  <c r="T585" i="2"/>
  <c r="T586" i="2"/>
  <c r="T587" i="2"/>
  <c r="T588" i="2"/>
  <c r="T589" i="2"/>
  <c r="T590" i="2"/>
  <c r="T591" i="2"/>
  <c r="T592" i="2"/>
  <c r="T593" i="2"/>
  <c r="T594" i="2"/>
  <c r="T595" i="2"/>
  <c r="T596" i="2"/>
  <c r="T597" i="2"/>
  <c r="T598" i="2"/>
  <c r="T599" i="2"/>
  <c r="T600" i="2"/>
  <c r="T601" i="2"/>
  <c r="T602" i="2"/>
  <c r="T603" i="2"/>
  <c r="T604" i="2"/>
  <c r="T605" i="2"/>
  <c r="T606" i="2"/>
  <c r="T607" i="2"/>
  <c r="T608" i="2"/>
  <c r="T609" i="2"/>
  <c r="T610" i="2"/>
  <c r="T611" i="2"/>
  <c r="T612" i="2"/>
  <c r="T613" i="2"/>
  <c r="T614" i="2"/>
  <c r="T615" i="2"/>
  <c r="T616" i="2"/>
  <c r="T617" i="2"/>
  <c r="T618" i="2"/>
  <c r="T619" i="2"/>
  <c r="T620" i="2"/>
  <c r="T621" i="2"/>
  <c r="T622" i="2"/>
  <c r="T623" i="2"/>
  <c r="T624" i="2"/>
  <c r="T625" i="2"/>
  <c r="T626" i="2"/>
  <c r="T627" i="2"/>
  <c r="T628" i="2"/>
  <c r="T629" i="2"/>
  <c r="T630" i="2"/>
  <c r="T631" i="2"/>
  <c r="T632" i="2"/>
  <c r="T633" i="2"/>
  <c r="T634" i="2"/>
  <c r="T635" i="2"/>
  <c r="T636" i="2"/>
  <c r="T637" i="2"/>
  <c r="T638" i="2"/>
  <c r="T639" i="2"/>
  <c r="T640" i="2"/>
  <c r="T641" i="2"/>
  <c r="T642" i="2"/>
  <c r="T643" i="2"/>
  <c r="T644" i="2"/>
  <c r="T645" i="2"/>
  <c r="T646" i="2"/>
  <c r="T647" i="2"/>
  <c r="T648" i="2"/>
  <c r="T649" i="2"/>
  <c r="T650" i="2"/>
  <c r="T651" i="2"/>
  <c r="T652" i="2"/>
  <c r="T653" i="2"/>
  <c r="T654" i="2"/>
  <c r="T655" i="2"/>
  <c r="T656" i="2"/>
  <c r="T657" i="2"/>
  <c r="T658" i="2"/>
  <c r="T659" i="2"/>
  <c r="T660" i="2"/>
  <c r="T661" i="2"/>
  <c r="T662" i="2"/>
  <c r="T663" i="2"/>
  <c r="T664" i="2"/>
  <c r="T665" i="2"/>
  <c r="T666" i="2"/>
  <c r="T667" i="2"/>
  <c r="T668" i="2"/>
  <c r="T669" i="2"/>
  <c r="T670" i="2"/>
  <c r="T671" i="2"/>
  <c r="T672" i="2"/>
  <c r="T673" i="2"/>
  <c r="T674" i="2"/>
  <c r="T675" i="2"/>
  <c r="T676" i="2"/>
  <c r="T677" i="2"/>
  <c r="T678" i="2"/>
  <c r="T679" i="2"/>
  <c r="T680" i="2"/>
  <c r="T681" i="2"/>
  <c r="T682" i="2"/>
  <c r="T683" i="2"/>
  <c r="T684" i="2"/>
  <c r="T685" i="2"/>
  <c r="T686" i="2"/>
  <c r="T687" i="2"/>
  <c r="T688" i="2"/>
  <c r="T689" i="2"/>
  <c r="T690" i="2"/>
  <c r="T691" i="2"/>
  <c r="T692" i="2"/>
  <c r="T693" i="2"/>
  <c r="T694" i="2"/>
  <c r="T695" i="2"/>
  <c r="T696" i="2"/>
  <c r="T697" i="2"/>
  <c r="T698" i="2"/>
  <c r="T699" i="2"/>
  <c r="T700" i="2"/>
  <c r="T701" i="2"/>
  <c r="T702" i="2"/>
  <c r="T703" i="2"/>
  <c r="T704" i="2"/>
  <c r="T705" i="2"/>
  <c r="T706" i="2"/>
  <c r="T707" i="2"/>
  <c r="T708" i="2"/>
  <c r="T709" i="2"/>
  <c r="T710" i="2"/>
  <c r="T711" i="2"/>
  <c r="T712" i="2"/>
  <c r="T713" i="2"/>
  <c r="T714" i="2"/>
  <c r="T715" i="2"/>
  <c r="T716" i="2"/>
  <c r="T717" i="2"/>
  <c r="T718" i="2"/>
  <c r="T719" i="2"/>
  <c r="T720" i="2"/>
  <c r="T721" i="2"/>
  <c r="T722" i="2"/>
  <c r="T723" i="2"/>
  <c r="T724" i="2"/>
  <c r="T725" i="2"/>
  <c r="T726" i="2"/>
  <c r="T727" i="2"/>
  <c r="T728" i="2"/>
  <c r="T729" i="2"/>
  <c r="T730" i="2"/>
  <c r="T731" i="2"/>
  <c r="T732" i="2"/>
  <c r="T733" i="2"/>
  <c r="T734" i="2"/>
  <c r="T735" i="2"/>
  <c r="T736" i="2"/>
  <c r="T737" i="2"/>
  <c r="T738" i="2"/>
  <c r="T739" i="2"/>
  <c r="T740" i="2"/>
  <c r="T741" i="2"/>
  <c r="T742" i="2"/>
  <c r="T743" i="2"/>
  <c r="T744" i="2"/>
  <c r="T745" i="2"/>
  <c r="T746" i="2"/>
  <c r="T747" i="2"/>
  <c r="T748" i="2"/>
  <c r="T749" i="2"/>
  <c r="T750" i="2"/>
  <c r="T751" i="2"/>
  <c r="T752" i="2"/>
  <c r="T753" i="2"/>
  <c r="T754" i="2"/>
  <c r="T755" i="2"/>
  <c r="T756" i="2"/>
  <c r="T757" i="2"/>
  <c r="T758" i="2"/>
  <c r="T759" i="2"/>
  <c r="T760" i="2"/>
  <c r="T761" i="2"/>
  <c r="T762" i="2"/>
  <c r="T763" i="2"/>
  <c r="T764" i="2"/>
  <c r="T765" i="2"/>
  <c r="T766" i="2"/>
  <c r="T767" i="2"/>
  <c r="T768" i="2"/>
  <c r="T769" i="2"/>
  <c r="T770" i="2"/>
  <c r="T771" i="2"/>
  <c r="T772" i="2"/>
  <c r="T773" i="2"/>
  <c r="T774" i="2"/>
  <c r="T775" i="2"/>
  <c r="T776" i="2"/>
  <c r="T777" i="2"/>
  <c r="T778" i="2"/>
  <c r="T779" i="2"/>
  <c r="T780" i="2"/>
  <c r="T781" i="2"/>
  <c r="T782" i="2"/>
  <c r="T783" i="2"/>
  <c r="T784" i="2"/>
  <c r="T785" i="2"/>
  <c r="T786" i="2"/>
  <c r="T787" i="2"/>
  <c r="T788" i="2"/>
  <c r="T789" i="2"/>
  <c r="T790" i="2"/>
  <c r="T791" i="2"/>
  <c r="T792" i="2"/>
  <c r="T793" i="2"/>
  <c r="T794" i="2"/>
  <c r="T795" i="2"/>
  <c r="T796" i="2"/>
  <c r="T797" i="2"/>
  <c r="T798" i="2"/>
  <c r="T799" i="2"/>
  <c r="T800" i="2"/>
  <c r="T801" i="2"/>
  <c r="T802" i="2"/>
  <c r="T803" i="2"/>
  <c r="T804" i="2"/>
  <c r="T805" i="2"/>
  <c r="T806" i="2"/>
  <c r="T807" i="2"/>
  <c r="T808" i="2"/>
  <c r="T809" i="2"/>
  <c r="T810" i="2"/>
  <c r="T811" i="2"/>
  <c r="T812" i="2"/>
  <c r="T813" i="2"/>
  <c r="T814" i="2"/>
  <c r="T815" i="2"/>
  <c r="T816" i="2"/>
  <c r="T817" i="2"/>
  <c r="T818" i="2"/>
  <c r="T819" i="2"/>
  <c r="T820" i="2"/>
  <c r="T821" i="2"/>
  <c r="T822" i="2"/>
  <c r="T823" i="2"/>
  <c r="T824" i="2"/>
  <c r="T825" i="2"/>
  <c r="T826" i="2"/>
  <c r="T827" i="2"/>
  <c r="T828" i="2"/>
  <c r="T829" i="2"/>
  <c r="T830" i="2"/>
  <c r="T831" i="2"/>
  <c r="T832" i="2"/>
  <c r="T833" i="2"/>
  <c r="T834" i="2"/>
  <c r="T835" i="2"/>
  <c r="T836" i="2"/>
  <c r="T837" i="2"/>
  <c r="T838" i="2"/>
  <c r="T839" i="2"/>
  <c r="T840" i="2"/>
  <c r="T841" i="2"/>
  <c r="T842" i="2"/>
  <c r="T843" i="2"/>
  <c r="T844" i="2"/>
  <c r="T845" i="2"/>
  <c r="T846" i="2"/>
  <c r="T847" i="2"/>
  <c r="T848" i="2"/>
  <c r="T849" i="2"/>
  <c r="T850" i="2"/>
  <c r="T851" i="2"/>
  <c r="T852" i="2"/>
  <c r="T853" i="2"/>
  <c r="T854" i="2"/>
  <c r="T855" i="2"/>
  <c r="T856" i="2"/>
  <c r="T857" i="2"/>
  <c r="T858" i="2"/>
  <c r="T859" i="2"/>
  <c r="T860" i="2"/>
  <c r="T861" i="2"/>
  <c r="T862" i="2"/>
  <c r="T863" i="2"/>
  <c r="T864" i="2"/>
  <c r="T865" i="2"/>
  <c r="T866" i="2"/>
  <c r="T867" i="2"/>
  <c r="T868" i="2"/>
  <c r="T869" i="2"/>
  <c r="T870" i="2"/>
  <c r="T871" i="2"/>
  <c r="T872" i="2"/>
  <c r="T873" i="2"/>
  <c r="T874" i="2"/>
  <c r="T875" i="2"/>
  <c r="T876" i="2"/>
  <c r="T877" i="2"/>
  <c r="T878" i="2"/>
  <c r="T879" i="2"/>
  <c r="T880" i="2"/>
  <c r="T881" i="2"/>
  <c r="T882" i="2"/>
  <c r="T883" i="2"/>
  <c r="T884" i="2"/>
  <c r="T885" i="2"/>
  <c r="T886" i="2"/>
  <c r="T887" i="2"/>
  <c r="T888" i="2"/>
  <c r="T889" i="2"/>
  <c r="T890" i="2"/>
  <c r="T891" i="2"/>
  <c r="T892" i="2"/>
  <c r="T893" i="2"/>
  <c r="T894" i="2"/>
  <c r="T895" i="2"/>
  <c r="T896" i="2"/>
  <c r="T897" i="2"/>
  <c r="T898" i="2"/>
  <c r="T899" i="2"/>
  <c r="T900" i="2"/>
  <c r="T901" i="2"/>
  <c r="T902" i="2"/>
  <c r="T903" i="2"/>
  <c r="T904" i="2"/>
  <c r="T905" i="2"/>
  <c r="T906" i="2"/>
  <c r="T907" i="2"/>
  <c r="T908" i="2"/>
  <c r="T909" i="2"/>
  <c r="T910" i="2"/>
  <c r="T911" i="2"/>
  <c r="T912" i="2"/>
  <c r="T913" i="2"/>
  <c r="T914" i="2"/>
  <c r="T915" i="2"/>
  <c r="T916" i="2"/>
  <c r="T917" i="2"/>
  <c r="T918" i="2"/>
  <c r="T919" i="2"/>
  <c r="T920" i="2"/>
  <c r="T921" i="2"/>
  <c r="T922" i="2"/>
  <c r="T923" i="2"/>
  <c r="T924" i="2"/>
  <c r="T925" i="2"/>
  <c r="T926" i="2"/>
  <c r="T927" i="2"/>
  <c r="T928" i="2"/>
  <c r="T929" i="2"/>
  <c r="T930" i="2"/>
  <c r="T931" i="2"/>
  <c r="T932" i="2"/>
  <c r="T933" i="2"/>
  <c r="T934" i="2"/>
  <c r="T935" i="2"/>
  <c r="T936" i="2"/>
  <c r="T937" i="2"/>
  <c r="T938" i="2"/>
  <c r="T939" i="2"/>
  <c r="T940" i="2"/>
  <c r="T941" i="2"/>
  <c r="T942" i="2"/>
  <c r="T943" i="2"/>
  <c r="T944" i="2"/>
  <c r="T945" i="2"/>
  <c r="T946" i="2"/>
  <c r="T947" i="2"/>
  <c r="T948" i="2"/>
  <c r="T949" i="2"/>
  <c r="T950" i="2"/>
  <c r="T951" i="2"/>
  <c r="T952" i="2"/>
  <c r="T953" i="2"/>
  <c r="T954" i="2"/>
  <c r="T955" i="2"/>
  <c r="T956" i="2"/>
  <c r="T957" i="2"/>
  <c r="T958" i="2"/>
  <c r="T959" i="2"/>
  <c r="T960" i="2"/>
  <c r="T961" i="2"/>
  <c r="T962" i="2"/>
  <c r="T963" i="2"/>
  <c r="T964" i="2"/>
  <c r="T965" i="2"/>
  <c r="T966" i="2"/>
  <c r="T967" i="2"/>
  <c r="T968" i="2"/>
  <c r="T969" i="2"/>
  <c r="T970" i="2"/>
  <c r="T971" i="2"/>
  <c r="T972" i="2"/>
  <c r="T973" i="2"/>
  <c r="T974" i="2"/>
  <c r="T975" i="2"/>
  <c r="T976" i="2"/>
  <c r="T977" i="2"/>
  <c r="T978" i="2"/>
  <c r="T979" i="2"/>
  <c r="T980" i="2"/>
  <c r="T981" i="2"/>
  <c r="T982" i="2"/>
  <c r="T983" i="2"/>
  <c r="T984" i="2"/>
  <c r="T985" i="2"/>
  <c r="T986" i="2"/>
  <c r="T987" i="2"/>
  <c r="T988" i="2"/>
  <c r="T989" i="2"/>
  <c r="T990" i="2"/>
  <c r="T991" i="2"/>
  <c r="T992" i="2"/>
  <c r="T993" i="2"/>
  <c r="T994" i="2"/>
  <c r="T995" i="2"/>
  <c r="T996" i="2"/>
  <c r="T997" i="2"/>
  <c r="T998" i="2"/>
  <c r="T999" i="2"/>
  <c r="T1000" i="2"/>
  <c r="T2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U33" i="2"/>
  <c r="U34" i="2"/>
  <c r="U35" i="2"/>
  <c r="U36" i="2"/>
  <c r="U37" i="2"/>
  <c r="U38" i="2"/>
  <c r="U39" i="2"/>
  <c r="U40" i="2"/>
  <c r="U41" i="2"/>
  <c r="U42" i="2"/>
  <c r="U43" i="2"/>
  <c r="U44" i="2"/>
  <c r="U45" i="2"/>
  <c r="U46" i="2"/>
  <c r="U47" i="2"/>
  <c r="U48" i="2"/>
  <c r="U49" i="2"/>
  <c r="U50" i="2"/>
  <c r="U51" i="2"/>
  <c r="U52" i="2"/>
  <c r="U53" i="2"/>
  <c r="U54" i="2"/>
  <c r="U55" i="2"/>
  <c r="U56" i="2"/>
  <c r="U57" i="2"/>
  <c r="U58" i="2"/>
  <c r="U59" i="2"/>
  <c r="U60" i="2"/>
  <c r="U61" i="2"/>
  <c r="U62" i="2"/>
  <c r="U63" i="2"/>
  <c r="U64" i="2"/>
  <c r="U65" i="2"/>
  <c r="U66" i="2"/>
  <c r="U67" i="2"/>
  <c r="U68" i="2"/>
  <c r="U69" i="2"/>
  <c r="U70" i="2"/>
  <c r="U71" i="2"/>
  <c r="U72" i="2"/>
  <c r="U73" i="2"/>
  <c r="U74" i="2"/>
  <c r="U75" i="2"/>
  <c r="U76" i="2"/>
  <c r="U77" i="2"/>
  <c r="U78" i="2"/>
  <c r="U79" i="2"/>
  <c r="U80" i="2"/>
  <c r="U81" i="2"/>
  <c r="U82" i="2"/>
  <c r="U83" i="2"/>
  <c r="U84" i="2"/>
  <c r="U85" i="2"/>
  <c r="U86" i="2"/>
  <c r="U87" i="2"/>
  <c r="U88" i="2"/>
  <c r="U89" i="2"/>
  <c r="U90" i="2"/>
  <c r="U91" i="2"/>
  <c r="U92" i="2"/>
  <c r="U93" i="2"/>
  <c r="U94" i="2"/>
  <c r="U95" i="2"/>
  <c r="U96" i="2"/>
  <c r="U97" i="2"/>
  <c r="U98" i="2"/>
  <c r="U99" i="2"/>
  <c r="U100" i="2"/>
  <c r="U101" i="2"/>
  <c r="U102" i="2"/>
  <c r="U103" i="2"/>
  <c r="U104" i="2"/>
  <c r="U105" i="2"/>
  <c r="U106" i="2"/>
  <c r="U107" i="2"/>
  <c r="U108" i="2"/>
  <c r="U109" i="2"/>
  <c r="U110" i="2"/>
  <c r="U111" i="2"/>
  <c r="U112" i="2"/>
  <c r="U113" i="2"/>
  <c r="U114" i="2"/>
  <c r="U115" i="2"/>
  <c r="U116" i="2"/>
  <c r="U117" i="2"/>
  <c r="U118" i="2"/>
  <c r="U119" i="2"/>
  <c r="U120" i="2"/>
  <c r="U121" i="2"/>
  <c r="U122" i="2"/>
  <c r="U123" i="2"/>
  <c r="U124" i="2"/>
  <c r="U125" i="2"/>
  <c r="U126" i="2"/>
  <c r="U127" i="2"/>
  <c r="U128" i="2"/>
  <c r="U129" i="2"/>
  <c r="U130" i="2"/>
  <c r="U131" i="2"/>
  <c r="U132" i="2"/>
  <c r="U133" i="2"/>
  <c r="U134" i="2"/>
  <c r="U135" i="2"/>
  <c r="U136" i="2"/>
  <c r="U137" i="2"/>
  <c r="U138" i="2"/>
  <c r="U139" i="2"/>
  <c r="U140" i="2"/>
  <c r="U141" i="2"/>
  <c r="U142" i="2"/>
  <c r="U143" i="2"/>
  <c r="U144" i="2"/>
  <c r="U145" i="2"/>
  <c r="U146" i="2"/>
  <c r="U147" i="2"/>
  <c r="U148" i="2"/>
  <c r="U149" i="2"/>
  <c r="U150" i="2"/>
  <c r="U151" i="2"/>
  <c r="U152" i="2"/>
  <c r="U153" i="2"/>
  <c r="U154" i="2"/>
  <c r="U155" i="2"/>
  <c r="U156" i="2"/>
  <c r="U157" i="2"/>
  <c r="U158" i="2"/>
  <c r="U159" i="2"/>
  <c r="U160" i="2"/>
  <c r="U161" i="2"/>
  <c r="U162" i="2"/>
  <c r="U163" i="2"/>
  <c r="U164" i="2"/>
  <c r="U165" i="2"/>
  <c r="U166" i="2"/>
  <c r="U167" i="2"/>
  <c r="U168" i="2"/>
  <c r="U169" i="2"/>
  <c r="U170" i="2"/>
  <c r="U171" i="2"/>
  <c r="U172" i="2"/>
  <c r="U173" i="2"/>
  <c r="U174" i="2"/>
  <c r="U175" i="2"/>
  <c r="U176" i="2"/>
  <c r="U177" i="2"/>
  <c r="U178" i="2"/>
  <c r="U179" i="2"/>
  <c r="U180" i="2"/>
  <c r="U181" i="2"/>
  <c r="U182" i="2"/>
  <c r="U183" i="2"/>
  <c r="U184" i="2"/>
  <c r="U185" i="2"/>
  <c r="U186" i="2"/>
  <c r="U187" i="2"/>
  <c r="U188" i="2"/>
  <c r="U189" i="2"/>
  <c r="U190" i="2"/>
  <c r="U191" i="2"/>
  <c r="U192" i="2"/>
  <c r="U193" i="2"/>
  <c r="U194" i="2"/>
  <c r="U195" i="2"/>
  <c r="U196" i="2"/>
  <c r="U197" i="2"/>
  <c r="U198" i="2"/>
  <c r="U199" i="2"/>
  <c r="U200" i="2"/>
  <c r="U201" i="2"/>
  <c r="U202" i="2"/>
  <c r="U203" i="2"/>
  <c r="U204" i="2"/>
  <c r="U205" i="2"/>
  <c r="U206" i="2"/>
  <c r="U207" i="2"/>
  <c r="U208" i="2"/>
  <c r="U209" i="2"/>
  <c r="U210" i="2"/>
  <c r="U211" i="2"/>
  <c r="U212" i="2"/>
  <c r="U213" i="2"/>
  <c r="U214" i="2"/>
  <c r="U215" i="2"/>
  <c r="U216" i="2"/>
  <c r="U217" i="2"/>
  <c r="U218" i="2"/>
  <c r="U219" i="2"/>
  <c r="U220" i="2"/>
  <c r="U221" i="2"/>
  <c r="U222" i="2"/>
  <c r="U223" i="2"/>
  <c r="U224" i="2"/>
  <c r="U225" i="2"/>
  <c r="U226" i="2"/>
  <c r="U227" i="2"/>
  <c r="U228" i="2"/>
  <c r="U229" i="2"/>
  <c r="U230" i="2"/>
  <c r="U231" i="2"/>
  <c r="U232" i="2"/>
  <c r="U233" i="2"/>
  <c r="U234" i="2"/>
  <c r="U235" i="2"/>
  <c r="U236" i="2"/>
  <c r="U237" i="2"/>
  <c r="U238" i="2"/>
  <c r="U239" i="2"/>
  <c r="U240" i="2"/>
  <c r="U241" i="2"/>
  <c r="U242" i="2"/>
  <c r="U243" i="2"/>
  <c r="U244" i="2"/>
  <c r="U245" i="2"/>
  <c r="U246" i="2"/>
  <c r="U247" i="2"/>
  <c r="U248" i="2"/>
  <c r="U249" i="2"/>
  <c r="U250" i="2"/>
  <c r="U251" i="2"/>
  <c r="U252" i="2"/>
  <c r="U253" i="2"/>
  <c r="U254" i="2"/>
  <c r="U255" i="2"/>
  <c r="U256" i="2"/>
  <c r="U257" i="2"/>
  <c r="U258" i="2"/>
  <c r="U259" i="2"/>
  <c r="U260" i="2"/>
  <c r="U261" i="2"/>
  <c r="U262" i="2"/>
  <c r="U263" i="2"/>
  <c r="U264" i="2"/>
  <c r="U265" i="2"/>
  <c r="U266" i="2"/>
  <c r="U267" i="2"/>
  <c r="U268" i="2"/>
  <c r="U269" i="2"/>
  <c r="U270" i="2"/>
  <c r="U271" i="2"/>
  <c r="U272" i="2"/>
  <c r="U273" i="2"/>
  <c r="U274" i="2"/>
  <c r="U275" i="2"/>
  <c r="U276" i="2"/>
  <c r="U277" i="2"/>
  <c r="U278" i="2"/>
  <c r="U279" i="2"/>
  <c r="U280" i="2"/>
  <c r="U281" i="2"/>
  <c r="U282" i="2"/>
  <c r="U283" i="2"/>
  <c r="U284" i="2"/>
  <c r="U285" i="2"/>
  <c r="U286" i="2"/>
  <c r="U287" i="2"/>
  <c r="U288" i="2"/>
  <c r="U289" i="2"/>
  <c r="U290" i="2"/>
  <c r="U291" i="2"/>
  <c r="U292" i="2"/>
  <c r="U293" i="2"/>
  <c r="U294" i="2"/>
  <c r="U295" i="2"/>
  <c r="U296" i="2"/>
  <c r="U297" i="2"/>
  <c r="U298" i="2"/>
  <c r="U299" i="2"/>
  <c r="U300" i="2"/>
  <c r="U301" i="2"/>
  <c r="U302" i="2"/>
  <c r="U303" i="2"/>
  <c r="U304" i="2"/>
  <c r="U305" i="2"/>
  <c r="U306" i="2"/>
  <c r="U307" i="2"/>
  <c r="U308" i="2"/>
  <c r="U309" i="2"/>
  <c r="U310" i="2"/>
  <c r="U311" i="2"/>
  <c r="U312" i="2"/>
  <c r="U313" i="2"/>
  <c r="U314" i="2"/>
  <c r="U315" i="2"/>
  <c r="U316" i="2"/>
  <c r="U317" i="2"/>
  <c r="U318" i="2"/>
  <c r="U319" i="2"/>
  <c r="U320" i="2"/>
  <c r="U321" i="2"/>
  <c r="U322" i="2"/>
  <c r="U323" i="2"/>
  <c r="U324" i="2"/>
  <c r="U325" i="2"/>
  <c r="U326" i="2"/>
  <c r="U327" i="2"/>
  <c r="U328" i="2"/>
  <c r="U329" i="2"/>
  <c r="U330" i="2"/>
  <c r="U331" i="2"/>
  <c r="U332" i="2"/>
  <c r="U333" i="2"/>
  <c r="U334" i="2"/>
  <c r="U335" i="2"/>
  <c r="U336" i="2"/>
  <c r="U337" i="2"/>
  <c r="U338" i="2"/>
  <c r="U339" i="2"/>
  <c r="U340" i="2"/>
  <c r="U341" i="2"/>
  <c r="U342" i="2"/>
  <c r="U343" i="2"/>
  <c r="U344" i="2"/>
  <c r="U345" i="2"/>
  <c r="U346" i="2"/>
  <c r="U347" i="2"/>
  <c r="U348" i="2"/>
  <c r="U349" i="2"/>
  <c r="U350" i="2"/>
  <c r="U351" i="2"/>
  <c r="U352" i="2"/>
  <c r="U353" i="2"/>
  <c r="U354" i="2"/>
  <c r="U355" i="2"/>
  <c r="U356" i="2"/>
  <c r="U357" i="2"/>
  <c r="U358" i="2"/>
  <c r="U359" i="2"/>
  <c r="U360" i="2"/>
  <c r="U361" i="2"/>
  <c r="U362" i="2"/>
  <c r="U363" i="2"/>
  <c r="U364" i="2"/>
  <c r="U365" i="2"/>
  <c r="U366" i="2"/>
  <c r="U367" i="2"/>
  <c r="U368" i="2"/>
  <c r="U369" i="2"/>
  <c r="U370" i="2"/>
  <c r="U371" i="2"/>
  <c r="U372" i="2"/>
  <c r="U373" i="2"/>
  <c r="U374" i="2"/>
  <c r="U375" i="2"/>
  <c r="U376" i="2"/>
  <c r="U377" i="2"/>
  <c r="U378" i="2"/>
  <c r="U379" i="2"/>
  <c r="U380" i="2"/>
  <c r="U381" i="2"/>
  <c r="U382" i="2"/>
  <c r="U383" i="2"/>
  <c r="U384" i="2"/>
  <c r="U385" i="2"/>
  <c r="U386" i="2"/>
  <c r="U387" i="2"/>
  <c r="U388" i="2"/>
  <c r="U389" i="2"/>
  <c r="U390" i="2"/>
  <c r="U391" i="2"/>
  <c r="U392" i="2"/>
  <c r="U393" i="2"/>
  <c r="U394" i="2"/>
  <c r="U395" i="2"/>
  <c r="U396" i="2"/>
  <c r="U397" i="2"/>
  <c r="U398" i="2"/>
  <c r="U399" i="2"/>
  <c r="U400" i="2"/>
  <c r="U401" i="2"/>
  <c r="U402" i="2"/>
  <c r="U403" i="2"/>
  <c r="U404" i="2"/>
  <c r="U405" i="2"/>
  <c r="U406" i="2"/>
  <c r="U407" i="2"/>
  <c r="U408" i="2"/>
  <c r="U409" i="2"/>
  <c r="U410" i="2"/>
  <c r="U411" i="2"/>
  <c r="U412" i="2"/>
  <c r="U413" i="2"/>
  <c r="U414" i="2"/>
  <c r="U415" i="2"/>
  <c r="U416" i="2"/>
  <c r="U417" i="2"/>
  <c r="U418" i="2"/>
  <c r="U419" i="2"/>
  <c r="U420" i="2"/>
  <c r="U421" i="2"/>
  <c r="U422" i="2"/>
  <c r="U423" i="2"/>
  <c r="U424" i="2"/>
  <c r="U425" i="2"/>
  <c r="U426" i="2"/>
  <c r="U427" i="2"/>
  <c r="U428" i="2"/>
  <c r="U429" i="2"/>
  <c r="U430" i="2"/>
  <c r="U431" i="2"/>
  <c r="U432" i="2"/>
  <c r="U433" i="2"/>
  <c r="U434" i="2"/>
  <c r="U435" i="2"/>
  <c r="U436" i="2"/>
  <c r="U437" i="2"/>
  <c r="U438" i="2"/>
  <c r="U439" i="2"/>
  <c r="U440" i="2"/>
  <c r="U441" i="2"/>
  <c r="U442" i="2"/>
  <c r="U443" i="2"/>
  <c r="U444" i="2"/>
  <c r="U445" i="2"/>
  <c r="U446" i="2"/>
  <c r="U447" i="2"/>
  <c r="U448" i="2"/>
  <c r="U449" i="2"/>
  <c r="U450" i="2"/>
  <c r="U451" i="2"/>
  <c r="U452" i="2"/>
  <c r="U453" i="2"/>
  <c r="U454" i="2"/>
  <c r="U455" i="2"/>
  <c r="U456" i="2"/>
  <c r="U457" i="2"/>
  <c r="U458" i="2"/>
  <c r="U459" i="2"/>
  <c r="U460" i="2"/>
  <c r="U461" i="2"/>
  <c r="U462" i="2"/>
  <c r="U463" i="2"/>
  <c r="U464" i="2"/>
  <c r="U465" i="2"/>
  <c r="U466" i="2"/>
  <c r="U467" i="2"/>
  <c r="U468" i="2"/>
  <c r="U469" i="2"/>
  <c r="U470" i="2"/>
  <c r="U471" i="2"/>
  <c r="U472" i="2"/>
  <c r="U473" i="2"/>
  <c r="U474" i="2"/>
  <c r="U475" i="2"/>
  <c r="U476" i="2"/>
  <c r="U477" i="2"/>
  <c r="U478" i="2"/>
  <c r="U479" i="2"/>
  <c r="U480" i="2"/>
  <c r="U481" i="2"/>
  <c r="U482" i="2"/>
  <c r="U483" i="2"/>
  <c r="U484" i="2"/>
  <c r="U485" i="2"/>
  <c r="U486" i="2"/>
  <c r="U487" i="2"/>
  <c r="U488" i="2"/>
  <c r="U489" i="2"/>
  <c r="U490" i="2"/>
  <c r="U491" i="2"/>
  <c r="U492" i="2"/>
  <c r="U493" i="2"/>
  <c r="U494" i="2"/>
  <c r="U495" i="2"/>
  <c r="U496" i="2"/>
  <c r="U497" i="2"/>
  <c r="U498" i="2"/>
  <c r="U499" i="2"/>
  <c r="U500" i="2"/>
  <c r="U501" i="2"/>
  <c r="U502" i="2"/>
  <c r="U503" i="2"/>
  <c r="U504" i="2"/>
  <c r="U505" i="2"/>
  <c r="U506" i="2"/>
  <c r="U507" i="2"/>
  <c r="U508" i="2"/>
  <c r="U509" i="2"/>
  <c r="U510" i="2"/>
  <c r="U511" i="2"/>
  <c r="U512" i="2"/>
  <c r="U513" i="2"/>
  <c r="U514" i="2"/>
  <c r="U515" i="2"/>
  <c r="U516" i="2"/>
  <c r="U517" i="2"/>
  <c r="U518" i="2"/>
  <c r="U519" i="2"/>
  <c r="U520" i="2"/>
  <c r="U521" i="2"/>
  <c r="U522" i="2"/>
  <c r="U523" i="2"/>
  <c r="U524" i="2"/>
  <c r="U525" i="2"/>
  <c r="U526" i="2"/>
  <c r="U527" i="2"/>
  <c r="U528" i="2"/>
  <c r="U529" i="2"/>
  <c r="U530" i="2"/>
  <c r="U531" i="2"/>
  <c r="U532" i="2"/>
  <c r="U533" i="2"/>
  <c r="U534" i="2"/>
  <c r="U535" i="2"/>
  <c r="U536" i="2"/>
  <c r="U537" i="2"/>
  <c r="U538" i="2"/>
  <c r="U539" i="2"/>
  <c r="U540" i="2"/>
  <c r="U541" i="2"/>
  <c r="U542" i="2"/>
  <c r="U543" i="2"/>
  <c r="U544" i="2"/>
  <c r="U545" i="2"/>
  <c r="U546" i="2"/>
  <c r="U547" i="2"/>
  <c r="U548" i="2"/>
  <c r="U549" i="2"/>
  <c r="U550" i="2"/>
  <c r="U551" i="2"/>
  <c r="U552" i="2"/>
  <c r="U553" i="2"/>
  <c r="U554" i="2"/>
  <c r="U555" i="2"/>
  <c r="U556" i="2"/>
  <c r="U557" i="2"/>
  <c r="U558" i="2"/>
  <c r="U559" i="2"/>
  <c r="U560" i="2"/>
  <c r="U561" i="2"/>
  <c r="U562" i="2"/>
  <c r="U563" i="2"/>
  <c r="U564" i="2"/>
  <c r="U565" i="2"/>
  <c r="U566" i="2"/>
  <c r="U567" i="2"/>
  <c r="U568" i="2"/>
  <c r="U569" i="2"/>
  <c r="U570" i="2"/>
  <c r="U571" i="2"/>
  <c r="U572" i="2"/>
  <c r="U573" i="2"/>
  <c r="U574" i="2"/>
  <c r="U575" i="2"/>
  <c r="U576" i="2"/>
  <c r="U577" i="2"/>
  <c r="U578" i="2"/>
  <c r="U579" i="2"/>
  <c r="U580" i="2"/>
  <c r="U581" i="2"/>
  <c r="U582" i="2"/>
  <c r="U583" i="2"/>
  <c r="U584" i="2"/>
  <c r="U585" i="2"/>
  <c r="U586" i="2"/>
  <c r="U587" i="2"/>
  <c r="U588" i="2"/>
  <c r="U589" i="2"/>
  <c r="U590" i="2"/>
  <c r="U591" i="2"/>
  <c r="U592" i="2"/>
  <c r="U593" i="2"/>
  <c r="U594" i="2"/>
  <c r="U595" i="2"/>
  <c r="U596" i="2"/>
  <c r="U597" i="2"/>
  <c r="U598" i="2"/>
  <c r="U599" i="2"/>
  <c r="U600" i="2"/>
  <c r="U601" i="2"/>
  <c r="U602" i="2"/>
  <c r="U603" i="2"/>
  <c r="U604" i="2"/>
  <c r="U605" i="2"/>
  <c r="U606" i="2"/>
  <c r="U607" i="2"/>
  <c r="U608" i="2"/>
  <c r="U609" i="2"/>
  <c r="U610" i="2"/>
  <c r="U611" i="2"/>
  <c r="U612" i="2"/>
  <c r="U613" i="2"/>
  <c r="U614" i="2"/>
  <c r="U615" i="2"/>
  <c r="U616" i="2"/>
  <c r="U617" i="2"/>
  <c r="U618" i="2"/>
  <c r="U619" i="2"/>
  <c r="U620" i="2"/>
  <c r="U621" i="2"/>
  <c r="U622" i="2"/>
  <c r="U623" i="2"/>
  <c r="U624" i="2"/>
  <c r="U625" i="2"/>
  <c r="U626" i="2"/>
  <c r="U627" i="2"/>
  <c r="U628" i="2"/>
  <c r="U629" i="2"/>
  <c r="U630" i="2"/>
  <c r="U631" i="2"/>
  <c r="U632" i="2"/>
  <c r="U633" i="2"/>
  <c r="U634" i="2"/>
  <c r="U635" i="2"/>
  <c r="U636" i="2"/>
  <c r="U637" i="2"/>
  <c r="U638" i="2"/>
  <c r="U639" i="2"/>
  <c r="U640" i="2"/>
  <c r="U641" i="2"/>
  <c r="U642" i="2"/>
  <c r="U643" i="2"/>
  <c r="U644" i="2"/>
  <c r="U645" i="2"/>
  <c r="U646" i="2"/>
  <c r="U647" i="2"/>
  <c r="U648" i="2"/>
  <c r="U649" i="2"/>
  <c r="U650" i="2"/>
  <c r="U651" i="2"/>
  <c r="U652" i="2"/>
  <c r="U653" i="2"/>
  <c r="U654" i="2"/>
  <c r="U655" i="2"/>
  <c r="U656" i="2"/>
  <c r="U657" i="2"/>
  <c r="U658" i="2"/>
  <c r="U659" i="2"/>
  <c r="U660" i="2"/>
  <c r="U661" i="2"/>
  <c r="U662" i="2"/>
  <c r="U663" i="2"/>
  <c r="U664" i="2"/>
  <c r="U665" i="2"/>
  <c r="U666" i="2"/>
  <c r="U667" i="2"/>
  <c r="U668" i="2"/>
  <c r="U669" i="2"/>
  <c r="U670" i="2"/>
  <c r="U671" i="2"/>
  <c r="U672" i="2"/>
  <c r="U673" i="2"/>
  <c r="U674" i="2"/>
  <c r="U675" i="2"/>
  <c r="U676" i="2"/>
  <c r="U677" i="2"/>
  <c r="U678" i="2"/>
  <c r="U679" i="2"/>
  <c r="U680" i="2"/>
  <c r="U681" i="2"/>
  <c r="U682" i="2"/>
  <c r="U683" i="2"/>
  <c r="U684" i="2"/>
  <c r="U685" i="2"/>
  <c r="U686" i="2"/>
  <c r="U687" i="2"/>
  <c r="U688" i="2"/>
  <c r="U689" i="2"/>
  <c r="U690" i="2"/>
  <c r="U691" i="2"/>
  <c r="U692" i="2"/>
  <c r="U693" i="2"/>
  <c r="U694" i="2"/>
  <c r="U695" i="2"/>
  <c r="U696" i="2"/>
  <c r="U697" i="2"/>
  <c r="U698" i="2"/>
  <c r="U699" i="2"/>
  <c r="U700" i="2"/>
  <c r="U701" i="2"/>
  <c r="U702" i="2"/>
  <c r="U703" i="2"/>
  <c r="U704" i="2"/>
  <c r="U705" i="2"/>
  <c r="U706" i="2"/>
  <c r="U707" i="2"/>
  <c r="U708" i="2"/>
  <c r="U709" i="2"/>
  <c r="U710" i="2"/>
  <c r="U711" i="2"/>
  <c r="U712" i="2"/>
  <c r="U713" i="2"/>
  <c r="U714" i="2"/>
  <c r="U715" i="2"/>
  <c r="U716" i="2"/>
  <c r="U717" i="2"/>
  <c r="U718" i="2"/>
  <c r="U719" i="2"/>
  <c r="U720" i="2"/>
  <c r="U721" i="2"/>
  <c r="U722" i="2"/>
  <c r="U723" i="2"/>
  <c r="U724" i="2"/>
  <c r="U725" i="2"/>
  <c r="U726" i="2"/>
  <c r="U727" i="2"/>
  <c r="U728" i="2"/>
  <c r="U729" i="2"/>
  <c r="U730" i="2"/>
  <c r="U731" i="2"/>
  <c r="U732" i="2"/>
  <c r="U733" i="2"/>
  <c r="U734" i="2"/>
  <c r="U735" i="2"/>
  <c r="U736" i="2"/>
  <c r="U737" i="2"/>
  <c r="U738" i="2"/>
  <c r="U739" i="2"/>
  <c r="U740" i="2"/>
  <c r="U741" i="2"/>
  <c r="U742" i="2"/>
  <c r="U743" i="2"/>
  <c r="U744" i="2"/>
  <c r="U745" i="2"/>
  <c r="U746" i="2"/>
  <c r="U747" i="2"/>
  <c r="U748" i="2"/>
  <c r="U749" i="2"/>
  <c r="U750" i="2"/>
  <c r="U751" i="2"/>
  <c r="U752" i="2"/>
  <c r="U753" i="2"/>
  <c r="U754" i="2"/>
  <c r="U755" i="2"/>
  <c r="U756" i="2"/>
  <c r="U757" i="2"/>
  <c r="U758" i="2"/>
  <c r="U759" i="2"/>
  <c r="U760" i="2"/>
  <c r="U761" i="2"/>
  <c r="U762" i="2"/>
  <c r="U763" i="2"/>
  <c r="U764" i="2"/>
  <c r="U765" i="2"/>
  <c r="U766" i="2"/>
  <c r="U767" i="2"/>
  <c r="U768" i="2"/>
  <c r="U769" i="2"/>
  <c r="U770" i="2"/>
  <c r="U771" i="2"/>
  <c r="U772" i="2"/>
  <c r="U773" i="2"/>
  <c r="U774" i="2"/>
  <c r="U775" i="2"/>
  <c r="U776" i="2"/>
  <c r="U777" i="2"/>
  <c r="U778" i="2"/>
  <c r="U779" i="2"/>
  <c r="U780" i="2"/>
  <c r="U781" i="2"/>
  <c r="U782" i="2"/>
  <c r="U783" i="2"/>
  <c r="U784" i="2"/>
  <c r="U785" i="2"/>
  <c r="U786" i="2"/>
  <c r="U787" i="2"/>
  <c r="U788" i="2"/>
  <c r="U789" i="2"/>
  <c r="U790" i="2"/>
  <c r="U791" i="2"/>
  <c r="U792" i="2"/>
  <c r="U793" i="2"/>
  <c r="U794" i="2"/>
  <c r="U795" i="2"/>
  <c r="U796" i="2"/>
  <c r="U797" i="2"/>
  <c r="U798" i="2"/>
  <c r="U799" i="2"/>
  <c r="U800" i="2"/>
  <c r="U801" i="2"/>
  <c r="U802" i="2"/>
  <c r="U803" i="2"/>
  <c r="U804" i="2"/>
  <c r="U805" i="2"/>
  <c r="U806" i="2"/>
  <c r="U807" i="2"/>
  <c r="U808" i="2"/>
  <c r="U809" i="2"/>
  <c r="U810" i="2"/>
  <c r="U811" i="2"/>
  <c r="U812" i="2"/>
  <c r="U813" i="2"/>
  <c r="U814" i="2"/>
  <c r="U815" i="2"/>
  <c r="U816" i="2"/>
  <c r="U817" i="2"/>
  <c r="U818" i="2"/>
  <c r="U819" i="2"/>
  <c r="U820" i="2"/>
  <c r="U821" i="2"/>
  <c r="U822" i="2"/>
  <c r="U823" i="2"/>
  <c r="U824" i="2"/>
  <c r="U825" i="2"/>
  <c r="U826" i="2"/>
  <c r="U827" i="2"/>
  <c r="U828" i="2"/>
  <c r="U829" i="2"/>
  <c r="U830" i="2"/>
  <c r="U831" i="2"/>
  <c r="U832" i="2"/>
  <c r="U833" i="2"/>
  <c r="U834" i="2"/>
  <c r="U835" i="2"/>
  <c r="U836" i="2"/>
  <c r="U837" i="2"/>
  <c r="U838" i="2"/>
  <c r="U839" i="2"/>
  <c r="U840" i="2"/>
  <c r="U841" i="2"/>
  <c r="U842" i="2"/>
  <c r="U843" i="2"/>
  <c r="U844" i="2"/>
  <c r="U845" i="2"/>
  <c r="U846" i="2"/>
  <c r="U847" i="2"/>
  <c r="U848" i="2"/>
  <c r="U849" i="2"/>
  <c r="U850" i="2"/>
  <c r="U851" i="2"/>
  <c r="U852" i="2"/>
  <c r="U853" i="2"/>
  <c r="U854" i="2"/>
  <c r="U855" i="2"/>
  <c r="U856" i="2"/>
  <c r="U857" i="2"/>
  <c r="U858" i="2"/>
  <c r="U859" i="2"/>
  <c r="U860" i="2"/>
  <c r="U861" i="2"/>
  <c r="U862" i="2"/>
  <c r="U863" i="2"/>
  <c r="U864" i="2"/>
  <c r="U865" i="2"/>
  <c r="U866" i="2"/>
  <c r="U867" i="2"/>
  <c r="U868" i="2"/>
  <c r="U869" i="2"/>
  <c r="U870" i="2"/>
  <c r="U871" i="2"/>
  <c r="U872" i="2"/>
  <c r="U873" i="2"/>
  <c r="U874" i="2"/>
  <c r="U875" i="2"/>
  <c r="U876" i="2"/>
  <c r="U877" i="2"/>
  <c r="U878" i="2"/>
  <c r="U879" i="2"/>
  <c r="U880" i="2"/>
  <c r="U881" i="2"/>
  <c r="U882" i="2"/>
  <c r="U883" i="2"/>
  <c r="U884" i="2"/>
  <c r="U885" i="2"/>
  <c r="U886" i="2"/>
  <c r="U887" i="2"/>
  <c r="U888" i="2"/>
  <c r="U889" i="2"/>
  <c r="U890" i="2"/>
  <c r="U891" i="2"/>
  <c r="U892" i="2"/>
  <c r="U893" i="2"/>
  <c r="U894" i="2"/>
  <c r="U895" i="2"/>
  <c r="U896" i="2"/>
  <c r="U897" i="2"/>
  <c r="U898" i="2"/>
  <c r="U899" i="2"/>
  <c r="U900" i="2"/>
  <c r="U901" i="2"/>
  <c r="U902" i="2"/>
  <c r="U903" i="2"/>
  <c r="U904" i="2"/>
  <c r="U905" i="2"/>
  <c r="U906" i="2"/>
  <c r="U907" i="2"/>
  <c r="U908" i="2"/>
  <c r="U909" i="2"/>
  <c r="U910" i="2"/>
  <c r="U911" i="2"/>
  <c r="U912" i="2"/>
  <c r="U913" i="2"/>
  <c r="U914" i="2"/>
  <c r="U915" i="2"/>
  <c r="U916" i="2"/>
  <c r="U917" i="2"/>
  <c r="U918" i="2"/>
  <c r="U919" i="2"/>
  <c r="U920" i="2"/>
  <c r="U921" i="2"/>
  <c r="U922" i="2"/>
  <c r="U923" i="2"/>
  <c r="U924" i="2"/>
  <c r="U925" i="2"/>
  <c r="U926" i="2"/>
  <c r="U927" i="2"/>
  <c r="U928" i="2"/>
  <c r="U929" i="2"/>
  <c r="U930" i="2"/>
  <c r="U931" i="2"/>
  <c r="U932" i="2"/>
  <c r="U933" i="2"/>
  <c r="U934" i="2"/>
  <c r="U935" i="2"/>
  <c r="U936" i="2"/>
  <c r="U937" i="2"/>
  <c r="U938" i="2"/>
  <c r="U939" i="2"/>
  <c r="U940" i="2"/>
  <c r="U941" i="2"/>
  <c r="U942" i="2"/>
  <c r="U943" i="2"/>
  <c r="U944" i="2"/>
  <c r="U945" i="2"/>
  <c r="U946" i="2"/>
  <c r="U947" i="2"/>
  <c r="U948" i="2"/>
  <c r="U949" i="2"/>
  <c r="U950" i="2"/>
  <c r="U951" i="2"/>
  <c r="U952" i="2"/>
  <c r="U953" i="2"/>
  <c r="U954" i="2"/>
  <c r="U955" i="2"/>
  <c r="U956" i="2"/>
  <c r="U957" i="2"/>
  <c r="U958" i="2"/>
  <c r="U959" i="2"/>
  <c r="U960" i="2"/>
  <c r="U961" i="2"/>
  <c r="U962" i="2"/>
  <c r="U963" i="2"/>
  <c r="U964" i="2"/>
  <c r="U965" i="2"/>
  <c r="U966" i="2"/>
  <c r="U967" i="2"/>
  <c r="U968" i="2"/>
  <c r="U969" i="2"/>
  <c r="U970" i="2"/>
  <c r="U971" i="2"/>
  <c r="U972" i="2"/>
  <c r="U973" i="2"/>
  <c r="U974" i="2"/>
  <c r="U975" i="2"/>
  <c r="U976" i="2"/>
  <c r="U977" i="2"/>
  <c r="U978" i="2"/>
  <c r="U979" i="2"/>
  <c r="U980" i="2"/>
  <c r="U981" i="2"/>
  <c r="U982" i="2"/>
  <c r="U983" i="2"/>
  <c r="U984" i="2"/>
  <c r="U985" i="2"/>
  <c r="U986" i="2"/>
  <c r="U987" i="2"/>
  <c r="U988" i="2"/>
  <c r="U989" i="2"/>
  <c r="U990" i="2"/>
  <c r="U991" i="2"/>
  <c r="U992" i="2"/>
  <c r="U993" i="2"/>
  <c r="U994" i="2"/>
  <c r="U995" i="2"/>
  <c r="U996" i="2"/>
  <c r="U997" i="2"/>
  <c r="U998" i="2"/>
  <c r="U999" i="2"/>
  <c r="U1000" i="2"/>
  <c r="U4" i="2"/>
  <c r="U5" i="2"/>
  <c r="U3" i="2"/>
  <c r="U2" i="2"/>
  <c r="V689" i="2" l="1"/>
  <c r="V625" i="2"/>
  <c r="V561" i="2"/>
  <c r="V497" i="2"/>
  <c r="V433" i="2"/>
  <c r="V369" i="2"/>
  <c r="V305" i="2"/>
  <c r="V241" i="2"/>
  <c r="V177" i="2"/>
  <c r="V113" i="2"/>
  <c r="V49" i="2"/>
  <c r="V983" i="2"/>
  <c r="V967" i="2"/>
  <c r="V943" i="2"/>
  <c r="V927" i="2"/>
  <c r="V903" i="2"/>
  <c r="V895" i="2"/>
  <c r="V879" i="2"/>
  <c r="V863" i="2"/>
  <c r="V823" i="2"/>
  <c r="V815" i="2"/>
  <c r="V807" i="2"/>
  <c r="V799" i="2"/>
  <c r="V759" i="2"/>
  <c r="V751" i="2"/>
  <c r="V743" i="2"/>
  <c r="V735" i="2"/>
  <c r="V727" i="2"/>
  <c r="V719" i="2"/>
  <c r="V711" i="2"/>
  <c r="V703" i="2"/>
  <c r="V695" i="2"/>
  <c r="V649" i="2"/>
  <c r="V631" i="2"/>
  <c r="V567" i="2"/>
  <c r="V521" i="2"/>
  <c r="V457" i="2"/>
  <c r="V393" i="2"/>
  <c r="V329" i="2"/>
  <c r="V265" i="2"/>
  <c r="V201" i="2"/>
  <c r="V137" i="2"/>
  <c r="V73" i="2"/>
  <c r="V999" i="2"/>
  <c r="V975" i="2"/>
  <c r="V951" i="2"/>
  <c r="V935" i="2"/>
  <c r="V911" i="2"/>
  <c r="V887" i="2"/>
  <c r="V998" i="2"/>
  <c r="V990" i="2"/>
  <c r="V982" i="2"/>
  <c r="V974" i="2"/>
  <c r="V966" i="2"/>
  <c r="V958" i="2"/>
  <c r="V950" i="2"/>
  <c r="V942" i="2"/>
  <c r="V934" i="2"/>
  <c r="V926" i="2"/>
  <c r="V918" i="2"/>
  <c r="V910" i="2"/>
  <c r="V902" i="2"/>
  <c r="V894" i="2"/>
  <c r="V886" i="2"/>
  <c r="V878" i="2"/>
  <c r="V870" i="2"/>
  <c r="V862" i="2"/>
  <c r="V854" i="2"/>
  <c r="V846" i="2"/>
  <c r="V838" i="2"/>
  <c r="V830" i="2"/>
  <c r="V657" i="2"/>
  <c r="V639" i="2"/>
  <c r="V593" i="2"/>
  <c r="V575" i="2"/>
  <c r="V529" i="2"/>
  <c r="V511" i="2"/>
  <c r="V465" i="2"/>
  <c r="V447" i="2"/>
  <c r="V401" i="2"/>
  <c r="V383" i="2"/>
  <c r="V337" i="2"/>
  <c r="V273" i="2"/>
  <c r="V209" i="2"/>
  <c r="V145" i="2"/>
  <c r="V81" i="2"/>
  <c r="V513" i="2"/>
  <c r="V991" i="2"/>
  <c r="V959" i="2"/>
  <c r="V919" i="2"/>
  <c r="V647" i="2"/>
  <c r="V583" i="2"/>
  <c r="V519" i="2"/>
  <c r="V473" i="2"/>
  <c r="V455" i="2"/>
  <c r="V409" i="2"/>
  <c r="V391" i="2"/>
  <c r="V345" i="2"/>
  <c r="V281" i="2"/>
  <c r="V217" i="2"/>
  <c r="V153" i="2"/>
  <c r="V89" i="2"/>
  <c r="V481" i="2"/>
  <c r="V417" i="2"/>
  <c r="V353" i="2"/>
  <c r="V289" i="2"/>
  <c r="V225" i="2"/>
  <c r="V161" i="2"/>
  <c r="V97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5D12A2E-21C5-EE46-B701-157600879F81}" keepAlive="1" name="Query - Sheet1" description="Connection to the 'Sheet1' query in the workbook." type="5" refreshedVersion="8" background="1" saveData="1">
    <dbPr connection="Provider=Microsoft.Mashup.OleDb.1;Data Source=$Workbook$;Location=Sheet1;Extended Properties=&quot;&quot;" command="SELECT * FROM [Sheet1]"/>
  </connection>
</connections>
</file>

<file path=xl/sharedStrings.xml><?xml version="1.0" encoding="utf-8"?>
<sst xmlns="http://schemas.openxmlformats.org/spreadsheetml/2006/main" count="15034" uniqueCount="2420">
  <si>
    <t>Audience Segment</t>
  </si>
  <si>
    <t>Creative Size</t>
  </si>
  <si>
    <t>Creative Messaging</t>
  </si>
  <si>
    <t>Location</t>
  </si>
  <si>
    <t>App/URL</t>
  </si>
  <si>
    <t>Exchange</t>
  </si>
  <si>
    <t>Device Make</t>
  </si>
  <si>
    <t>Impressions</t>
  </si>
  <si>
    <t>Clicks</t>
  </si>
  <si>
    <t>Viewable Impressions</t>
  </si>
  <si>
    <t>Measurable Impressions</t>
  </si>
  <si>
    <t>Total Conversions</t>
  </si>
  <si>
    <t>Gross Cost</t>
  </si>
  <si>
    <t>Online Behavior&gt;United States&gt;Autos and Vehicles Â» Brands&gt;Mazda</t>
  </si>
  <si>
    <t>320x50</t>
  </si>
  <si>
    <t>Subscribe Today - 10% Discount</t>
  </si>
  <si>
    <t>New York City, New York</t>
  </si>
  <si>
    <t>cbsnews.com</t>
  </si>
  <si>
    <t>TripleLift</t>
  </si>
  <si>
    <t>Smartphone</t>
  </si>
  <si>
    <t>Online Behavior&gt;United States&gt;People and Society&gt;Family and Relationships Â» Parents</t>
  </si>
  <si>
    <t>West Palm Beach-Ft. Pierce, Florida</t>
  </si>
  <si>
    <t>BidSwitch</t>
  </si>
  <si>
    <t>Online Behavior&gt;United States&gt;Finance Â» Banking&gt;Savings Accounts</t>
  </si>
  <si>
    <t>300x250</t>
  </si>
  <si>
    <t>Chicago, Illinois</t>
  </si>
  <si>
    <t>the-sun.com</t>
  </si>
  <si>
    <t>Google Ad Manager</t>
  </si>
  <si>
    <t>US Â» B2B Â» Purchase DM Â» Technology Services, Hardware and Â» or Software Â» I make the final decision with input from staff Â» management</t>
  </si>
  <si>
    <t>10% Discount - Ends 6/1</t>
  </si>
  <si>
    <t>taboolanews.com</t>
  </si>
  <si>
    <t>Online Behavior&gt;United States&gt;Beauty and Fitness&gt;Face and Body Care Â» Hygiene and Toiletries</t>
  </si>
  <si>
    <t>Sign up Now - 10% Off</t>
  </si>
  <si>
    <t>OpenX</t>
  </si>
  <si>
    <t>Online Behavior&gt;United States&gt;Travel&gt;Travel Agencies and Services Â» Tourist Boards and Visitor Centers</t>
  </si>
  <si>
    <t>Sign up Today - 10% Off</t>
  </si>
  <si>
    <t>Ft. Wayne, Indiana</t>
  </si>
  <si>
    <t>nbcnews.com</t>
  </si>
  <si>
    <t>Magnite DV+</t>
  </si>
  <si>
    <t>Online Behavior&gt;United States&gt;Finance Â» Credit and Lending&gt;Credit and Lending</t>
  </si>
  <si>
    <t>msn.com</t>
  </si>
  <si>
    <t>PubMatic</t>
  </si>
  <si>
    <t>Media and Entertainment Â» News and Current Events</t>
  </si>
  <si>
    <t>Los Angeles, California</t>
  </si>
  <si>
    <t>US Â» Reach Â» Propensity Models Â» Online Â» Home Office</t>
  </si>
  <si>
    <t>Nashville, Tennessee</t>
  </si>
  <si>
    <t>outlook.live.com</t>
  </si>
  <si>
    <t>Online Behavior&gt;United States&gt;Travel&gt;Specialty Travel Â» Agritourism</t>
  </si>
  <si>
    <t>mail.yahoo.com</t>
  </si>
  <si>
    <t>Online Behavior&gt;United States&gt;Food and Drink&gt;Restaurants</t>
  </si>
  <si>
    <t>Taboola</t>
  </si>
  <si>
    <t>US Â» Brand Propensities Â» Health Â» Beauty and Cosmetics Â» Beachbody Buyer Propensity</t>
  </si>
  <si>
    <t>nypost.com</t>
  </si>
  <si>
    <t>Online Behavior&gt;United States&gt;Autos and Vehicles Â» Brands&gt;Porsche</t>
  </si>
  <si>
    <t>Online Behavior&gt;United States&gt;The Changing Consumer&gt;Data For Good Â» Current Affairs - Social Justice</t>
  </si>
  <si>
    <t>Online Behavior&gt;United States&gt;Sports&gt;Team Sports Â» Rugby</t>
  </si>
  <si>
    <t>Online Behavior&gt;United States&gt;Life Event&gt;College Applications</t>
  </si>
  <si>
    <t>yahoo.com</t>
  </si>
  <si>
    <t>Xandr - Monetize SSP (AppNexus)</t>
  </si>
  <si>
    <t>Online Behavior&gt;United States&gt;Food and Drink&gt;Beverages Â» Soft Drinks</t>
  </si>
  <si>
    <t>Knoxville, Tennessee</t>
  </si>
  <si>
    <t>lotterypost.com</t>
  </si>
  <si>
    <t>Online Behavior&gt;United States&gt;Food and Drink&gt;Restaurants Â» Dining Guides</t>
  </si>
  <si>
    <t>cnn.com</t>
  </si>
  <si>
    <t>Index Exchange</t>
  </si>
  <si>
    <t>Online Behavior&gt;United States&gt;Validated Demographic Â» Gender and Age Combined&gt;Females 25-44</t>
  </si>
  <si>
    <t>Miami-Ft. Lauderdale, Florida</t>
  </si>
  <si>
    <t>Online Behavior&gt;United States&gt;Intent Â» Travel&gt;Flights</t>
  </si>
  <si>
    <t>300x50</t>
  </si>
  <si>
    <t>Transactional Â» Q3 Casual Dining Restaurant Goers</t>
  </si>
  <si>
    <t>San Francisco, California</t>
  </si>
  <si>
    <t>Online Behavior&gt;United States&gt;Finance Â» Credit and Lending&gt;Loans</t>
  </si>
  <si>
    <t>ebay.com</t>
  </si>
  <si>
    <t>US Â» Reach Â» Propensity Models Â» Hobbies and Interest Â» Sports Â» Avid Runners</t>
  </si>
  <si>
    <t>Lansing, Michigan</t>
  </si>
  <si>
    <t>Online Behavior&gt;United States&gt;Finance Â» Accounting and Auditing&gt;Accounting and Auditing</t>
  </si>
  <si>
    <t>Yahoo Exchange</t>
  </si>
  <si>
    <t>Online Behavior&gt;United States&gt;Intent Â» Shopping&gt;CPG» Home Care</t>
  </si>
  <si>
    <t>Tampa-St Petersburg (Sarasota), Florida</t>
  </si>
  <si>
    <t>weather.com</t>
  </si>
  <si>
    <t>Travel and Tourism Â» Interest (Affinity) Â» Products Â» Hotels and Lodging</t>
  </si>
  <si>
    <t>Smart RTB+ (Smartadserver)</t>
  </si>
  <si>
    <t>Online Behavior&gt;United States&gt;Autos and Vehicles&gt;Electric and Plug-In Vehicles</t>
  </si>
  <si>
    <t>Online Behavior&gt;United States&gt;Validated Demographic Â» Gender and Age Combined&gt;Females 25-64</t>
  </si>
  <si>
    <t>Ft. Myers-Naples, Florida</t>
  </si>
  <si>
    <t>Online Behavior&gt;United States&gt;Autos and Vehicles Â» Brands&gt;Bugatti</t>
  </si>
  <si>
    <t>Jacksonville, Florida</t>
  </si>
  <si>
    <t>mobileposse.com</t>
  </si>
  <si>
    <t>Online Behavior&gt;United States&gt;Life Event&gt;College Graduation</t>
  </si>
  <si>
    <t>Online Behavior&gt;United States&gt;Finance Â» Financial Planning and Management&gt;Financial Planning and Management</t>
  </si>
  <si>
    <t>Online Behavior&gt;United States&gt;Life Event&gt;Movers</t>
  </si>
  <si>
    <t>Grand Rapids-Kalamazoo, Michigan</t>
  </si>
  <si>
    <t>Online Behavior&gt;United States&gt;Beauty and Fitness&gt;Weight Loss</t>
  </si>
  <si>
    <t>Online Behavior&gt;United States&gt;Beauty and Fitness&gt;Hair Care</t>
  </si>
  <si>
    <t>Online Behavior&gt;United States&gt;Sports&gt;Winter Sports Â» Ice Skating</t>
  </si>
  <si>
    <t>Online Behavior&gt;United States&gt;Intent Â» Auto Buyers Â» Car Make&gt;Peugeot</t>
  </si>
  <si>
    <t>usatoday.com</t>
  </si>
  <si>
    <t>Media and Entertainment Â» Audio and Video Streaming Â» Streaming Audio</t>
  </si>
  <si>
    <t>cnbc.com</t>
  </si>
  <si>
    <t>Online Behavior&gt;United States&gt;Validated Demographic Â» Gender and Age Combined&gt;Females 18-64</t>
  </si>
  <si>
    <t>Media and Entertainment</t>
  </si>
  <si>
    <t>Online Behavior&gt;United States&gt;Beauty and Fitness&gt;Fitness</t>
  </si>
  <si>
    <t>Online Behavior&gt;United States&gt;Finance Â» Credit and Lending&gt;Credit Cards</t>
  </si>
  <si>
    <t>Travel and Tourism Â» Interest (Affinity) Â» Destinations Â» Africa</t>
  </si>
  <si>
    <t>Online Behavior&gt;United States&gt;Finance Â» Investing&gt;Stocks and Bonds</t>
  </si>
  <si>
    <t>Online Behavior&gt;United States&gt;Life Event&gt;New Parent</t>
  </si>
  <si>
    <t>OnAudience Â» Interest Â» News Â» Local News</t>
  </si>
  <si>
    <t>foxnews.com</t>
  </si>
  <si>
    <t>OnAudience Â» Interest Â» Shopping Â» Luxurious Brands</t>
  </si>
  <si>
    <t>Online Behavior&gt;United States&gt;The Changing Consumer&gt;Happy at Home</t>
  </si>
  <si>
    <t>US Â» B2B Â» B2B Decision Maker Responsibilities Â» Purchasing Utilities</t>
  </si>
  <si>
    <t>accuweather.com</t>
  </si>
  <si>
    <t>OnAudience Â» Interest Â» Technology</t>
  </si>
  <si>
    <t>Mobile - US Â» Device Ownership Â» Smartphones Â» ZTE</t>
  </si>
  <si>
    <t>Windows PC</t>
  </si>
  <si>
    <t>OnAudience Â» Interest Â» Arts &amp; Entertainment Â» Music Lovers</t>
  </si>
  <si>
    <t>US Â» AUTO Â» Decision Maker for Auto Purchase Â» I was the sole decision-maker</t>
  </si>
  <si>
    <t>US Â» Brand Propensities Â» Health Â» Beauty and Cosmetics Â» SkinCareRx Buyer Propensity</t>
  </si>
  <si>
    <t>Online Behavior&gt;United States&gt;Travel&gt;Specialty Travel Â» Adventure Travel</t>
  </si>
  <si>
    <t>biblegateway.com</t>
  </si>
  <si>
    <t>Online Behavior&gt;United States&gt;Intent Â» Services&gt;Pets</t>
  </si>
  <si>
    <t>Memphis, Tennessee</t>
  </si>
  <si>
    <t>Online Behavior&gt;United States&gt;Life Event&gt;University Graduation</t>
  </si>
  <si>
    <t>US Â» Brand Propensities Â» Media and Entertainment Â» Steam Community Buyer Propensity</t>
  </si>
  <si>
    <t>Online Behavior&gt;United States&gt;Autos and Vehicles Â» Brands&gt;Ford</t>
  </si>
  <si>
    <t>insider.com</t>
  </si>
  <si>
    <t>Mobile - US Â» Automotive Â» Vehicle Ownership Â» yes</t>
  </si>
  <si>
    <t>US Â» B2B Â» B2B Decision Maker Responsibilities Â» Marketing or Market Research</t>
  </si>
  <si>
    <t>fortune.com</t>
  </si>
  <si>
    <t>Online Behavior&gt;United States&gt;Hobbies and Leisure&gt;Clubs and Organizations</t>
  </si>
  <si>
    <t>Online Behavior&gt;United States&gt;Sports&gt;Individual Sports Â» Running and Walking</t>
  </si>
  <si>
    <t>Online Behavior&gt;United States&gt;Autos and Vehicles&gt;Boats and Watercraft</t>
  </si>
  <si>
    <t>fandomwire.com</t>
  </si>
  <si>
    <t>US Â» Brand Propensities Â» Travel Â» Choice Hotels Buyer Propensity</t>
  </si>
  <si>
    <t>Online Behavior&gt;United States&gt;Intent Â» Travel&gt;Future Travel</t>
  </si>
  <si>
    <t>US Â» Interest Propensities Â» Insurance Â» MassMutual</t>
  </si>
  <si>
    <t>bbc.com</t>
  </si>
  <si>
    <t>Online Behavior&gt;United States&gt;Internet and Telecom&gt;Web Portals</t>
  </si>
  <si>
    <t>Online Behavior&gt;United States&gt;B2B Â» Occupation&gt;ElectricalEngineer</t>
  </si>
  <si>
    <t>miamiherald.com</t>
  </si>
  <si>
    <t>Online Behavior&gt;United States&gt;Intent Â» Shopping&gt;Auto Parts Stores</t>
  </si>
  <si>
    <t>US Â» Interest Propensities Â» Music Â» Classic Rock</t>
  </si>
  <si>
    <t>screenrant.com</t>
  </si>
  <si>
    <t>Online Behavior&gt;United States&gt;Finance Â» Banking&gt;Banking</t>
  </si>
  <si>
    <t>Online Behavior&gt;United States&gt;News&gt;Technology News</t>
  </si>
  <si>
    <t>femanin.com</t>
  </si>
  <si>
    <t>Transactional Â» Q2 Graduation Gift Shoppers</t>
  </si>
  <si>
    <t>Online Behavior&gt;United States&gt;Intent Â» Shopping&gt;Fashion</t>
  </si>
  <si>
    <t>Online Behavior&gt;United States&gt;Arts and Entertainment&gt;Events and Listings Â» Food and Beverage Events</t>
  </si>
  <si>
    <t>mail.aol.com</t>
  </si>
  <si>
    <t>US Â» Brand Propensities Â» Health Â» Beauty and Cosmetics Â» ULTA Buyer Propensity</t>
  </si>
  <si>
    <t>Toledo, Ohio</t>
  </si>
  <si>
    <t>Online Behavior&gt;United States&gt;Travel&gt;Tourist Destinations Â» Regional Parks and Gardens</t>
  </si>
  <si>
    <t>Online Behavior&gt;United States&gt;Beauty and Fitness&gt;Spas and Beauty Services Â» Massage Therapy</t>
  </si>
  <si>
    <t>Online Behavior&gt;United States&gt;Validated Demographic Â» Age&gt;25-34</t>
  </si>
  <si>
    <t>Panama City, Florida</t>
  </si>
  <si>
    <t>Real Estate Â» Rent Amount Â» Sensible  Rentals ($1000-$3000)</t>
  </si>
  <si>
    <t>drugs.com</t>
  </si>
  <si>
    <t>Online Behavior&gt;United States&gt;Games&gt;Educational Games</t>
  </si>
  <si>
    <t>forbes.com</t>
  </si>
  <si>
    <t>Online Behavior&gt;United States&gt;Validated Demographic Â» Gender and Age Combined&gt;Females 55-64</t>
  </si>
  <si>
    <t>news.yahoo.com</t>
  </si>
  <si>
    <t>US Interest Â» Computers</t>
  </si>
  <si>
    <t>Apple PC</t>
  </si>
  <si>
    <t>Online Behavior&gt;United States&gt;Intent Â» Auto Buyers Â» Category&gt;Sport Cars</t>
  </si>
  <si>
    <t>Augusta, Georgia</t>
  </si>
  <si>
    <t>people.com</t>
  </si>
  <si>
    <t>US Â»Green Consumer Audience</t>
  </si>
  <si>
    <t>US Travel Â» Likely Business Travel Â» Number of Nights Stayed Â» 0 Nights</t>
  </si>
  <si>
    <t>Online Behavior&gt;United States&gt;Finance Â» Investing&gt;Investing</t>
  </si>
  <si>
    <t>Online Behavior&gt;United States&gt;Home and Garden&gt;Home Furnishings</t>
  </si>
  <si>
    <t>Online Behavior&gt;United States&gt;Finance Â» Financial Planning and Management&gt;Inheritance and Estate Planning</t>
  </si>
  <si>
    <t>investing.com</t>
  </si>
  <si>
    <t>Online Behavior&gt;United States&gt;Intent Â» Auto Buyers Â» Car Make&gt;Dodge</t>
  </si>
  <si>
    <t>Champaign &amp; Springfield-Decatur,Illinois</t>
  </si>
  <si>
    <t>historycollection.com</t>
  </si>
  <si>
    <t>OnAudience Â» Demography</t>
  </si>
  <si>
    <t>merriam-webster.com/dictionary</t>
  </si>
  <si>
    <t>Media and Entertainment Â» Connected TV and Over-the-Top (CTV and OTT)</t>
  </si>
  <si>
    <t>streetinsider.com</t>
  </si>
  <si>
    <t>Real Estate Â» Lot Size Â» Cozy Outdoor Living Space (Less than  an Acre)</t>
  </si>
  <si>
    <t>Online Behavior&gt;United States&gt;Finance Â» Insurance&gt;Home Insurance</t>
  </si>
  <si>
    <t>US Â» Brand Propensities Â» Automotive Â» Tirerack.com Buyer Propensity</t>
  </si>
  <si>
    <t>Online Behavior&gt;United States&gt;The Changing Consumer&gt;Trending TV Shows</t>
  </si>
  <si>
    <t>Mobile - US Â» Demographics Â» Education Â» High Education Achievement</t>
  </si>
  <si>
    <t>US Â» Interest Propensities Â» TV and Movies Â» Drama</t>
  </si>
  <si>
    <t>OnAudience Â» Interest Â» Social life</t>
  </si>
  <si>
    <t>Online Behavior&gt;United States&gt;Intent Â» Services&gt;Photography</t>
  </si>
  <si>
    <t>Online Behavior&gt;United States&gt;Autos and Vehicles Â» Brands&gt;BMW</t>
  </si>
  <si>
    <t>US Â» Brand Propensities Â» Apparel Â» Bare Necessities Buyer Propensity</t>
  </si>
  <si>
    <t>Online Behavior&gt;United States&gt;News&gt;Business News</t>
  </si>
  <si>
    <t>finance.yahoo.com</t>
  </si>
  <si>
    <t>Online Behavior&gt;United States&gt;Validated Demographic Â» Gender and Age Combined&gt;Males 25-64</t>
  </si>
  <si>
    <t>Mobile - US Â» Food Â» Restaurant Â» Brand Â» Chilis</t>
  </si>
  <si>
    <t>Online Behavior&gt;United States&gt;Arts and Entertainment&gt;Events and Listings Â» Film Festivals</t>
  </si>
  <si>
    <t>US Â» B2B Â» Purchase DM Â» Technology Services, Hardware and Â» or Software Â» I am the sole decision maker</t>
  </si>
  <si>
    <t>phys.org</t>
  </si>
  <si>
    <t>GumGum</t>
  </si>
  <si>
    <t>Lotame Â» Personal Finance Â» Estate Planning</t>
  </si>
  <si>
    <t>businessinsider.com</t>
  </si>
  <si>
    <t>Online Behavior&gt;United States&gt;Intent Â» Auto Buyers Â» Type&gt;Luxury</t>
  </si>
  <si>
    <t>al.com</t>
  </si>
  <si>
    <t>Online Behavior&gt;United States&gt;Beauty and Fitness&gt;Spas and Beauty Services</t>
  </si>
  <si>
    <t>Online Behavior&gt;United States&gt;B2B Â» Occupation&gt;Student</t>
  </si>
  <si>
    <t>Media and Entertainment Â» Television (TV) Â» Viewership Â» TV Genres Â» Drama</t>
  </si>
  <si>
    <t>Orlando-Daytona Beach, Florida</t>
  </si>
  <si>
    <t>semana.com</t>
  </si>
  <si>
    <t>Lotame Â» Social Media</t>
  </si>
  <si>
    <t>Online Behavior&gt;United States&gt;Travel&gt;Travel</t>
  </si>
  <si>
    <t>Online Behavior&gt;United States&gt;Beauty and Fitness&gt;Face and Body Care Â» Skin and Nail Care</t>
  </si>
  <si>
    <t>apnews.com</t>
  </si>
  <si>
    <t>US Â» Interest Propensities Â» Activities and Interests Â» National News</t>
  </si>
  <si>
    <t>Media &amp; Entertainment</t>
  </si>
  <si>
    <t>US Â» Multibuyer Behaviors Â» Club Â» Continuity Buyers</t>
  </si>
  <si>
    <t>zdnet.com</t>
  </si>
  <si>
    <t>Mobile - US Â» Demographics Â» Finance Â» Rent Value Â» Lowest Rent Value</t>
  </si>
  <si>
    <t>Charleston, South Carolina</t>
  </si>
  <si>
    <t>Online Behavior&gt;United States&gt;Sports&gt;Individual Sports Â» Skate Sports</t>
  </si>
  <si>
    <t>medical-news.org</t>
  </si>
  <si>
    <t>Online Behavior&gt;United States&gt;Finance Â» Insurance&gt;Travel Insurance</t>
  </si>
  <si>
    <t>Tech Enthusiasts</t>
  </si>
  <si>
    <t>OnAudience Â» Intent Â» Animals &amp; Pet</t>
  </si>
  <si>
    <t>a-z-animals.com</t>
  </si>
  <si>
    <t>Online Behavior&gt;United States&gt;Sports&gt;Team Sports Â» American Football</t>
  </si>
  <si>
    <t>Online Behavior&gt;United States&gt;Autos and Vehicles Â» Brands&gt;Mercedes-Benz</t>
  </si>
  <si>
    <t>Online Behavior&gt;United States&gt;The Changing Consumer&gt;Delivery Services and Quick Service Restaurants</t>
  </si>
  <si>
    <t>US Â» Interest Propensities Â» Brands Â» Quick Service Restaurants</t>
  </si>
  <si>
    <t>Media and Entertainment Â» Events and Attractions</t>
  </si>
  <si>
    <t>Flint-Saginaw-Bay City, Michigan</t>
  </si>
  <si>
    <t>motor-junkie.com</t>
  </si>
  <si>
    <t>US Â» Brand Propensities Â» Kids Products Â» Disney Buyer Propensity</t>
  </si>
  <si>
    <t>nbcchicago.com</t>
  </si>
  <si>
    <t>US Â» Interest Propensities Â» Music Â» Hip Hop and Rap</t>
  </si>
  <si>
    <t>Online Behavior&gt;United States&gt;Autos and Vehicles&gt;Vehicle Shopping Â» Fuel Economy and Gas Prices</t>
  </si>
  <si>
    <t>Online Behavior&gt;United States&gt;Sports&gt;Sports League Â» NBA</t>
  </si>
  <si>
    <t>Online Behavior&gt;United States&gt;The Changing Consumer&gt;Virtual Events</t>
  </si>
  <si>
    <t>Online Behavior&gt;United States&gt;Finance Â» Banking&gt;ATMs and Branch Locations</t>
  </si>
  <si>
    <t>dailyhodl.com</t>
  </si>
  <si>
    <t>Mobile - US Â» Travel Â» Activity Â» Ski Travelers</t>
  </si>
  <si>
    <t>hindustantimes.com</t>
  </si>
  <si>
    <t>Online Behavior&gt;United States&gt;Travel&gt;Air Travel Â» Airport Parking and Transportation</t>
  </si>
  <si>
    <t>Online Behavior&gt;United States&gt;Autos and Vehicles&gt;Hybrid and Alternative Vehicles</t>
  </si>
  <si>
    <t>Online Behavior&gt;United States&gt;Life Event&gt;Engagement</t>
  </si>
  <si>
    <t>US Â» Interest Propensities Â» Brands Â» Big Box Retail</t>
  </si>
  <si>
    <t>yellowpages.com</t>
  </si>
  <si>
    <t>US Â» Reach Â» Propensity Models Â» Hobbies and Interest Â» Pets Â» Pet Enthusiast</t>
  </si>
  <si>
    <t>OnAudience Â» Intent Â» Sporting Goods Â» Team Sports</t>
  </si>
  <si>
    <t>cbssports.com</t>
  </si>
  <si>
    <t>US Â» Reach Â» Propensity Models Â» Hobbies and Interest Â» Food and Drinks Â» Coffee Connoisseurs</t>
  </si>
  <si>
    <t>Online Behavior&gt;United States&gt;The Changing Consumer&gt;CPG</t>
  </si>
  <si>
    <t>realtor.com</t>
  </si>
  <si>
    <t>Online Behavior&gt;United States&gt;Intent Â» Auto Buyers Â» Car Make&gt;Ford</t>
  </si>
  <si>
    <t>Online Behavior&gt;United States&gt;Life Event&gt;Wedding Planning</t>
  </si>
  <si>
    <t>Online Behavior&gt;United States&gt;Beauty and Fitness&gt;Fitness Â» Yoga and Pilates</t>
  </si>
  <si>
    <t>Online Behavior&gt;United States&gt;Hobbies and Leisure&gt;Special Occasions Â» Holidays and Seasonal Events</t>
  </si>
  <si>
    <t>US Â» Reach Â» Propensity Models Â» Hobbies and Interest Â» Sports Â» Fitness Enthusiasts</t>
  </si>
  <si>
    <t>US Â» Sociodemographic Â» P$YCLE Premier Lifestage Â» F4 Working-Class USA</t>
  </si>
  <si>
    <t>US Â» Brand Propensities Â» Apparel Â» TOMS Buyer Propensity</t>
  </si>
  <si>
    <t>US Â» Brand Propensities Â» Travel Â» Hotel Tonight Buyer Propensity</t>
  </si>
  <si>
    <t>Online Behavior&gt;United States&gt;Intent Â» Auto Buyers Â» Type&gt;SUV</t>
  </si>
  <si>
    <t>homeaddict.io</t>
  </si>
  <si>
    <t>Online Behavior&gt;United States&gt;Validated Demographic Â» Gender and Age Combined&gt;Males 25 or older</t>
  </si>
  <si>
    <t>Online Behavior&gt;United States&gt;Validated Demographic Â» Gender&gt;Male</t>
  </si>
  <si>
    <t>kbb.com</t>
  </si>
  <si>
    <t>Online Behavior&gt;United States&gt;Validated Demographic Â» Age&gt;25-54</t>
  </si>
  <si>
    <t>Online Behavior&gt;United States&gt;Validated Demographic Â» Gender and Age Combined&gt;Females 35-44</t>
  </si>
  <si>
    <t>espn.com</t>
  </si>
  <si>
    <t>US Â» Brand Propensities Â» Big Box Dollar General Buyer Propensity</t>
  </si>
  <si>
    <t>US Demographic Â» Preferred Language Â» Non-Hispanic</t>
  </si>
  <si>
    <t>wikihow.com</t>
  </si>
  <si>
    <t>Online Behavior&gt;United States&gt;The Changing Consumer&gt;Streaming Services</t>
  </si>
  <si>
    <t>sports.yahoo.com</t>
  </si>
  <si>
    <t>Real Estate Â» Sale Activity Â» Just Sold</t>
  </si>
  <si>
    <t>Lafayette, Indiana</t>
  </si>
  <si>
    <t>Real Estate Â» Occupancy Â» Owner Occupied</t>
  </si>
  <si>
    <t>US Â»Connected Impulse-Shopper Audience</t>
  </si>
  <si>
    <t>boxrox.com</t>
  </si>
  <si>
    <t>Online Behavior&gt;United States&gt;Travel&gt;Hotels and Accommodations</t>
  </si>
  <si>
    <t>Online Behavior&gt;United States&gt;Jobs and Education&gt;Education</t>
  </si>
  <si>
    <t>US Â» B2B Â» B2B Decision Maker Responsibilities Â» Internet Services</t>
  </si>
  <si>
    <t>Lotame Â» Offline CPG Purchasers Â» Product Segment</t>
  </si>
  <si>
    <t>Lotame Â» Travel Â» Thanksgiving Travel</t>
  </si>
  <si>
    <t>Cincinnati, Ohio</t>
  </si>
  <si>
    <t>Travel and Tourism Â» Interest (Affinity) Â» Destinations Â» Europe</t>
  </si>
  <si>
    <t>US Â» Demographic Â» Family Â» Households with 2 Adults</t>
  </si>
  <si>
    <t>US Â» Reach Â» Propensity Models Â» Real Estate Â» Mortgage Amount Â» $120,000-$159,999</t>
  </si>
  <si>
    <t>m.timesofindia.com</t>
  </si>
  <si>
    <t>Sovrn</t>
  </si>
  <si>
    <t>US Â» Interest Propensities Â» Activities and Interests Â» Fashion</t>
  </si>
  <si>
    <t>Mobile - US Â» Travel Â» Destination Â» International Travelers Â» yes</t>
  </si>
  <si>
    <t>Lotame Â» Technology Â» Mobile Phones</t>
  </si>
  <si>
    <t>Online Behavior&gt;United States&gt;Travel&gt;Travel Agencies and Services</t>
  </si>
  <si>
    <t>Online Behavior&gt;United States&gt;Internet and Telecom&gt;Web Apps and Online Tools</t>
  </si>
  <si>
    <t>Online Behavior&gt;United States&gt;Hobbies and Leisure&gt;Crafts</t>
  </si>
  <si>
    <t>Online Behavior&gt;United States&gt;Travel&gt;Tourist Destinations Â» Zoos-Aquariums-Preserves</t>
  </si>
  <si>
    <t>Online Behavior&gt;United States&gt;Intent Â» Shopping&gt;Consumer Electronics Â» Televisions/TVs</t>
  </si>
  <si>
    <t>Online Behavior&gt;United States&gt;Autos and Vehicles Â» Brands&gt;Mitsubishi</t>
  </si>
  <si>
    <t>Online Behavior&gt;United States&gt;Sports&gt;College Sports</t>
  </si>
  <si>
    <t>Online Behavior&gt;United States&gt;Intent Â» Shopping&gt;Office Supplies</t>
  </si>
  <si>
    <t>Online Behavior&gt;United States&gt;The Changing Consumer&gt;Natural Disasters</t>
  </si>
  <si>
    <t>US Â» Reach Â» Propensity Models Â» Hobbies and Interest Â» Sports Â» NFL Enthusiast</t>
  </si>
  <si>
    <t>medicalnewstoday.com</t>
  </si>
  <si>
    <t>US Â» Reach Â» Propensity Models Â» Household Consumer Expenditures Â» Lawn and Garden</t>
  </si>
  <si>
    <t>OnAudience Â» Interest Â» News Â» International News</t>
  </si>
  <si>
    <t>Tallahassee, Florida-Thomasville, Georgia</t>
  </si>
  <si>
    <t>US Â»Rural Improvement Fanatic</t>
  </si>
  <si>
    <t>Online Behavior&gt;United States&gt;Food and Drink&gt;Cooking and Recipes</t>
  </si>
  <si>
    <t>US Â» Reach Â» Sociodemographic Â» Age Â» 45-49</t>
  </si>
  <si>
    <t>US Â» Reach Â» Propensity Models Â» Hobbies and Interest Â» Sports Â» Fishing</t>
  </si>
  <si>
    <t>US Â» Sociodemographic Â» P$YCLE Premier Lifestage Â» Y3 Fiscal Fledglings</t>
  </si>
  <si>
    <t>US Â» Interest Propensities Â» TV and Movies Â» Network TV</t>
  </si>
  <si>
    <t>US Â» Financially in Charge Â» Performance Score: Top 25%</t>
  </si>
  <si>
    <t>Tri-Cities, Tennessee-Virginia</t>
  </si>
  <si>
    <t>Online Behavior&gt;United States&gt;Autos and Vehicles Â» Brands&gt;Kia</t>
  </si>
  <si>
    <t>Online Behavior&gt;United States&gt;Autos and Vehicles Â» Brands&gt;Maybach</t>
  </si>
  <si>
    <t>insidethemagic.net</t>
  </si>
  <si>
    <t>US Â» Reach Â» Propensity Models Â» Hobbies and Interest Â» Sports Â» Boating</t>
  </si>
  <si>
    <t>Media and Entertainment Â» Movies Â» Enthusiasts</t>
  </si>
  <si>
    <t>wsvn.com</t>
  </si>
  <si>
    <t>Online Behavior&gt;United States&gt;Intent Â» Auto Buyers Â» Car Make&gt;Hyundai</t>
  </si>
  <si>
    <t>daily-choices.com</t>
  </si>
  <si>
    <t>Online Behavior&gt;United States&gt;Food and Drink&gt;Food and Grocery Retailers</t>
  </si>
  <si>
    <t>Mobile - US Â» Device Ownership Â» Smartphones Â» iOS (Apple) Â» yes</t>
  </si>
  <si>
    <t>Yieldmo</t>
  </si>
  <si>
    <t>US Demographic Â» Age Â» Specialty Age Range Â» 21+</t>
  </si>
  <si>
    <t>Mobile - US Â» Demographics Â» Education Â» Lowest Education Achievement</t>
  </si>
  <si>
    <t>essentiallysports.com</t>
  </si>
  <si>
    <t>US Â»Price-Driven Traditionalist Audience</t>
  </si>
  <si>
    <t>Online Behavior&gt;United States&gt;Sports&gt;Sporting Goods</t>
  </si>
  <si>
    <t>calculator.net</t>
  </si>
  <si>
    <t>Online Behavior&gt;United States&gt;Autos and Vehicles Â» Brands&gt;Acura</t>
  </si>
  <si>
    <t>Online Behavior&gt;United States&gt;The Changing Consumer&gt;Pet Adoption</t>
  </si>
  <si>
    <t>US Â» Reach Â» Propensity Models Â» Young Adult Clothing Shoppers</t>
  </si>
  <si>
    <t>sciencesensei.com</t>
  </si>
  <si>
    <t>OnAudience Â» Interest Â» Personal Finance</t>
  </si>
  <si>
    <t>Travel and Tourism Â» Interest (Affinity) Â» Products Â» Air Travel</t>
  </si>
  <si>
    <t>Online Behavior&gt;United States&gt;Travel&gt;Tourist Destinations</t>
  </si>
  <si>
    <t>Online Behavior&gt;United States&gt;Beauty and Fitness&gt;Face and Body Care Â» Unwanted Body and Facial Hair Removal</t>
  </si>
  <si>
    <t>Online Behavior&gt;United States&gt;B2B Â» Occupation&gt;Broker</t>
  </si>
  <si>
    <t>tastesbetterfromscratch.com</t>
  </si>
  <si>
    <t>US Â» Reach Â» Propensity Models Â» Hobbies and Interest Â» Sports Â» Hunting Enthusiasts</t>
  </si>
  <si>
    <t>ranker.com</t>
  </si>
  <si>
    <t>Retail</t>
  </si>
  <si>
    <t>South Bend-Elkhart, Indiana</t>
  </si>
  <si>
    <t>OnAudience Â» Interest Â» News</t>
  </si>
  <si>
    <t>US Â» B2B Â» B2B Decision Maker Responsibilities Â» Computer Software</t>
  </si>
  <si>
    <t>Online Behavior&gt;United States&gt;Autos and Vehicles Â» Brands&gt;Mini</t>
  </si>
  <si>
    <t>signupgenius.com</t>
  </si>
  <si>
    <t>Online Behavior&gt;United States&gt;The Changing Consumer&gt;Direct to Consumer</t>
  </si>
  <si>
    <t>cheezburger.com</t>
  </si>
  <si>
    <t>Online Behavior&gt;United States&gt;Law and Government&gt;Public Safety</t>
  </si>
  <si>
    <t>Online Behavior&gt;United States&gt;Autos and Vehicles Â» Brands&gt;Ferrari</t>
  </si>
  <si>
    <t>Online Behavior&gt;United States&gt;Intent Â» Auto Buyers Â» Type&gt;Sedan</t>
  </si>
  <si>
    <t>US Â» Reach Â» Propensity Models Â» Lifestyle Â» Charities Â» Contributes by Volunteering</t>
  </si>
  <si>
    <t>sneakertoast.com</t>
  </si>
  <si>
    <t>US Â» Reach Â» Propensity Models Â» Hobbies and Interest Â» Sports Â» NHL Enthusiast</t>
  </si>
  <si>
    <t>US Â» B2B Â» B2B Decision Maker Responsibilities Â» Financial Services</t>
  </si>
  <si>
    <t>androidpolice.com</t>
  </si>
  <si>
    <t>US Â» Response Performance Â» Direct Marketing Responders</t>
  </si>
  <si>
    <t>baseball-reference.com</t>
  </si>
  <si>
    <t>US Â» B2B Â» Purchase DM Â» Technology Services, Hardware and Â» or Software Â» I have no input into the final decision</t>
  </si>
  <si>
    <t>Travel and Tourism Â» In-Market</t>
  </si>
  <si>
    <t>US Â» Interest Propensities Â» Insurance Â» Transamerica</t>
  </si>
  <si>
    <t>US Â» Interest Propensities Â» Activities and Interests Â» College Life</t>
  </si>
  <si>
    <t>Jackson, Mississippi</t>
  </si>
  <si>
    <t>US Â» Brand Propensities Â» Restaurants and Dining Â» Seamless Buyer Propensity</t>
  </si>
  <si>
    <t>US Financial Â» Likely Bank Account and Services Â» Saving Account Â» Personal or Join (Financial)</t>
  </si>
  <si>
    <t>Shreveport, Louisiana</t>
  </si>
  <si>
    <t>Online Behavior&gt;United States&gt;Finance Â» Insurance&gt;Insurance</t>
  </si>
  <si>
    <t>Online Behavior&gt;United States&gt;Arts and Entertainment&gt;Events and Listings Â» Bars, Clubs and Nightlife</t>
  </si>
  <si>
    <t>activebeat.com</t>
  </si>
  <si>
    <t>Online Behavior&gt;United States&gt;News&gt;Newspapers</t>
  </si>
  <si>
    <t>Online Behavior&gt;United States&gt;Finance Â» Investing&gt;Derivatives</t>
  </si>
  <si>
    <t>Online Behavior&gt;United States&gt;Autos and Vehicles Â» Brands&gt;Vauxhall-Opel</t>
  </si>
  <si>
    <t>wsmv.com</t>
  </si>
  <si>
    <t>Online Behavior&gt;United States&gt;Intent Â» Shopping&gt;Consumer Electronics Â» Video Game Consoles</t>
  </si>
  <si>
    <t>factinate.com</t>
  </si>
  <si>
    <t>Online Behavior&gt;United States&gt;Validated Demographic Â» Gender and Age Combined&gt;Females 45-54</t>
  </si>
  <si>
    <t>US Â» Reach Â» Propensity Models Â» Hobbies and Interest Â» Sports Â» Plays Tennis</t>
  </si>
  <si>
    <t>rollingstone.com</t>
  </si>
  <si>
    <t>US Â» AUTO Â» Primary Vehicle Â» New or Used Â» Pre-owned</t>
  </si>
  <si>
    <t>billboard.com</t>
  </si>
  <si>
    <t>OnAudience Â» Intent Â» Software Â» Video Game Software</t>
  </si>
  <si>
    <t>Travel and Tourism Â» Interest (Affinity) Â» Destinations Â» Latin America</t>
  </si>
  <si>
    <t>factable.com</t>
  </si>
  <si>
    <t>Online Behavior&gt;United States&gt;Beauty and Fitness&gt;Fashion and Style</t>
  </si>
  <si>
    <t>Online Behavior&gt;United States&gt;Intent Â» Auto Buyers Â» Car Make&gt;Audi Q</t>
  </si>
  <si>
    <t>Online Behavior&gt;United States&gt;Validated Demographic Â» Gender and Age Combined&gt;Females 18-54</t>
  </si>
  <si>
    <t>Online Behavior&gt;United States&gt;Intent Â» Travel&gt;Luxury Travel</t>
  </si>
  <si>
    <t>Huntsville-Decatur (Florence), Alabama</t>
  </si>
  <si>
    <t>seedsgames.com</t>
  </si>
  <si>
    <t>Online Behavior&gt;United States&gt;Sports&gt;Fantasy Sports</t>
  </si>
  <si>
    <t>cargurus.com</t>
  </si>
  <si>
    <t>Online Behavior&gt;United States&gt;Travel&gt;Business Travel</t>
  </si>
  <si>
    <t>marca.com</t>
  </si>
  <si>
    <t>Online Behavior&gt;United States&gt;Validated Demographic Â» Gender and Age Combined&gt;Males 25-44</t>
  </si>
  <si>
    <t>cars.com</t>
  </si>
  <si>
    <t>Online Behavior&gt;United States&gt;Autos and Vehicles Â» Brands&gt;GM-Daewoo</t>
  </si>
  <si>
    <t>Rockford, Illinois</t>
  </si>
  <si>
    <t>Online Behavior&gt;United States&gt;Travel&gt;Travel Guides and Travelogues</t>
  </si>
  <si>
    <t>Telecommunications (Telco)</t>
  </si>
  <si>
    <t>Birmingham, Alabama</t>
  </si>
  <si>
    <t>US Â» Reach Â» Propensity Models Â» Hobbies and Interest Â» Food and Drinks Â» Eats at Family Restaurants</t>
  </si>
  <si>
    <t>poshland.com</t>
  </si>
  <si>
    <t>US Â» Interest Propensities Â» Food and Drink Â» American Cuisine</t>
  </si>
  <si>
    <t>US Â» Reach Â» Propensity Models Â» Hobbies and Interest Â» Music Â» Listens to Country Music</t>
  </si>
  <si>
    <t>microsoftcasualgames.com</t>
  </si>
  <si>
    <t>PulsePoint</t>
  </si>
  <si>
    <t>US Â» Interest Propensities Â» Insurance Â» New York Life</t>
  </si>
  <si>
    <t>nytimes.com</t>
  </si>
  <si>
    <t>Mobile - US Â» Gamers Â» Online Â» Users</t>
  </si>
  <si>
    <t>OnAudience Â» Interest Â» Pets</t>
  </si>
  <si>
    <t>soaps.sheknows.com</t>
  </si>
  <si>
    <t>US Â» Interest Propensities Â» Insurance Â» Northwestern Mutual</t>
  </si>
  <si>
    <t>Purchase-Based Â» Categories Â» Office Supplies Buyers</t>
  </si>
  <si>
    <t>Sharethrough</t>
  </si>
  <si>
    <t>Online Behavior&gt;United States&gt;Home and Garden&gt;Home Appliances</t>
  </si>
  <si>
    <t>Online Behavior&gt;United States&gt;Hobbies and Leisure&gt;Water Activities</t>
  </si>
  <si>
    <t>Online Behavior&gt;United States&gt;Validated Demographic Â» Gender and Age Combined&gt;Males 25-54</t>
  </si>
  <si>
    <t>US Â» Reach Â» Propensity Models Â» Travel Â» High Frequency Travel Â» Foreign Vacationer</t>
  </si>
  <si>
    <t>nsfas-applications.co.za</t>
  </si>
  <si>
    <t>US Â» Reach Â» Propensity Models Â» Finance Â» Credit Â» Debit Card Â» Major Credit Card User</t>
  </si>
  <si>
    <t>OnAudience Â» Interest Â» Careers</t>
  </si>
  <si>
    <t>OnAudience Â» Intent Â» Sporting Goods</t>
  </si>
  <si>
    <t>US Home Â» Dwelling Type Â» Single-Family</t>
  </si>
  <si>
    <t>gamerant.com</t>
  </si>
  <si>
    <t>Media and Entertainment Â» Sports and Recreational Activities Â» Interest (Affinity) Â» Olympics Â» Winter Olympics</t>
  </si>
  <si>
    <t>Lotame Â» Online Shoppers Â» Online Shoppers</t>
  </si>
  <si>
    <t>sciencealert.com</t>
  </si>
  <si>
    <t>Mobile - US Â» Food Â» Restaurant Â» Brand Â» Five Guys</t>
  </si>
  <si>
    <t>Media Source Â» LBDigital Â» Open For Business B2B</t>
  </si>
  <si>
    <t>tomsguide.com</t>
  </si>
  <si>
    <t>US Financial Â» Estimated Discretionary Spending Â» Greater than $2,500</t>
  </si>
  <si>
    <t>Lotame Â» Travel Â» Winter Holiday Travel</t>
  </si>
  <si>
    <t>Online Behavior&gt;United States&gt;B2B Â» Occupation&gt;Entrepreneur</t>
  </si>
  <si>
    <t>Online Behavior&gt;United States&gt;The Changing Consumer&gt;Online Retailers</t>
  </si>
  <si>
    <t>Online Behavior&gt;United States&gt;Autos and Vehicles&gt;Vehicle Parts and Accessories</t>
  </si>
  <si>
    <t>pandora.com</t>
  </si>
  <si>
    <t>Online Behavior&gt;United States&gt;Validated Demographic Â» Gender and Age Combined&gt;Females 18-44</t>
  </si>
  <si>
    <t>Online Behavior&gt;United States&gt;Intent Â» Travel&gt;Business Travel</t>
  </si>
  <si>
    <t>Online Behavior&gt;United States&gt;Food and Drink&gt;Food and Grocery Delivery</t>
  </si>
  <si>
    <t>Online Behavior&gt;United States&gt;Sports&gt;Sports League Â» NFL</t>
  </si>
  <si>
    <t>alotfinance.com</t>
  </si>
  <si>
    <t>Online Behavior&gt;United States&gt;Arts and Entertainment&gt;Movies</t>
  </si>
  <si>
    <t>funnyand.com</t>
  </si>
  <si>
    <t>Online Behavior&gt;United States&gt;The Changing Consumer&gt;Internet Connection</t>
  </si>
  <si>
    <t>Online Behavior&gt;United States&gt;B2B Â» Occupation&gt;ComputerProgrammer</t>
  </si>
  <si>
    <t>Chattanooga, Tennessee</t>
  </si>
  <si>
    <t>US Â» Reach Â» Propensity Models Â» Household Consumer Expenditures Â» Home Office</t>
  </si>
  <si>
    <t>Mobile, Alabama-Pensacola, Florida</t>
  </si>
  <si>
    <t>US Â» B2B Â» B2B Decision Maker Responsibilities Â» Company Liability or Insurance</t>
  </si>
  <si>
    <t>citationmachine.net</t>
  </si>
  <si>
    <t>Telecommunications (Telco) Â» Subscribers</t>
  </si>
  <si>
    <t>dailydot.com</t>
  </si>
  <si>
    <t>Media and Entertainment Â» Television (TV) Â» Viewership</t>
  </si>
  <si>
    <t>womenshealthmag.com</t>
  </si>
  <si>
    <t>US Â» Home Renovation Â» Home Renovators</t>
  </si>
  <si>
    <t>thesaltymarshmallow.com</t>
  </si>
  <si>
    <t>OnAudience Â» Intent Â» Baby &amp; Toddler</t>
  </si>
  <si>
    <t>topclassactions.com</t>
  </si>
  <si>
    <t>OnAudience Â» Interest Â» Life Stage</t>
  </si>
  <si>
    <t>US Â» Reach Â» Sociodemographic Â» Dwelling Type Â» Multi-family Dwelling Unit</t>
  </si>
  <si>
    <t>US Â» B2B Â» B2B Decision Maker Responsibilities Â» Office Services or Moving</t>
  </si>
  <si>
    <t>OnAudience Â» Intent Â» Travel</t>
  </si>
  <si>
    <t>Media and Entertainment Â» Sports and Recreational Activities Â» Interest (Affinity) Â» Team Sports Â» Football (American)</t>
  </si>
  <si>
    <t>OnAudience Â» Intent Â» Auto Â» Vehicle Parts &amp; Accessories</t>
  </si>
  <si>
    <t>Online Behavior&gt;United States&gt;Finance Â» Banking&gt;Money Transfer and Wire Services</t>
  </si>
  <si>
    <t>Online Behavior&gt;United States&gt;Beauty and Fitness&gt;Fashion and Style Â» Fashion Designers and Collections</t>
  </si>
  <si>
    <t>Online Behavior&gt;United States&gt;Food and Drink&gt;Beverages Â» Coffee and Tea</t>
  </si>
  <si>
    <t>Online Behavior&gt;United States&gt;Validated Demographic Â» Age&gt;18 or older</t>
  </si>
  <si>
    <t>reference.com</t>
  </si>
  <si>
    <t>Online Behavior&gt;United States&gt;Intent Â» Shopping&gt;Home Improvement</t>
  </si>
  <si>
    <t>wordunscrambler.me</t>
  </si>
  <si>
    <t>Online Behavior&gt;United States&gt;Intent Â» Travel&gt;Graduation Trip</t>
  </si>
  <si>
    <t>sallysbakingaddiction.com</t>
  </si>
  <si>
    <t>Online Behavior&gt;United States&gt;Intent Â» Auto Buyers Â» Car Make&gt;Opel</t>
  </si>
  <si>
    <t>Online Behavior&gt;United States&gt;Intent Â» Shopping&gt;Drug Stores Â» Walgreens</t>
  </si>
  <si>
    <t>Online Behavior&gt;United States&gt;Intent Â» Auto Buyers&gt;New</t>
  </si>
  <si>
    <t>whatismyipaddress.com</t>
  </si>
  <si>
    <t>Online Behavior&gt;United States&gt;Finance Â» Grants, Scholarships and Financial Aid&gt;Government Grants</t>
  </si>
  <si>
    <t>Online Behavior&gt;United States&gt;Validated Demographic Â» Gender and Age Combined&gt;Males 55-64</t>
  </si>
  <si>
    <t>timeanddate.com</t>
  </si>
  <si>
    <t>Online Behavior&gt;United States&gt;Arts and Entertainment&gt;Comics and Animation</t>
  </si>
  <si>
    <t>fox59.com</t>
  </si>
  <si>
    <t>Online Behavior&gt;United States&gt;The Changing Consumer&gt;Personal Budgeting</t>
  </si>
  <si>
    <t>mapquest.com</t>
  </si>
  <si>
    <t>Online Behavior&gt;United States&gt;The Changing Consumer&gt;Home Cooking</t>
  </si>
  <si>
    <t>Online Behavior&gt;United States&gt;Validated Demographic Â» Age&gt;55-64</t>
  </si>
  <si>
    <t>Online Behavior&gt;United States&gt;Finance Â» Grants, Scholarships and Financial Aid&gt;Study Grants and Scholarships</t>
  </si>
  <si>
    <t>US Â» Reach Â» Propensity Models Â» Hobbies and Interest Â» Books Â» E-Book Reader</t>
  </si>
  <si>
    <t>US Â» Reach Â» Sociodemographic Â» Homeowner Status Â» Renter</t>
  </si>
  <si>
    <t>US Â» B2B Â» B2B Decision Maker Responsibilities Â» Purchasing Vehicles or Automobile Services</t>
  </si>
  <si>
    <t>Travel and Tourism Â» Interest (Affinity)</t>
  </si>
  <si>
    <t>US Â» Interest Propensities Â» TV and Movies Â» Sports TV</t>
  </si>
  <si>
    <t>OnAudience Â» Interest Â» Arts &amp; Entertainment Â» Fine Art</t>
  </si>
  <si>
    <t>US Â» Brand Propensities Â» Electronics Â» RadioShack Buyer Propensity</t>
  </si>
  <si>
    <t>Mobile - US Â» Financial Services Â» Digital Payments Â» Chase Pay</t>
  </si>
  <si>
    <t>US Â» Premium Entertainment and Pastimes Â» Premium Magazine Enthusiasts</t>
  </si>
  <si>
    <t>OnAudience Â» Interest Â» Business Â» Economy</t>
  </si>
  <si>
    <t>Mobile - US Â» Travel Â» Destination Â» International Travelers Â» Frequent Travelers</t>
  </si>
  <si>
    <t>Mobile - US Â» Automotive Â» Repair &amp; Oil Change Â» Intend</t>
  </si>
  <si>
    <t>therighthairstyles.com</t>
  </si>
  <si>
    <t>Mobile - US Â» Sports Â» UFC Fans</t>
  </si>
  <si>
    <t>Peoria-Bloomington, Illinois</t>
  </si>
  <si>
    <t>ign.com</t>
  </si>
  <si>
    <t>Online Behavior&gt;United States&gt;Finance Â» Financial Planning and Management&gt;Retirement and Pension</t>
  </si>
  <si>
    <t>Online Behavior&gt;United States&gt;Jobs and Education&gt;Jobs</t>
  </si>
  <si>
    <t>Online Behavior&gt;United States&gt;Home and Garden&gt;Kitchen and Dining</t>
  </si>
  <si>
    <t>Online Behavior&gt;United States&gt;Intent Â» Auto Buyers Â» Car Make&gt;Volkswagen</t>
  </si>
  <si>
    <t>androidauthority.com</t>
  </si>
  <si>
    <t>Online Behavior&gt;United States&gt;Validated Demographic Â» Age&gt;18-64</t>
  </si>
  <si>
    <t>Online Behavior&gt;United States&gt;Intent Â» Auto Buyers Â» Car Make&gt;Subaru</t>
  </si>
  <si>
    <t>Online Behavior&gt;United States&gt;Sports&gt;Individual Sports Â» Cycling</t>
  </si>
  <si>
    <t>Online Behavior&gt;United States&gt;Real Estate&gt;Homeowner</t>
  </si>
  <si>
    <t>Online Behavior&gt;United States&gt;Beauty and Fitness&gt;Fitness Â» Gyms and Health Clubs</t>
  </si>
  <si>
    <t>Online Behavior&gt;United States&gt;Travel&gt;Tourist Destinations Â» Mountain and Ski Resorts</t>
  </si>
  <si>
    <t>Online Behavior&gt;United States&gt;Validated Demographic Â» Age&gt;18-54</t>
  </si>
  <si>
    <t>macrumors.com</t>
  </si>
  <si>
    <t>Online Behavior&gt;United States&gt;Validated Demographic Â» Gender and Age Combined&gt;Females 65 or older</t>
  </si>
  <si>
    <t>Online Behavior&gt;United States&gt;Home and Garden&gt;Homemaking and Interior Decor</t>
  </si>
  <si>
    <t>dailymail.co.uk/news</t>
  </si>
  <si>
    <t>Online Behavior&gt;United States&gt;Autos and Vehicles Â» Brands&gt;LandRover</t>
  </si>
  <si>
    <t>Online Behavior&gt;United States&gt;Games&gt;Family-Oriented Games and Activities</t>
  </si>
  <si>
    <t>findagrave.com</t>
  </si>
  <si>
    <t>Online Behavior&gt;United States&gt;B2B Â» Occupation&gt;SystemsAnalyst</t>
  </si>
  <si>
    <t>US Â» Reach Â» Propensity Models Â» Lifestyle Â» Healthy Living</t>
  </si>
  <si>
    <t>US Â» Demo Â» Age Â» 65+</t>
  </si>
  <si>
    <t>Travel and Tourism</t>
  </si>
  <si>
    <t>US Â» Reach Â» Propensity Models Â» Luxury Store Shoppers</t>
  </si>
  <si>
    <t>newsmemory.com</t>
  </si>
  <si>
    <t>US Â» Reach Â» Propensity Models Â» Online Â» Pets</t>
  </si>
  <si>
    <t>US Â» Interest Propensities Â» TV and Movies Â» News TV</t>
  </si>
  <si>
    <t>Savannah, Georgia</t>
  </si>
  <si>
    <t>digitaltrends.com</t>
  </si>
  <si>
    <t>US Â» Sociodemographic Â» P$YCLE Premier Lifestage Â» M2 Wealthy Achievers</t>
  </si>
  <si>
    <t>dailymail.co.uk/tvshowbiz</t>
  </si>
  <si>
    <t>Lotame Â» Technology Â» Electronics &amp; Gadgets</t>
  </si>
  <si>
    <t>Mobile - US Â» Travel Â» Car Rentals Â» Hertz</t>
  </si>
  <si>
    <t>US Interest Â» Home Â» Home Improvement Â» Home Improvement Grouping</t>
  </si>
  <si>
    <t>Mobile - US Â» Automotive Â» Vehicle Ownership Â» Brand Â» BMW</t>
  </si>
  <si>
    <t>uscellular.com</t>
  </si>
  <si>
    <t>Mobile - US Â» Device Ownership Â» Smartphones Â» iOS (Apple) Â» iPhone X</t>
  </si>
  <si>
    <t>Online Behavior&gt;United States&gt;Travel&gt;Tourist Destinations Â» Theme Parks</t>
  </si>
  <si>
    <t>zillow.com</t>
  </si>
  <si>
    <t>Online Behavior&gt;United States&gt;Travel&gt;Tourist Destinations Â» Beaches and Islands</t>
  </si>
  <si>
    <t>Online Behavior&gt;United States&gt;Sports&gt;Team Sports Â» Basketball</t>
  </si>
  <si>
    <t>aol.com</t>
  </si>
  <si>
    <t>Online Behavior&gt;United States&gt;Sports&gt;Team Sports Â» Baseball</t>
  </si>
  <si>
    <t>Online Behavior&gt;United States&gt;Finance Â» Banking&gt;Debit and Checking Services</t>
  </si>
  <si>
    <t>thegamer.com</t>
  </si>
  <si>
    <t>Online Behavior&gt;United States&gt;Arts and Entertainment&gt;Events and Listings Â» Event Ticket Sales</t>
  </si>
  <si>
    <t>Online Behavior&gt;United States&gt;News&gt;Local News</t>
  </si>
  <si>
    <t>Online Behavior&gt;United States&gt;Games&gt;Arcade and Coin-Op Games</t>
  </si>
  <si>
    <t>Online Behavior&gt;United States&gt;Sports&gt;Sports League Â» MLB</t>
  </si>
  <si>
    <t>autotrader.com</t>
  </si>
  <si>
    <t>Online Behavior&gt;United States&gt;Sports&gt;Individual Sports Â» Golf</t>
  </si>
  <si>
    <t>Online Behavior&gt;United States&gt;Food and Drink&gt;Beverages Â» Juice</t>
  </si>
  <si>
    <t>Online Behavior&gt;United States&gt;Autos and Vehicles Â» Brands&gt;SEAT</t>
  </si>
  <si>
    <t>Online Behavior&gt;United States&gt;Beauty and Fitness&gt;Fitness Â» Bodybuilding</t>
  </si>
  <si>
    <t>Online Behavior&gt;United States&gt;Travel&gt;Cruises and Charters</t>
  </si>
  <si>
    <t>Online Behavior&gt;United States&gt;Validated Demographic Â» Gender and Age Combined&gt;Males 18-64</t>
  </si>
  <si>
    <t>livescience.com</t>
  </si>
  <si>
    <t>Online Behavior&gt;United States&gt;Autos and Vehicles Â» Brands&gt;Cadillac</t>
  </si>
  <si>
    <t>eenadu.net</t>
  </si>
  <si>
    <t>Online Behavior&gt;United States&gt;Internet and Telecom&gt;Search Engines</t>
  </si>
  <si>
    <t>Online Behavior&gt;United States&gt;Arts and Entertainment&gt;TV and Video</t>
  </si>
  <si>
    <t>Online Behavior&gt;United States&gt;Intent Â» Shopping&gt;CPG» Cosmetics</t>
  </si>
  <si>
    <t>Online Behavior&gt;United States&gt;Beauty and Fitness&gt;Beauty Pageants</t>
  </si>
  <si>
    <t>US Â» Reach Â» Propensity Models Â» Hobbies and Interest Â» Sports Â» Snow Sports</t>
  </si>
  <si>
    <t>US Â» AUTO Â» Primary Vehicle Â» New or Used Â» New</t>
  </si>
  <si>
    <t>dinneratthezoo.com</t>
  </si>
  <si>
    <t>US Â» Reach Â» Propensity Models Â» Hobbies and Interest Â» Food and Drinks Â» High-end Spirit Drinkers</t>
  </si>
  <si>
    <t>Online Behavior&gt;United States&gt;Finance Â» Accounting and Auditing&gt;Bookkeeping</t>
  </si>
  <si>
    <t>US Â» Financially in Charge Â» Performance Score: Top 50%</t>
  </si>
  <si>
    <t>US Â» B2B Â» B2B Decision Maker Responsibilities Â» HR or Personnel Services</t>
  </si>
  <si>
    <t>US Â» Interest Propensities Â» Music Â» Country</t>
  </si>
  <si>
    <t>US Â» B2B Â» B2B Decision Maker Responsibilities Â» Television providers Â» services</t>
  </si>
  <si>
    <t>US Â» Interest Propensities Â» Oil &amp; Gas Â» QuickTrip</t>
  </si>
  <si>
    <t>US Â» Brand Propensities Â» Telecom and Service Providers Â» Page Plus Cellular Buyer Propensity</t>
  </si>
  <si>
    <t>merriam-webster.com</t>
  </si>
  <si>
    <t>OnAudience Â» Interest Â» Shopping</t>
  </si>
  <si>
    <t>US Â» Interest Propensities Â» Activities and Interests Â» Financial Aid</t>
  </si>
  <si>
    <t>US Â» Interest Propensities Â» Activities and Interests Â» Ecommerce</t>
  </si>
  <si>
    <t>wsj.com</t>
  </si>
  <si>
    <t>US Â»Made In America Audience</t>
  </si>
  <si>
    <t>upworthy.com</t>
  </si>
  <si>
    <t>Restaurants</t>
  </si>
  <si>
    <t>Media Source</t>
  </si>
  <si>
    <t>healthyrecipesblogs.com</t>
  </si>
  <si>
    <t>Mobile - US Â» Travel Â» Vacation Rentals Â» HomeAway</t>
  </si>
  <si>
    <t>Mobile - US Â» Sports Â» Basketball Â» NCAA College Basketball</t>
  </si>
  <si>
    <t>wizofawes.com</t>
  </si>
  <si>
    <t>OnAudience Â» Interest Â» Hobbies &amp; Interests Â» Art</t>
  </si>
  <si>
    <t>Travel</t>
  </si>
  <si>
    <t>US Â» Brand Propensities Â» Apparel Â» JCPenney Buyer Propensity</t>
  </si>
  <si>
    <t>greatschools.org</t>
  </si>
  <si>
    <t>OnAudience Â» Interest Â» Food &amp; Drink</t>
  </si>
  <si>
    <t>w3schools.com</t>
  </si>
  <si>
    <t>US Â» Brand Propensities Â» Media and Entertainment Â» Regal Cinemas Buyer Propensity</t>
  </si>
  <si>
    <t>Mobile - US Â» Food Â» Restaurant Â» Brand Â» Buffalo Wild Wings</t>
  </si>
  <si>
    <t>evite.com</t>
  </si>
  <si>
    <t>Mobile - US Â» Device Ownership Â» Tablets Â» yes</t>
  </si>
  <si>
    <t>US Â» Interest Propensities Â» Insurance Â» Unitedhealth Group</t>
  </si>
  <si>
    <t>Transactional Â» Q3 Gardening Shoppers</t>
  </si>
  <si>
    <t>US Â» Brand Propensities Â» Big Box Dollar Tree Buyer Propensity</t>
  </si>
  <si>
    <t>OnAudience Â» Intent Â» Electronics Â» Video Game Consoles</t>
  </si>
  <si>
    <t>reuters.com</t>
  </si>
  <si>
    <t>Media and Entertainment Â» Connected TV and Over-the-Top (CTV and OTT) Â» Streaming Television and Film Viewership Â» OTT Movie Viewers Â» Genre Â» Crime Movie Streamers</t>
  </si>
  <si>
    <t>Media and Entertainment Â» Sports and Recreational Activities Â» Interest (Affinity) Â» Motorsports</t>
  </si>
  <si>
    <t>Online Behavior&gt;United States&gt;Finance Â» Investing&gt;Funds</t>
  </si>
  <si>
    <t>cyclingnews.com</t>
  </si>
  <si>
    <t>Online Behavior&gt;United States&gt;Home and Garden&gt;Home Improvement</t>
  </si>
  <si>
    <t>Online Behavior&gt;United States&gt;Food and Drink&gt;Restaurants Â» Fast Food</t>
  </si>
  <si>
    <t>Online Behavior&gt;United States&gt;Games&gt;Computer and Video Games</t>
  </si>
  <si>
    <t>Online Behavior&gt;United States&gt;Finance Â» Insurance&gt;Life Insurance</t>
  </si>
  <si>
    <t>Online Behavior&gt;United States&gt;Travel&gt;Bus and Rail</t>
  </si>
  <si>
    <t>Online Behavior&gt;United States&gt;Sports&gt;Team Sports Â» Hockey</t>
  </si>
  <si>
    <t>Online Behavior&gt;United States&gt;Autos and Vehicles Â» Brands&gt;Volkswagen</t>
  </si>
  <si>
    <t>mlb.com</t>
  </si>
  <si>
    <t>Online Behavior&gt;United States&gt;News&gt;Gossip and Tabloid News</t>
  </si>
  <si>
    <t>deadline.com</t>
  </si>
  <si>
    <t>Online Behavior&gt;United States&gt;Travel&gt;Specialty Travel</t>
  </si>
  <si>
    <t>Online Behavior&gt;United States&gt;Intent Â» Auto Buyers Â» Car Make&gt;BMW</t>
  </si>
  <si>
    <t>firstcoastnews.com</t>
  </si>
  <si>
    <t>Online Behavior&gt;United States&gt;Beauty and Fitness&gt;Fitness Â» Fitness Instruction and Personal Training</t>
  </si>
  <si>
    <t>Online Behavior&gt;United States&gt;Autos and Vehicles Â» Brands&gt;Chevrolet</t>
  </si>
  <si>
    <t>clevelandclinic.org</t>
  </si>
  <si>
    <t>Online Behavior&gt;United States&gt;Autos and Vehicles Â» Brands&gt;Isuzu</t>
  </si>
  <si>
    <t>Online Behavior&gt;United States&gt;Validated Demographic Â» Age&gt;25-64</t>
  </si>
  <si>
    <t>Online Behavior&gt;United States&gt;The Changing Consumer&gt;Data For Good Â» Social Justice and Empowerment</t>
  </si>
  <si>
    <t>wsfa.com</t>
  </si>
  <si>
    <t>Online Behavior&gt;United States&gt;Validated Demographic Â» Gender&gt;Female</t>
  </si>
  <si>
    <t>yourroyals.com</t>
  </si>
  <si>
    <t>Online Behavior&gt;United States&gt;Beauty and Fitness&gt;Fitness Â» Home Exercise</t>
  </si>
  <si>
    <t>Online Behavior&gt;United States&gt;Travel&gt;Carpooling and Vehicle Sharing</t>
  </si>
  <si>
    <t>slickdeals.net</t>
  </si>
  <si>
    <t>Online Behavior&gt;United States&gt;Intent Â» Auto Buyers Â» Car Make&gt;Mazda</t>
  </si>
  <si>
    <t>iflscience.com</t>
  </si>
  <si>
    <t>Online Behavior&gt;United States&gt;Online Communities&gt;Feed Aggregation and Social Bookmarking</t>
  </si>
  <si>
    <t>typingtest.com</t>
  </si>
  <si>
    <t>Online Behavior&gt;United States&gt;Hobbies and Leisure&gt;Special Occasions Â» Party Planning</t>
  </si>
  <si>
    <t>mayoclinic.org</t>
  </si>
  <si>
    <t>Online Behavior&gt;United States&gt;Hobbies and Leisure&gt;Outdoors</t>
  </si>
  <si>
    <t>webmd.com</t>
  </si>
  <si>
    <t>Online Behavior&gt;United States&gt;Intent Â» Shopping&gt;Pet Food Â» Dog</t>
  </si>
  <si>
    <t>yourdailysportfix.com</t>
  </si>
  <si>
    <t>Online Behavior&gt;United States&gt;Intent Â» Auto Buyers Â» Car Make&gt;Toyota</t>
  </si>
  <si>
    <t>Online Behavior&gt;United States&gt;Intent Â» Shopping&gt;Sports and Outdoors</t>
  </si>
  <si>
    <t>Online Behavior&gt;United States&gt;Validated Demographic Â» Gender and Age Combined&gt;Males 18-34</t>
  </si>
  <si>
    <t>nbcdfw.com</t>
  </si>
  <si>
    <t>Online Behavior&gt;United States&gt;Autos and Vehicles Â» Brands&gt;Citroen</t>
  </si>
  <si>
    <t>Little Rock-Pine Bluff, Arkansas</t>
  </si>
  <si>
    <t>Online Behavior&gt;United States&gt;Validated Demographic Â» Age&gt;65 or older</t>
  </si>
  <si>
    <t>tripadvisor.com</t>
  </si>
  <si>
    <t>Online Behavior&gt;United States&gt;Beauty and Fitness&gt;Cosmetology and Beauty Professionals</t>
  </si>
  <si>
    <t>dotesports.com</t>
  </si>
  <si>
    <t>US Â» Reach Â» Propensity Models Â» Hobbies and Interest Â» Sports Â» NBA Enthusiast</t>
  </si>
  <si>
    <t>jdpower.com</t>
  </si>
  <si>
    <t>US Â» Reach Â» Propensity Models Â» Luxury Home Goods Store Shopper</t>
  </si>
  <si>
    <t>classmates.com</t>
  </si>
  <si>
    <t>US Â» Reach Â» Propensity Models Â» Online Â» Electronics and Gadgets</t>
  </si>
  <si>
    <t>US Â» Reach Â» Propensity Models Â» Lifestyle Â» Charities Â» Contributes to Charities</t>
  </si>
  <si>
    <t>commercialappeal.com</t>
  </si>
  <si>
    <t>US Â»Quality-First Shopper Audience</t>
  </si>
  <si>
    <t>OnAudience Â» Interest</t>
  </si>
  <si>
    <t>US Â» B2B Â» B2B Decision Maker Responsibilities Â» Employee Benefits</t>
  </si>
  <si>
    <t>US Â» Reach Â» Propensity Models Â» Hobbies and Interest Â» Food and Drinks Â» Wine Lovers</t>
  </si>
  <si>
    <t>US Â» AUTO Â» Decision Maker for Auto Purchase Â» I shared equally in the decision</t>
  </si>
  <si>
    <t>US Â» Brand Propensities Â» Apparel Â» Shoebuy.com Buyer Propensity</t>
  </si>
  <si>
    <t>US Â» Sociodemographic Â» P$YCLE Premier Lifestage Â» M3 Upscale Empty Nests</t>
  </si>
  <si>
    <t>historyallday.com</t>
  </si>
  <si>
    <t>US Â» Automotive Â» Auto Loyalists and Defectors Â» Auto Make Defectors</t>
  </si>
  <si>
    <t>si.com</t>
  </si>
  <si>
    <t>Media and Entertainment Â» Sports and Recreational Activities Â» Interest (Affinity) Â» Individual Sports</t>
  </si>
  <si>
    <t>Purchase Behaviors Â» Q2 Environmentally Concerned Shoppers</t>
  </si>
  <si>
    <t>Media and Entertainment Â» Consumer Entertainment Technology</t>
  </si>
  <si>
    <t>editorsnation.com</t>
  </si>
  <si>
    <t>US Home Â» Property Type Â» Single</t>
  </si>
  <si>
    <t>US Â» Brand Propensities Â» Apparel Â» The Men's Wearhouse Buyer Propensity</t>
  </si>
  <si>
    <t>OnAudience Â» Interest Â» Technology &amp; Computing Â» Entertainment</t>
  </si>
  <si>
    <t>Media and Entertainment Â» Sports and Recreational Activities Â» Interest (Affinity) Â» Individual Sports Â» Tennis and Racquet Sports</t>
  </si>
  <si>
    <t>investopedia.com</t>
  </si>
  <si>
    <t>Lotame Â» Style, Fashion &amp; Clothing Â» Clothing Shoppers</t>
  </si>
  <si>
    <t>OnAudience Â» Interest Â» Hobbies &amp; Interests Â» Video &amp; Computer Games</t>
  </si>
  <si>
    <t>boattrader.com</t>
  </si>
  <si>
    <t>Transactional Â» Q3 Home Entertainers</t>
  </si>
  <si>
    <t>Media and Entertainment Â» Gaming Â» In-Market</t>
  </si>
  <si>
    <t>moneyppl.com</t>
  </si>
  <si>
    <t>US Financial Â» Likely Attitude and Behavior Â» Bank Selection Â» Customer Service Very Important (Financial)</t>
  </si>
  <si>
    <t>carscoops.com</t>
  </si>
  <si>
    <t>US Â» B2B Â» B2B Decision Maker Responsibilities Â» Strategic Company Goals</t>
  </si>
  <si>
    <t>groupon.com</t>
  </si>
  <si>
    <t>US Â» Demographic Â» Family Â» Households with 3 Adults</t>
  </si>
  <si>
    <t>Lotame Â» Travel Â» International Travel</t>
  </si>
  <si>
    <t>eonline.com</t>
  </si>
  <si>
    <t>Online Behavior&gt;United States&gt;The Changing Consumer&gt;DIY</t>
  </si>
  <si>
    <t>techradar.com</t>
  </si>
  <si>
    <t>Online Behavior&gt;United States&gt;Travel&gt;Air Travel</t>
  </si>
  <si>
    <t>Online Behavior&gt;United States&gt;Finance Â» Investing&gt;Commodities and Futures Trading</t>
  </si>
  <si>
    <t>nbcmiami.com</t>
  </si>
  <si>
    <t>Online Behavior&gt;United States&gt;Beauty and Fitness&gt;Body Art</t>
  </si>
  <si>
    <t>Online Behavior&gt;United States&gt;Online Communities&gt;Blogging Resources and Services</t>
  </si>
  <si>
    <t>signin.ebay.com</t>
  </si>
  <si>
    <t>Online Behavior&gt;United States&gt;People and Society&gt;Seniors and Retirement</t>
  </si>
  <si>
    <t>healthline.com</t>
  </si>
  <si>
    <t>Online Behavior&gt;United States&gt;People and Society&gt;Family and Relationships Â» Moms</t>
  </si>
  <si>
    <t>my.yahoo.com</t>
  </si>
  <si>
    <t>Online Behavior&gt;United States&gt;Hobbies and Leisure&gt;Outdoors Â» Equestrian</t>
  </si>
  <si>
    <t>Online Behavior&gt;United States&gt;Intent Â» Travel&gt;Travel</t>
  </si>
  <si>
    <t>Online Behavior&gt;United States&gt;Intent Â» Shopping&gt;Home and Garden</t>
  </si>
  <si>
    <t>Online Behavior&gt;United States&gt;Home and Garden&gt;Laundry</t>
  </si>
  <si>
    <t>saltandlavender.com</t>
  </si>
  <si>
    <t>Online Behavior&gt;United States&gt;Intent Â» Travel&gt;Accommodation Â» Hotels</t>
  </si>
  <si>
    <t>Online Behavior&gt;United States&gt;Intent Â» Auto Buyers Â» Category&gt;Caravan</t>
  </si>
  <si>
    <t>Online Behavior&gt;United States&gt;Autos and Vehicles Â» Brands&gt;Volvo</t>
  </si>
  <si>
    <t>chocolatecoveredkatie.com</t>
  </si>
  <si>
    <t>Online Behavior&gt;United States&gt;Validated Demographic Â» Gender and Age Combined&gt;Females 25 or older</t>
  </si>
  <si>
    <t>abcnews.go.com</t>
  </si>
  <si>
    <t>Online Behavior&gt;United States&gt;Sports&gt;Winter Sports Â» Skiing and Snowboarding</t>
  </si>
  <si>
    <t>Online Behavior&gt;United States&gt;Sports&gt;Motor Sports</t>
  </si>
  <si>
    <t>Online Behavior&gt;United States&gt;Autos and Vehicles Â» Brands&gt;Dodge</t>
  </si>
  <si>
    <t>Online Behavior&gt;United States&gt;The Changing Consumer&gt;Active Facebook Users</t>
  </si>
  <si>
    <t>Online Behavior&gt;United States&gt;Autos and Vehicles Â» Brands&gt;Buick</t>
  </si>
  <si>
    <t>Online Behavior&gt;United States&gt;Intent Â» Shopping&gt;Consumer Electronics Â» Video Games</t>
  </si>
  <si>
    <t>wahjobqueen.com</t>
  </si>
  <si>
    <t>Online Behavior&gt;United States&gt;Food and Drink&gt;Baking</t>
  </si>
  <si>
    <t>rajneetug2021.com</t>
  </si>
  <si>
    <t>Online Behavior&gt;United States&gt;The Changing Consumer&gt;Gaming Equipment</t>
  </si>
  <si>
    <t>cnet.com</t>
  </si>
  <si>
    <t>Online Behavior&gt;United States&gt;Autos and Vehicles Â» Brands&gt;Aston Martin</t>
  </si>
  <si>
    <t>Online Behavior&gt;United States&gt;B2B Â» Occupation&gt;Engineer</t>
  </si>
  <si>
    <t>food.com</t>
  </si>
  <si>
    <t>US Â» Demo Â» Age Â» 21+</t>
  </si>
  <si>
    <t>icy-veins.com</t>
  </si>
  <si>
    <t>Online Behavior&gt;United States&gt;B2B Â» Occupation&gt;Banking</t>
  </si>
  <si>
    <t>thestate.com</t>
  </si>
  <si>
    <t>Online Behavior&gt;United States&gt;Validated Demographic Â» Age&gt;35-44</t>
  </si>
  <si>
    <t>homehacks.co</t>
  </si>
  <si>
    <t>US Â» Reach Â» Sociodemographic Â» Household Income Â» $50,000-$74,999</t>
  </si>
  <si>
    <t>US Â» Sociodemographic Â» ConneXions Lifestage Â» M3 Offline Seniors</t>
  </si>
  <si>
    <t>geeksforgeeks.org</t>
  </si>
  <si>
    <t>US Â» Reach Â» Propensity Models Â» Hobbies and Interest Â» Sports Â» PGA Tour Enthusiast</t>
  </si>
  <si>
    <t>US Â» Sociodemographic Â» ConneXions Lifestage Â» M4 Elderly Traditionalists</t>
  </si>
  <si>
    <t>US Â» B2B Â» B2B Decision Maker Responsibilities Â» Computer Hardware</t>
  </si>
  <si>
    <t>US Â» Sociodemographic Â» ConneXions Lifestage Â» M2 Mature MidTechs</t>
  </si>
  <si>
    <t>US Â» Entertainment and Pastimes Â» Entertainment and Pastimes</t>
  </si>
  <si>
    <t>US Â» B2B Â» B2B Decision Maker Responsibilities Â» Consulting Services</t>
  </si>
  <si>
    <t>downdetector.com</t>
  </si>
  <si>
    <t>US Â» Brand Propensities Â» Home and Household Goods Â» Pottery Barn Kids Buyer Propensity</t>
  </si>
  <si>
    <t>investmentguru.com</t>
  </si>
  <si>
    <t>US Â» Interest Propensities Â» Insurance Â» Prudential</t>
  </si>
  <si>
    <t>everydayhealth.com</t>
  </si>
  <si>
    <t>US Â» Multibuyer Behaviors Â» Entertainment Â» Pastimes Multibuyer</t>
  </si>
  <si>
    <t>rent.com</t>
  </si>
  <si>
    <t>US Financial Â» Likely In Market Timing Â» Not At All Likely to Purchase Â» First Home/Residence In The Next Year (Financial)</t>
  </si>
  <si>
    <t>US Â» Premium Gender Â» Premium Gender Â» Males</t>
  </si>
  <si>
    <t>behindthevoiceactors.com</t>
  </si>
  <si>
    <t>Purchase Behaviors Â» Q2 Spring Cleaners</t>
  </si>
  <si>
    <t>US Â» Interest Propensities Â» Social Â» Premium User Generated Content</t>
  </si>
  <si>
    <t>OnAudience Â» Intent Â» Home &amp; Garden</t>
  </si>
  <si>
    <t>disneyfoodblog.com</t>
  </si>
  <si>
    <t>Mobile - US Â» Food Â» Restaurant Â» Brand Â» Krispy Kreme</t>
  </si>
  <si>
    <t>usnews.com</t>
  </si>
  <si>
    <t>US Financial Â» Estimated Discretionary Spending (Financial) Â» Greater than $2,499</t>
  </si>
  <si>
    <t>biblestudytools.com</t>
  </si>
  <si>
    <t>US Â» Sociodemographic Â» PRIZM Premier Lifestage Â» F2 Young Accumulators</t>
  </si>
  <si>
    <t>Media and Entertainment Â» Gaming Â» Interest (Affinity) Â» Video Games</t>
  </si>
  <si>
    <t>bleacherbreaker.com</t>
  </si>
  <si>
    <t>Mobile - US Â» Food Â» Restaurant Â» Brand Â» Outback Steakhouse</t>
  </si>
  <si>
    <t>buzzfeed.com</t>
  </si>
  <si>
    <t>US Â» Sociodemographic Â» ConneXions Lifestage Â» F1 Early Adopting Elite</t>
  </si>
  <si>
    <t>US Financial Â» Credit Card Type Â» Credit Card Holder - Unknown Type</t>
  </si>
  <si>
    <t>fandom.com</t>
  </si>
  <si>
    <t>OnAudience Â» Interest Â» Arts &amp; Entertainment Â» Television</t>
  </si>
  <si>
    <t>US Mail Order Buyer</t>
  </si>
  <si>
    <t>US Â» Brand Propensities Â» Travel Â» Booking.com Buyer Propensity</t>
  </si>
  <si>
    <t>OnAudience Â» Interest Â» News Â» National News</t>
  </si>
  <si>
    <t>greedyfinance.com</t>
  </si>
  <si>
    <t>Lotame Â» Personal Finance</t>
  </si>
  <si>
    <t>decider.com</t>
  </si>
  <si>
    <t>OnAudience Â» Interest Â» Arts &amp; Entertainment Â» Celebrity Fan Â» Gossip</t>
  </si>
  <si>
    <t>US Â» Brand Propensities Â» Restaurants and Dining Â» OpenTable Buyer Propensity</t>
  </si>
  <si>
    <t>football.fantasysports.yahoo.com</t>
  </si>
  <si>
    <t>Mobile - US Â» Shopping Â» Brand Â» Old Navy</t>
  </si>
  <si>
    <t>Mobile - US Â» Automotive Â» Vehicle Ownership Â» Brand Â» Jeep</t>
  </si>
  <si>
    <t>health.com</t>
  </si>
  <si>
    <t>OnAudience Â» Interest Â» Games</t>
  </si>
  <si>
    <t>gamespot.com</t>
  </si>
  <si>
    <t>Mobile - US Â» Sports Â» Motor Sports Â» NASCAR</t>
  </si>
  <si>
    <t>OnAudience Â» Intent Â» Software</t>
  </si>
  <si>
    <t>politico.com</t>
  </si>
  <si>
    <t>US Health and Fitness Â» Interest Â» Exercise Â» Health</t>
  </si>
  <si>
    <t>US Financial Â» Estimated Disposable Income Â» $0 - $99,999</t>
  </si>
  <si>
    <t>Media and Entertainment Â» Sports and Recreational Activities Â» Interest (Affinity) Â» Team Sports Â» Baseball Â» Major League Baseball (MLB)</t>
  </si>
  <si>
    <t>US Â» Brand Propensities Â» Media and Entertainment Â» Sony Network Entertainment International Buyer Propensity</t>
  </si>
  <si>
    <t>Media and Entertainment Â» Audio and Video Streaming Â» Streaming Video</t>
  </si>
  <si>
    <t>wunderground.com</t>
  </si>
  <si>
    <t>OnAudience Â» Intent Â» Media Â» Music</t>
  </si>
  <si>
    <t>localmemphis.com</t>
  </si>
  <si>
    <t>OnAudience Â» Interest Â» Arts &amp; Entertainment Â» Books &amp; Literature</t>
  </si>
  <si>
    <t>killingthyme.net</t>
  </si>
  <si>
    <t>US Interest Â» Cooking Â» General</t>
  </si>
  <si>
    <t>ew.com</t>
  </si>
  <si>
    <t>Lotame Â» Offline CPG Purchasers Â» Product Segment Â» Home Supplies</t>
  </si>
  <si>
    <t>Online Behavior&gt;United States&gt;Travel&gt;Tourist Destinations Â» Lakes and Rivers</t>
  </si>
  <si>
    <t>flightaware.com</t>
  </si>
  <si>
    <t>Online Behavior&gt;United States&gt;Life Event&gt;Home Buying</t>
  </si>
  <si>
    <t>Online Behavior&gt;United States&gt;Finance Â» Investing&gt;Currencies and Foreign Exchange</t>
  </si>
  <si>
    <t>Online Behavior&gt;United States&gt;Internet and Telecom&gt;Email and Messaging</t>
  </si>
  <si>
    <t>dexerto.com</t>
  </si>
  <si>
    <t>Online Behavior&gt;United States&gt;Internet and Telecom&gt;Mobile and Wireless</t>
  </si>
  <si>
    <t>Online Behavior&gt;United States&gt;Home and Garden&gt;Yard and Patio</t>
  </si>
  <si>
    <t>Online Behavior&gt;United States&gt;Sports&gt;Team Sports Â» Volleyball</t>
  </si>
  <si>
    <t>Online Behavior&gt;United States&gt;Law and Government&gt;Legal</t>
  </si>
  <si>
    <t>washingtonpost.com</t>
  </si>
  <si>
    <t>Online Behavior&gt;United States&gt;Games&gt;Card Games</t>
  </si>
  <si>
    <t>Online Behavior&gt;United States&gt;The Changing Consumer&gt;Home Gardener</t>
  </si>
  <si>
    <t>Online Behavior&gt;United States&gt;Travel&gt;Car Rental and Taxi Services</t>
  </si>
  <si>
    <t>dictionary.com</t>
  </si>
  <si>
    <t>Online Behavior&gt;United States&gt;Beauty and Fitness&gt;Fashion and Style Â» Fashion Modeling</t>
  </si>
  <si>
    <t>Online Behavior&gt;United States&gt;Sports&gt;Individual Sports Â» Track and Field</t>
  </si>
  <si>
    <t>Online Behavior&gt;United States&gt;People and Society&gt;Millennials</t>
  </si>
  <si>
    <t>Online Behavior&gt;United States&gt;Intent Â» Financial Intent&gt;Banking</t>
  </si>
  <si>
    <t>mydailymagazine.com</t>
  </si>
  <si>
    <t>Online Behavior&gt;United States&gt;Beauty and Fitness&gt;Fashion and Style Â» Couture Fashion</t>
  </si>
  <si>
    <t>npr.org</t>
  </si>
  <si>
    <t>Online Behavior&gt;United States&gt;Autos and Vehicles&gt;Vehicle Shopping</t>
  </si>
  <si>
    <t>Online Behavior&gt;United States&gt;Home and Garden&gt;Home Storage and Shelving</t>
  </si>
  <si>
    <t>autobidmaster.com</t>
  </si>
  <si>
    <t>Online Behavior&gt;United States&gt;Arts and Entertainment&gt;Arts and Entertainment</t>
  </si>
  <si>
    <t>Online Behavior&gt;United States&gt;Life Event&gt;Job Search</t>
  </si>
  <si>
    <t>thesaurus.com</t>
  </si>
  <si>
    <t>Online Behavior&gt;United States&gt;Travel&gt;Tourist Destinations Â» Historical Sites and Buildings</t>
  </si>
  <si>
    <t>Online Behavior&gt;United States&gt;Intent Â» Shopping&gt;Drug Stores</t>
  </si>
  <si>
    <t>Online Behavior&gt;United States&gt;Food and Drink&gt;Beverages Â» Beer</t>
  </si>
  <si>
    <t>Online Behavior&gt;United States&gt;Intent Â» Shopping&gt;Consumer Electronics Â» Computers, Laptops</t>
  </si>
  <si>
    <t>Online Behavior&gt;United States&gt;Intent Â» Auto Buyers Â» Car Make&gt;Vauxhall</t>
  </si>
  <si>
    <t>Online Behavior&gt;United States&gt;Online Communities&gt;Dating and Personals</t>
  </si>
  <si>
    <t>Online Behavior&gt;United States&gt;Life Event&gt;Bride</t>
  </si>
  <si>
    <t>Online Behavior&gt;United States&gt;Intent Â» Auto Buyers Â» Car Make&gt;Mercedes</t>
  </si>
  <si>
    <t>Online Behavior&gt;United States&gt;Intent Â» Auto Buyers Â» Car Make&gt;Jeep</t>
  </si>
  <si>
    <t>Online Behavior&gt;United States&gt;Intent Â» Auto Buyers&gt;Auto Buyers</t>
  </si>
  <si>
    <t>thesportsdrop.com</t>
  </si>
  <si>
    <t>Online Behavior&gt;United States&gt;Intent Â» Auto Buyers Â» Type&gt;Truck</t>
  </si>
  <si>
    <t>Online Behavior&gt;United States&gt;Intent Â» Auto Buyers Â» Car Make&gt;Audi</t>
  </si>
  <si>
    <t>travellergazette.com</t>
  </si>
  <si>
    <t>Online Behavior&gt;United States&gt;Intent Â» Shopping&gt;CPG» Beverages</t>
  </si>
  <si>
    <t>nba.com</t>
  </si>
  <si>
    <t>Online Behavior&gt;United States&gt;Food and Drink&gt;Restaurants Â» Fine Dining</t>
  </si>
  <si>
    <t>Online Behavior&gt;United States&gt;Intent Â» Auto Buyers Â» Car Make&gt;Honda</t>
  </si>
  <si>
    <t>Online Behavior&gt;United States&gt;Sports&gt;Sports League Â» Premier League</t>
  </si>
  <si>
    <t>Online Behavior&gt;United States&gt;Intent Â» Services&gt;Arts and Entertainment</t>
  </si>
  <si>
    <t>Online Behavior&gt;United States&gt;Intent Â» Auto Buyers Â» Car Make&gt;Nissan</t>
  </si>
  <si>
    <t>britannica.com</t>
  </si>
  <si>
    <t>Online Behavior&gt;United States&gt;Online Communities&gt;Social Influencer</t>
  </si>
  <si>
    <t>Online Behavior&gt;United States&gt;Finance Â» Investing&gt;Real Estate Investment Trusts</t>
  </si>
  <si>
    <t>tennessean.com</t>
  </si>
  <si>
    <t>Online Behavior&gt;United States&gt;Real Estate&gt;Apartments and Residential Rentals</t>
  </si>
  <si>
    <t>Online Behavior&gt;United States&gt;Autos and Vehicles Â» Brands&gt;Jeep</t>
  </si>
  <si>
    <t>Online Behavior&gt;United States&gt;Intent Â» Shopping&gt;Pet Food Â» Cat</t>
  </si>
  <si>
    <t>spiceworks.com</t>
  </si>
  <si>
    <t>Online Behavior&gt;United States&gt;Autos and Vehicles Â» Brands&gt;Peugeot</t>
  </si>
  <si>
    <t>todaysnyc.com</t>
  </si>
  <si>
    <t>Online Behavior&gt;United States&gt;Autos and Vehicles Â» Brands&gt;Pontiac</t>
  </si>
  <si>
    <t>Online Behavior&gt;United States&gt;Intent Â» Shopping&gt;Consumer Electronics Â» Tablets</t>
  </si>
  <si>
    <t>finviz.com</t>
  </si>
  <si>
    <t>Online Behavior&gt;United States&gt;Arts and Entertainment&gt;Events and Listings Â» Expos and Conventions</t>
  </si>
  <si>
    <t>Online Behavior&gt;United States&gt;Sports&gt;Individual Sports Â» Gymnastics</t>
  </si>
  <si>
    <t>Online Behavior&gt;United States&gt;Autos and Vehicles Â» Brands&gt;GMC</t>
  </si>
  <si>
    <t>mhvillage.com</t>
  </si>
  <si>
    <t>Online Behavior&gt;United States&gt;Autos and Vehicles Â» Brands&gt;Saab</t>
  </si>
  <si>
    <t>Online Behavior&gt;United States&gt;Intent Â» Shopping&gt;Drug Stores Â» CVS</t>
  </si>
  <si>
    <t>Online Behavior&gt;United States&gt;Intent Â» Shopping&gt;Consumer Electronics Â» Cameras and Photography Equip</t>
  </si>
  <si>
    <t>gameofglam.com</t>
  </si>
  <si>
    <t>Online Behavior&gt;United States&gt;Law and Government&gt;Government</t>
  </si>
  <si>
    <t>Online Behavior&gt;United States&gt;Validated Demographic Â» Gender and Age Combined&gt;Males 18-54</t>
  </si>
  <si>
    <t>Online Behavior&gt;United States&gt;Validated Demographic Â» Age&gt;18-44</t>
  </si>
  <si>
    <t>Online Behavior&gt;United States&gt;Sports&gt;Sports League Â» NHL</t>
  </si>
  <si>
    <t>Online Behavior&gt;United States&gt;Arts and Entertainment&gt;Visual Art and Design</t>
  </si>
  <si>
    <t>sears.com</t>
  </si>
  <si>
    <t>Online Behavior&gt;United States&gt;Arts and Entertainment&gt;Events and Listings Â» Live Sporting Events</t>
  </si>
  <si>
    <t>Online Behavior&gt;United States&gt;Food and Drink&gt;Beverages Â» Bottled Water</t>
  </si>
  <si>
    <t>Online Behavior&gt;United States&gt;Hobbies and Leisure&gt;Special Occasions Â» Weddings</t>
  </si>
  <si>
    <t>auctionzip.com</t>
  </si>
  <si>
    <t>Online Behavior&gt;United States&gt;Intent Â» Services&gt;Restaurants</t>
  </si>
  <si>
    <t>Online Behavior&gt;United States&gt;Intent Â» Auto Buyers Â» Type&gt;Crossover</t>
  </si>
  <si>
    <t>Online Behavior&gt;United States&gt;Validated Demographic Â» Gender and Age Combined&gt;Females 25-34</t>
  </si>
  <si>
    <t>US Â» Reach Â» Sociodemographic Â» Dwelling Size Â» 1 Unit</t>
  </si>
  <si>
    <t>Online Behavior&gt;United States&gt;Intent Â» Shopping&gt;CPG» Health and Beauty</t>
  </si>
  <si>
    <t>Online Behavior&gt;United States&gt;News&gt;Sports News</t>
  </si>
  <si>
    <t>Online Behavior&gt;United States&gt;Games&gt;Board Games</t>
  </si>
  <si>
    <t>lifewire.com</t>
  </si>
  <si>
    <t>US Â» Reach Â» Propensity Models Â» Hobbies and Interest Â» Food and Drinks Â» Gourmet Cooking</t>
  </si>
  <si>
    <t>kayak.com</t>
  </si>
  <si>
    <t>Online Behavior&gt;United States&gt;B2B Â» Occupation&gt;TravelAgent</t>
  </si>
  <si>
    <t>milb.com</t>
  </si>
  <si>
    <t>US Â» Reach Â» Propensity Models Â» Hobbies and Interest Â» Music Â» Download</t>
  </si>
  <si>
    <t>US Â» Reach Â» Propensity Models Â» Hobbies and Interest Â» Music Â» Listens to Pop Music</t>
  </si>
  <si>
    <t>Online Behavior&gt;United States&gt;B2B Â» Occupation&gt;Architect</t>
  </si>
  <si>
    <t>Online Behavior&gt;United States&gt;Validated Demographic Â» Gender and Age Combined&gt;Males 45-54</t>
  </si>
  <si>
    <t>c5n.com</t>
  </si>
  <si>
    <t>Online Behavior&gt;United States&gt;B2B Â» Occupation&gt;Teacher</t>
  </si>
  <si>
    <t>US Â» Reach Â» Propensity Models Â» Lifestyle Â» Loyalty Programs Â» Loyalty Card User</t>
  </si>
  <si>
    <t>Online Behavior&gt;United States&gt;Finance Â» Financial Planning and Management&gt;Asset and Portfolio Management</t>
  </si>
  <si>
    <t>culturess.com</t>
  </si>
  <si>
    <t>Online Behavior&gt;United States&gt;B2B Â» Occupation&gt;PropertyManager</t>
  </si>
  <si>
    <t>US Â» Reach Â» Propensity Models Â» Lifestyle Â» Loyalty Programs Â» Frequent Flyer Program Member</t>
  </si>
  <si>
    <t>zleague.gg</t>
  </si>
  <si>
    <t>US Â» Reach Â» Propensity Models Â» Hobbies and Interest Â» Sports Â» Plays Soccer</t>
  </si>
  <si>
    <t>health.usnews.com</t>
  </si>
  <si>
    <t>US Â» Reach Â» Propensity Models Â» Household Consumer Expenditures Â» Kitchen</t>
  </si>
  <si>
    <t>culinaryhill.com</t>
  </si>
  <si>
    <t>US Â» Reach Â» Propensity Models Â» Hobbies and Interest Â» Food and Drinks Â» Eats at Fast Food Restaurants</t>
  </si>
  <si>
    <t>bestbuy.com</t>
  </si>
  <si>
    <t>US Â» Reach Â» Propensity Models Â» Household Consumer Expenditures Â» Furniture</t>
  </si>
  <si>
    <t>Louisville, Kentucky</t>
  </si>
  <si>
    <t>US Â» AUTO Â» Primary Vehicle Â» Owned or Leased Â» Privately owned</t>
  </si>
  <si>
    <t>US Â» Reach Â» Propensity Models Â» Hobbies and Interest Â» Sports Â» Canoeing Â» Kayaking</t>
  </si>
  <si>
    <t>thebigmansworld.com</t>
  </si>
  <si>
    <t>US Â» Response Performance Â» Direct Marketing Purchasers</t>
  </si>
  <si>
    <t>gamingbible.com</t>
  </si>
  <si>
    <t>US Â» Reach Â» Propensity Models Â» Hobbies and Interest Â» Cultural Arts</t>
  </si>
  <si>
    <t>Media and Entertainment Â» Audio and Video Streaming Â» Streaming Video Â» Interest (Affinity)</t>
  </si>
  <si>
    <t>US Â» Reach Â» Propensity Models Â» Travel Â» High Frequency Travel Â» Business Traveler</t>
  </si>
  <si>
    <t>tomshardware.com</t>
  </si>
  <si>
    <t>US Â» Sociodemographic Â» ConneXions Lifestage Â» Y2 Emerging Techies</t>
  </si>
  <si>
    <t>shareably.net</t>
  </si>
  <si>
    <t>OnAudience</t>
  </si>
  <si>
    <t>clutchpoints.com</t>
  </si>
  <si>
    <t>US Â» B2B Â» B2B Decision Maker Responsibilities Â» Security Services</t>
  </si>
  <si>
    <t>US Â» Reach Â» Propensity Models Â» Finance Â» Credit Â» Debit Card Â» Store Credit Card User</t>
  </si>
  <si>
    <t>US Â» Reach Â» Propensity Models Â» Household Consumer Expenditures Â» Pets</t>
  </si>
  <si>
    <t>US Â» Multibuyer Behaviors Â» Paid with Credit Card</t>
  </si>
  <si>
    <t>baseball.fantasysports.yahoo.com</t>
  </si>
  <si>
    <t>OnAudience Â» Interest Â» News &amp; Magazines</t>
  </si>
  <si>
    <t>US Â» Brand Propensities Â» Travel Â» Sandals Resorts Buyer Propensity</t>
  </si>
  <si>
    <t>OnAudience Â» Interest Â» Business</t>
  </si>
  <si>
    <t>Media and Entertainment Â» Audio and Video Streaming</t>
  </si>
  <si>
    <t>wthr.com</t>
  </si>
  <si>
    <t>US Â» AUTO Â» Primary Vehicle Â» Owned or Leased Â» Company Car</t>
  </si>
  <si>
    <t>Hattiesburg-Laurel, Mississippi</t>
  </si>
  <si>
    <t>onechicagocenter.com</t>
  </si>
  <si>
    <t>Media and Entertainment Â» Sports and Recreational Activities Â» Interest (Affinity) Â» Olympics</t>
  </si>
  <si>
    <t>OnAudience Â» Interest Â» Society</t>
  </si>
  <si>
    <t>thehulltruth.com</t>
  </si>
  <si>
    <t>World Localities</t>
  </si>
  <si>
    <t>Real Estate Â» Property Type&gt; Residential</t>
  </si>
  <si>
    <t>US Â» Brand Propensities Â» Apparel Â» Lady Foot Locker Buyer Propensity</t>
  </si>
  <si>
    <t>US Â» Brand Propensities Â» Travel Â» American Airlines Buyer Propensity</t>
  </si>
  <si>
    <t>Travel and Tourism Â» Interest (Affinity) Â» Destinations Â» North America</t>
  </si>
  <si>
    <t>US Â» B2B Â» B2B Decision Maker Responsibilities Â» Sales</t>
  </si>
  <si>
    <t>Travel and Tourism Â» Interest (Affinity) Â» Destinations Â» North America Â» United States</t>
  </si>
  <si>
    <t>Media and Entertainment Â» Consumer Entertainment Technology Â» Interest</t>
  </si>
  <si>
    <t>genius.com</t>
  </si>
  <si>
    <t>OnAudience Â» Interest Â» Sports</t>
  </si>
  <si>
    <t>OnAudience Â» Interest Â» Education</t>
  </si>
  <si>
    <t>US Demographic Â» Preferred Language Â» Individual Â» Non-Hispanic</t>
  </si>
  <si>
    <t>houseplans.net</t>
  </si>
  <si>
    <t>US Â» Interest Propensities Â» Insurance Â» Aetna Group</t>
  </si>
  <si>
    <t>foxbusiness.com</t>
  </si>
  <si>
    <t>US Â» Interest Propensities Â» Activities and Interests Â» Local News</t>
  </si>
  <si>
    <t>OnAudience Â» Interest Â» Finance</t>
  </si>
  <si>
    <t>pcmag.com</t>
  </si>
  <si>
    <t>US Â» Brand Propensities Â» Food and Drug Â» Postmates Buyer Propensity</t>
  </si>
  <si>
    <t>US Â» Interest Propensities Â» Activities and Interests Â» Buying and Selling Homes Â» Real Estate</t>
  </si>
  <si>
    <t>US Â» Sociodemographic Â» PRIZM Premier Social Â» C2 City Centers</t>
  </si>
  <si>
    <t>US Â» Brand Propensities Â» Telecom and Service Providers Â» PureTalk USA Buyer Propensity</t>
  </si>
  <si>
    <t>mashed.com</t>
  </si>
  <si>
    <t>US Â» Brand Propensities Â» Personas Â» Black Friday Buyer Propensity</t>
  </si>
  <si>
    <t>abc7chicago.com</t>
  </si>
  <si>
    <t>Mobile - US Â» Food Â» Restaurant Â» Brand Â» Moes Southwest Grill</t>
  </si>
  <si>
    <t>Lotame Â» Style, Fashion &amp; Clothing</t>
  </si>
  <si>
    <t>rvtrader.com</t>
  </si>
  <si>
    <t>US Â» AUTO Â» Auto Car Purchase Next Year Â» Yes</t>
  </si>
  <si>
    <t>Net Asset Value Â» $100,000 - $249,999</t>
  </si>
  <si>
    <t>chicago.suntimes.com</t>
  </si>
  <si>
    <t>US Buying Channel Preference Â» Online</t>
  </si>
  <si>
    <t>travelerdreams.com</t>
  </si>
  <si>
    <t>US Â» Brand Propensities Â» Media and Entertainment Â» wwe.com Buyer Propensity</t>
  </si>
  <si>
    <t>allrecipes.com</t>
  </si>
  <si>
    <t>US Â» B2B Â» B2B Decision Maker Responsibilities Â» Advertising Services</t>
  </si>
  <si>
    <t>dmv.org</t>
  </si>
  <si>
    <t>Mobile Audience Â» Lifestyle Â» Arts Enthusiasts</t>
  </si>
  <si>
    <t>OnAudience Â» Interest Â» Science Â» Weather</t>
  </si>
  <si>
    <t>omnicalculator.com</t>
  </si>
  <si>
    <t>Lotame Â» Style, Fashion &amp; Clothing Â» Children's Clothing Shoppers</t>
  </si>
  <si>
    <t>lensvid.com</t>
  </si>
  <si>
    <t>US Â» B2B Â» B2B Decision Maker Responsibilities Â» Real Estate Services</t>
  </si>
  <si>
    <t>OnAudience Â» Interest Â» Technology &amp; Computing Â» Internet Technology</t>
  </si>
  <si>
    <t>US Â» Demographic Â» Family Â» Male Head of Household</t>
  </si>
  <si>
    <t>US Â» Brand Propensities Â» Travel Â» MGM Resorts International Buyer Propensity</t>
  </si>
  <si>
    <t>Lotame Â» Personal Finance Â» Online Banking</t>
  </si>
  <si>
    <t>dailyberri.com</t>
  </si>
  <si>
    <t>US Â» Health and Wellbeing Â» Health and Wellbeing</t>
  </si>
  <si>
    <t>OnAudience Â» Interest Â» Arts &amp; Entertainment Â» Movies</t>
  </si>
  <si>
    <t>US Â» Brand Propensities Â» Health Â» Beauty and Cosmetics Â» Mary Kay Buyer Propensity</t>
  </si>
  <si>
    <t>US Â» Sociodemographic Â» PRIZM Premier Social Â» T2 Country Comfort</t>
  </si>
  <si>
    <t>US Â» Demo Â» Age Â» 55-64</t>
  </si>
  <si>
    <t>ajc.com</t>
  </si>
  <si>
    <t>OnAudience Â» Interest Â» Shopping Â» Shopping Mall Buyers</t>
  </si>
  <si>
    <t>US Financial Â» Method of Payment Â» Other</t>
  </si>
  <si>
    <t>Media and Entertainment Â» Sports and Recreational Activities Â» Interest (Affinity) Â» Team Sports Â» Baseball</t>
  </si>
  <si>
    <t>OnAudience Â» Intent Â» Electronics Â» Video Â» Televisions</t>
  </si>
  <si>
    <t>OnAudience Â» Interest Â» Style &amp; Fashion Â» Fashion</t>
  </si>
  <si>
    <t>Online Behavior&gt;United States&gt;News&gt;Politics</t>
  </si>
  <si>
    <t>Online Behavior&gt;United States&gt;Finance Â» Insurance&gt;Health Insurance</t>
  </si>
  <si>
    <t>myfitnesspal.com</t>
  </si>
  <si>
    <t>Online Behavior&gt;United States&gt;Beauty and Fitness&gt;Face and Body Care Â» Make-Up and Cosmetics</t>
  </si>
  <si>
    <t>Online Behavior&gt;United States&gt;Online Communities&gt;Online Goodies</t>
  </si>
  <si>
    <t>Online Behavior&gt;United States&gt;Arts and Entertainment&gt;Events and Listings Â» Concerts and Music Festivals</t>
  </si>
  <si>
    <t>usssa.com</t>
  </si>
  <si>
    <t>Online Behavior&gt;United States&gt;Arts and Entertainment&gt;Online Media</t>
  </si>
  <si>
    <t>telehealthdave.com</t>
  </si>
  <si>
    <t>Online Behavior&gt;United States&gt;Intent Â» Shopping&gt;Consumer Electronics Â» Mobile Phones, Smartphones, Cell Phones</t>
  </si>
  <si>
    <t>aarp.org</t>
  </si>
  <si>
    <t>Online Behavior&gt;United States&gt;Online Communities&gt;Social Networks</t>
  </si>
  <si>
    <t>Online Behavior&gt;United States&gt;Home and Garden&gt;Bed and Bath</t>
  </si>
  <si>
    <t>Online Behavior&gt;United States&gt;Law and Government&gt;Military</t>
  </si>
  <si>
    <t>Online Behavior&gt;United States&gt;Hobbies and Leisure&gt;Outdoors Â» Fishing</t>
  </si>
  <si>
    <t>Online Behavior&gt;United States&gt;Autos and Vehicles&gt;Bicycles and Accessories</t>
  </si>
  <si>
    <t>unsophisticook.com</t>
  </si>
  <si>
    <t>Online Behavior&gt;United States&gt;The Changing Consumer&gt;Outdoor Activities</t>
  </si>
  <si>
    <t>holidayinsights.com</t>
  </si>
  <si>
    <t>Online Behavior&gt;United States&gt;Internet and Telecom&gt;Service Providers</t>
  </si>
  <si>
    <t>latimes.com</t>
  </si>
  <si>
    <t>Online Behavior&gt;United States&gt;Hobbies and Leisure&gt;Outdoors Â» Hiking and Camping</t>
  </si>
  <si>
    <t>Online Behavior&gt;United States&gt;Finance Â» Accounting and Auditing&gt;Tax Preparation and Planning</t>
  </si>
  <si>
    <t>Online Behavior&gt;United States&gt;People and Society&gt;Family and Relationships Â» Dads</t>
  </si>
  <si>
    <t>btrending.com</t>
  </si>
  <si>
    <t>Online Behavior&gt;United States&gt;Arts and Entertainment&gt;Performing Arts</t>
  </si>
  <si>
    <t>point2homes.com</t>
  </si>
  <si>
    <t>Online Behavior&gt;United States&gt;Arts and Entertainment&gt;Events and Listings</t>
  </si>
  <si>
    <t>popularmechanics.com</t>
  </si>
  <si>
    <t>Online Behavior&gt;United States&gt;News&gt;Weather</t>
  </si>
  <si>
    <t>Online Behavior&gt;United States&gt;Beauty and Fitness&gt;Cosmetic Procedures</t>
  </si>
  <si>
    <t>Online Behavior&gt;United States&gt;Finance Â» Investing&gt;Brokerages and Day Trading</t>
  </si>
  <si>
    <t>Online Behavior&gt;United States&gt;Sports&gt;World Sports Competitions Â» Olympics</t>
  </si>
  <si>
    <t>buzzfeednews.com</t>
  </si>
  <si>
    <t>Online Behavior&gt;United States&gt;Games&gt;Online Games</t>
  </si>
  <si>
    <t>Online Behavior&gt;United States&gt;Internet and Telecom&gt;Teleconferencing</t>
  </si>
  <si>
    <t>calculatorsoup.com</t>
  </si>
  <si>
    <t>Online Behavior&gt;United States&gt;Intent Â» Travel&gt;Car Rentals</t>
  </si>
  <si>
    <t>maketecheasier.com</t>
  </si>
  <si>
    <t>Online Behavior&gt;United States&gt;Arts and Entertainment&gt;Music and Audio</t>
  </si>
  <si>
    <t>chicagotribune.com</t>
  </si>
  <si>
    <t>Online Behavior&gt;United States&gt;Sports&gt;Team Sports Â» Soccer</t>
  </si>
  <si>
    <t>Online Behavior&gt;United States&gt;Intent Â» Financial Intent&gt;Loans and Credit</t>
  </si>
  <si>
    <t>Online Behavior&gt;United States&gt;Sports&gt;Individual Sports Â» Bowling</t>
  </si>
  <si>
    <t>Online Behavior&gt;United States&gt;Intent Â» Services&gt;Finance and Insurance</t>
  </si>
  <si>
    <t>ballercap.com</t>
  </si>
  <si>
    <t>Online Behavior&gt;United States&gt;Travel&gt;Luggage and Travel Accessories</t>
  </si>
  <si>
    <t>Online Behavior&gt;United States&gt;Sports&gt;Individual Sports Â» Racquet Sports</t>
  </si>
  <si>
    <t>stocktwits.com</t>
  </si>
  <si>
    <t>Online Behavior&gt;United States&gt;Intent Â» Financial Intent&gt;Insurance</t>
  </si>
  <si>
    <t>imeicheck.com</t>
  </si>
  <si>
    <t>Online Behavior&gt;United States&gt;Autos and Vehicles Â» Brands&gt;Toyota</t>
  </si>
  <si>
    <t>pgatour.com</t>
  </si>
  <si>
    <t>Online Behavior&gt;United States&gt;Intent Â» Financial Intent&gt;Personal Finance</t>
  </si>
  <si>
    <t>repairlinkshop.com</t>
  </si>
  <si>
    <t>Online Behavior&gt;United States&gt;Sports&gt;Water Sports Â» Swimming</t>
  </si>
  <si>
    <t>Online Behavior&gt;United States&gt;Arts and Entertainment&gt;Celebrities and Entertainment News</t>
  </si>
  <si>
    <t>Online Behavior&gt;United States&gt;Sports&gt;Combat Sports</t>
  </si>
  <si>
    <t>fabcrunch.com</t>
  </si>
  <si>
    <t>Online Behavior&gt;United States&gt;Intent Â» Financial Intent&gt;Insurance Â» Health</t>
  </si>
  <si>
    <t>Online Behavior&gt;United States&gt;Arts and Entertainment&gt;Humor</t>
  </si>
  <si>
    <t>Online Behavior&gt;United States&gt;The Changing Consumer&gt;Moving and Relocating</t>
  </si>
  <si>
    <t>Online Behavior&gt;United States&gt;Intent Â» Shopping&gt;Entertainment</t>
  </si>
  <si>
    <t>Online Behavior&gt;United States&gt;Intent Â» Shopping&gt;Consumer Electronics</t>
  </si>
  <si>
    <t>economictimes.indiatimes.com</t>
  </si>
  <si>
    <t>Online Behavior&gt;United States&gt;Intent Â» Shopping&gt;Wireless Providers</t>
  </si>
  <si>
    <t>Online Behavior&gt;United States&gt;Intent Â» Travel&gt;Cruises</t>
  </si>
  <si>
    <t>doctoreport.com</t>
  </si>
  <si>
    <t>Online Behavior&gt;United States&gt;Validated Demographic Â» Age&gt;25 or older</t>
  </si>
  <si>
    <t>kiplinger.com</t>
  </si>
  <si>
    <t>Online Behavior&gt;United States&gt;Intent Â» Financial Intent&gt;Insurance Â» Auto</t>
  </si>
  <si>
    <t>Online Behavior&gt;United States&gt;Intent Â» Services&gt;Sports and Recreation</t>
  </si>
  <si>
    <t>travelfiber.com</t>
  </si>
  <si>
    <t>Online Behavior&gt;United States&gt;Intent Â» Auto Buyers&gt;Used</t>
  </si>
  <si>
    <t>gobankingrates.com</t>
  </si>
  <si>
    <t>Online Behavior&gt;United States&gt;Intent Â» Travel&gt;Budget Travel</t>
  </si>
  <si>
    <t>yachtworld.com</t>
  </si>
  <si>
    <t>Online Behavior&gt;United States&gt;Intent Â» Auto Buyers Â» Category&gt;Motorcycle</t>
  </si>
  <si>
    <t>Online Behavior&gt;United States&gt;Autos and Vehicles Â» Brands&gt;Fiat</t>
  </si>
  <si>
    <t>thekrazycouponlady.com</t>
  </si>
  <si>
    <t>Online Behavior&gt;United States&gt;Intent Â» Auto Buyers Â» Type&gt;Hatchback</t>
  </si>
  <si>
    <t>foodnetwork.com</t>
  </si>
  <si>
    <t>Online Behavior&gt;United States&gt;Autos and Vehicles Â» Brands&gt;Honda</t>
  </si>
  <si>
    <t>Online Behavior&gt;United States&gt;Autos and Vehicles Â» Brands&gt;Audi</t>
  </si>
  <si>
    <t>isitdownrightnow.com</t>
  </si>
  <si>
    <t>Online Behavior&gt;United States&gt;Intent Â» Auto Buyers Â» Car Make&gt;Chevrolet</t>
  </si>
  <si>
    <t>bobvila.com</t>
  </si>
  <si>
    <t>Online Behavior&gt;United States&gt;Intent Â» Auto Buyers Â» Car Make&gt;GMC</t>
  </si>
  <si>
    <t>wp.pl</t>
  </si>
  <si>
    <t>Online Behavior&gt;United States&gt;The Changing Consumer&gt;Social Distance Traveling</t>
  </si>
  <si>
    <t>Online Behavior&gt;United States&gt;Arts and Entertainment&gt;Events and Listings Â» Movie Listings and Theater Showtimes</t>
  </si>
  <si>
    <t>freetypinggame.net</t>
  </si>
  <si>
    <t>Online Behavior&gt;United States&gt;Finance Â» Grants, Scholarships and Financial Aid&gt;Grants, Scholarships and Financial Aid</t>
  </si>
  <si>
    <t>Online Behavior&gt;United States&gt;Autos and Vehicles Â» Brands&gt;Nissan</t>
  </si>
  <si>
    <t>thefinancechatter.com</t>
  </si>
  <si>
    <t>Online Behavior&gt;United States&gt;Intent Â» Real Estate&gt;Commercial</t>
  </si>
  <si>
    <t>Online Behavior&gt;United States&gt;Intent Â» Real Estate&gt;Residential</t>
  </si>
  <si>
    <t>Online Behavior&gt;United States&gt;Autos and Vehicles Â» Brands&gt;Suzuki</t>
  </si>
  <si>
    <t>comicbookmovie.com</t>
  </si>
  <si>
    <t>Online Behavior&gt;United States&gt;Autos and Vehicles Â» Brands&gt;Hyundai</t>
  </si>
  <si>
    <t>chosun.com</t>
  </si>
  <si>
    <t>Online Behavior&gt;United States&gt;Real Estate&gt;Renter</t>
  </si>
  <si>
    <t>uproxx.com</t>
  </si>
  <si>
    <t>Online Behavior&gt;United States&gt;Autos and Vehicles Â» Brands&gt;Jaguar</t>
  </si>
  <si>
    <t>Online Behavior&gt;United States&gt;Autos and Vehicles Â» Brands&gt;Rolls-Royce</t>
  </si>
  <si>
    <t>Online Behavior&gt;United States&gt;Intent Â» Services&gt;Gas Stations</t>
  </si>
  <si>
    <t>Online Behavior&gt;United States&gt;Beauty and Fitness&gt;Face and Body Care Â» Perfumes and Fragrances</t>
  </si>
  <si>
    <t>Online Behavior&gt;United States&gt;Autos and Vehicles Â» Brands&gt;Hummer</t>
  </si>
  <si>
    <t>brandsoftheworld.com</t>
  </si>
  <si>
    <t>Online Behavior&gt;United States&gt;Travel&gt;Specialty Travel Â» Sightseeing Tours</t>
  </si>
  <si>
    <t>themediterraneandish.com</t>
  </si>
  <si>
    <t>Online Behavior&gt;United States&gt;Arts and Entertainment&gt;Offbeat</t>
  </si>
  <si>
    <t>outkick.com</t>
  </si>
  <si>
    <t>Online Behavior&gt;United States&gt;The Changing Consumer&gt;Telehealth</t>
  </si>
  <si>
    <t>Online Behavior&gt;United States&gt;Food and Drink&gt;Beverages Â» Wine</t>
  </si>
  <si>
    <t>Online Behavior&gt;United States&gt;The Changing Consumer&gt;Smart Home</t>
  </si>
  <si>
    <t>collider.com</t>
  </si>
  <si>
    <t>Online Behavior&gt;United States&gt;Food and Drink&gt;Beverages Â» Liquor</t>
  </si>
  <si>
    <t>Online Behavior&gt;United States&gt;Autos and Vehicles Â» Brands&gt;Maserati</t>
  </si>
  <si>
    <t>Online Behavior&gt;United States&gt;Online Communities&gt;File Sharing and Hosting</t>
  </si>
  <si>
    <t>Online Behavior&gt;United States&gt;Internet and Telecom&gt;Web Services</t>
  </si>
  <si>
    <t>Online Behavior&gt;United States&gt;The Changing Consumer&gt;Home Entertaining</t>
  </si>
  <si>
    <t>Online Behavior&gt;United States&gt;Food and Drink&gt;Restaurants Â» Pizzerias</t>
  </si>
  <si>
    <t>heraldweekly.com</t>
  </si>
  <si>
    <t>Online Behavior&gt;United States&gt;Online Communities&gt;Photo and Video Sharing</t>
  </si>
  <si>
    <t>Online Behavior&gt;United States&gt;Travel&gt;Specialty Travel Â» Vineyards and Wine Tourism</t>
  </si>
  <si>
    <t>Online Behavior&gt;United States&gt;Food and Drink&gt;Restaurants Â» Catering</t>
  </si>
  <si>
    <t>freepik.com</t>
  </si>
  <si>
    <t>Online Behavior&gt;United States&gt;Validated Demographic Â» Gender and Age Combined&gt;Females 25-54</t>
  </si>
  <si>
    <t>domesticatedcompanion.com</t>
  </si>
  <si>
    <t>Online Behavior&gt;United States&gt;Sports&gt;Extreme Sports</t>
  </si>
  <si>
    <t>Online Behavior&gt;United States&gt;Autos and Vehicles Â» Brands&gt;Lexus</t>
  </si>
  <si>
    <t>sportpirate.com</t>
  </si>
  <si>
    <t>Online Behavior&gt;United States&gt;Validated Demographic Â» Gender and Age Combined&gt;Males 65 or older</t>
  </si>
  <si>
    <t>Online Behavior&gt;United States&gt;Validated Demographic Â» Gender and Age Combined&gt;Females 18-34</t>
  </si>
  <si>
    <t>fox4now.com</t>
  </si>
  <si>
    <t>Online Behavior&gt;United States&gt;Intent Â» Auto Buyers Â» Category&gt;Van</t>
  </si>
  <si>
    <t>tasteofhome.com</t>
  </si>
  <si>
    <t>Online Behavior&gt;United States&gt;Intent Â» Shopping&gt;CPG» Grocery</t>
  </si>
  <si>
    <t>dailybee.com</t>
  </si>
  <si>
    <t>Online Behavior&gt;United States&gt;Intent Â» Travel&gt;Amusement Parks</t>
  </si>
  <si>
    <t>verywellhealth.com</t>
  </si>
  <si>
    <t>Online Behavior&gt;United States&gt;Validated Demographic Â» Gender and Age Combined&gt;Males 18-44</t>
  </si>
  <si>
    <t>Online Behavior&gt;United States&gt;B2B Â» Occupation&gt;Musician</t>
  </si>
  <si>
    <t>Online Behavior&gt;United States&gt;Intent Â» Services&gt;Home and Garden</t>
  </si>
  <si>
    <t>Online Behavior&gt;United States&gt;The Changing Consumer&gt;Home Fitness and Health Â» Wellness</t>
  </si>
  <si>
    <t>goodhousekeeping.com</t>
  </si>
  <si>
    <t>Online Behavior&gt;United States&gt;Validated Demographic Â» Age&gt;25-44</t>
  </si>
  <si>
    <t>cheapoair.com</t>
  </si>
  <si>
    <t>Online Behavior&gt;United States&gt;Intent Â» Services&gt;Elderly People Care</t>
  </si>
  <si>
    <t>Online Behavior&gt;United States&gt;Hobbies and Leisure&gt;Contests, Awards and Prizes</t>
  </si>
  <si>
    <t>Online Behavior&gt;United States&gt;Beauty and Fitness&gt;Fitness Â» Fitness Equipment and Accessories</t>
  </si>
  <si>
    <t>Online Behavior&gt;United States&gt;The Changing Consumer&gt;Video Conferencing</t>
  </si>
  <si>
    <t>nanoreview.net</t>
  </si>
  <si>
    <t>Online Behavior&gt;United States&gt;The Changing Consumer&gt;B2B Work from Home</t>
  </si>
  <si>
    <t>Online Behavior&gt;United States&gt;Sports&gt;Water Sports Â» Surfing</t>
  </si>
  <si>
    <t>Online Behavior&gt;United States&gt;Autos and Vehicles Â» Brands&gt;Lincoln</t>
  </si>
  <si>
    <t>usmagazine.com</t>
  </si>
  <si>
    <t>Online Behavior&gt;United States&gt;Autos and Vehicles Â» Brands&gt;Subaru</t>
  </si>
  <si>
    <t>allnurseryrhymes.com</t>
  </si>
  <si>
    <t>US Â» Reach Â» Sociodemographic Â» Age Â» 50-54</t>
  </si>
  <si>
    <t>Online Behavior&gt;United States&gt;The Changing Consumer&gt;Athleisure</t>
  </si>
  <si>
    <t>whatismyip.com</t>
  </si>
  <si>
    <t>US Â» Reach Â» Sociodemographic Â» Marital Status Â» Married</t>
  </si>
  <si>
    <t>riddles.com</t>
  </si>
  <si>
    <t>Online Behavior&gt;United States&gt;The Changing Consumer&gt;Urban Farmer</t>
  </si>
  <si>
    <t>parentinfluence.com</t>
  </si>
  <si>
    <t>Online Behavior&gt;United States&gt;Autos and Vehicles Â» Brands&gt;Chrysler</t>
  </si>
  <si>
    <t>Online Behavior&gt;United States&gt;Life Event&gt;Retirement Planning</t>
  </si>
  <si>
    <t>macworld.com</t>
  </si>
  <si>
    <t>Online Behavior&gt;United States&gt;B2B Â» Occupation&gt;RealEstateAgent</t>
  </si>
  <si>
    <t>liquor.com</t>
  </si>
  <si>
    <t>Online Behavior&gt;United States&gt;Finance Â» Insurance&gt;Vehicle Insurance</t>
  </si>
  <si>
    <t>pdf24.org</t>
  </si>
  <si>
    <t>Online Behavior&gt;United States&gt;Beauty and Fitness&gt;Hair Care Â» Hair Loss</t>
  </si>
  <si>
    <t>emojipedia.org</t>
  </si>
  <si>
    <t>US Â» Reach Â» Propensity Models Â» Hobbies and Interest Â» Music Â» Listens to Hip Hop Music</t>
  </si>
  <si>
    <t>US Â» Reach Â» Propensity Models Â» Coupon Users</t>
  </si>
  <si>
    <t>daily-story.com</t>
  </si>
  <si>
    <t>Online Behavior&gt;United States&gt;The Changing Consumer&gt;College Living</t>
  </si>
  <si>
    <t>ilovepdf.com</t>
  </si>
  <si>
    <t>Online Behavior&gt;United States&gt;The Changing Consumer&gt;Home Learning</t>
  </si>
  <si>
    <t>US Â» Reach Â» Propensity Models Â» Hobbies and Interest Â» Sports Â» Plays Hockey</t>
  </si>
  <si>
    <t>thinkoutsidethecubiclenow.com</t>
  </si>
  <si>
    <t>US Â» Reach Â» Propensity Models Â» Lifestyle Â» Attend Â» Order Educational Programs</t>
  </si>
  <si>
    <t>coindesk.com</t>
  </si>
  <si>
    <t>US Â» Reach Â» Propensity Models Â» Hobbies and Interest Â» Music Â» Listens to Alternative Music</t>
  </si>
  <si>
    <t>Online Behavior&gt;United States&gt;B2B Â» Occupation&gt;IndustrialEngineer</t>
  </si>
  <si>
    <t>imgflip.com</t>
  </si>
  <si>
    <t>US Â» Reach Â» Propensity Models Â» Travel Â» High Frequency Travel Â» Domestic Vacationer</t>
  </si>
  <si>
    <t>tastingtable.com</t>
  </si>
  <si>
    <t>US Â» Reach Â» Sociodemographic Â» Household Income Â» $25,000-$49,999</t>
  </si>
  <si>
    <t>US Â» Demo Â» Age Â» 18+</t>
  </si>
  <si>
    <t>mlive.com</t>
  </si>
  <si>
    <t>US Â» Reach Â» Propensity Models Â» Hobbies and Interest Â» Music Â» Streaming</t>
  </si>
  <si>
    <t>Online Behavior&gt;United States&gt;B2B Â» Occupation&gt;Recruiter</t>
  </si>
  <si>
    <t>Online Behavior&gt;United States&gt;Autos and Vehicles&gt;Vehicle Shopping Â» Vehicle Specs, Reviews and Comparisons</t>
  </si>
  <si>
    <t>demilked.com</t>
  </si>
  <si>
    <t>Online Behavior&gt;United States&gt;Validated Demographic Â» Age&gt;45-54</t>
  </si>
  <si>
    <t>US Â» Reach Â» Propensity Models Â» Lifestyle Â» Loyalty Programs Â» Hotel Guest Loyalty Program</t>
  </si>
  <si>
    <t>mychicagosteak.com</t>
  </si>
  <si>
    <t>US Â» Reach Â» Sociodemographic Â» Education Level Â» Some College</t>
  </si>
  <si>
    <t>mymichiganbeach.com</t>
  </si>
  <si>
    <t>US Â» Reach Â» Propensity Models Â» Travel Â» High Frequency Travel Â» Cruise Enthusiast</t>
  </si>
  <si>
    <t>lazyadmin.nl</t>
  </si>
  <si>
    <t>Online Behavior&gt;United States&gt;Autos and Vehicles Â» Brands&gt;Tesla</t>
  </si>
  <si>
    <t>whitepages.com</t>
  </si>
  <si>
    <t>Online Behavior&gt;United States&gt;Finance Â» Accounting and Auditing&gt;Billing and Invoicing</t>
  </si>
  <si>
    <t>Online Behavior&gt;United States&gt;B2B Â» Occupation&gt;OfficeManager</t>
  </si>
  <si>
    <t>dafont.com</t>
  </si>
  <si>
    <t>US Â» Reach Â» Propensity Models Â» Hobbies and Interest Â» Photography</t>
  </si>
  <si>
    <t>Online Behavior&gt;United States&gt;Travel&gt;Specialty Travel Â» Ecotourism</t>
  </si>
  <si>
    <t>US Â» Reach Â» Sociodemographic Â» Education Level Â» High School Diploma</t>
  </si>
  <si>
    <t>my.earthlink.net</t>
  </si>
  <si>
    <t>US Â» Reach Â» Sociodemographic Â» Education Level Â» Less than High School Diploma</t>
  </si>
  <si>
    <t>US Â» Reach Â» Propensity Models Â» Lifestyle Â» Video Gamer</t>
  </si>
  <si>
    <t>newatlas.com</t>
  </si>
  <si>
    <t>US Â» Reach Â» Propensity Models Â» Finance Â» Brokerage Account Owner</t>
  </si>
  <si>
    <t>Online Behavior&gt;United States&gt;B2B Â» Occupation&gt;Finance</t>
  </si>
  <si>
    <t>mondestuff.com</t>
  </si>
  <si>
    <t>US Â» B2B Â» B2B Decision Maker Responsibilities Â» Maintenance Services</t>
  </si>
  <si>
    <t>US Â» Reach Â» Propensity Models Â» Hobbies and Interest Â» Sports Â» Plays Golf</t>
  </si>
  <si>
    <t>crunchycreamysweet.com</t>
  </si>
  <si>
    <t>US Â» Reach Â» Propensity Models Â» Finance Â» Investor</t>
  </si>
  <si>
    <t>US Â» Reach Â» Propensity Models Â» Lifestyle Â» Retired Â» Have Retirement Financial Plan</t>
  </si>
  <si>
    <t>breakingbourbon.com</t>
  </si>
  <si>
    <t>Media and Entertainment Â» Sports and Recreational Activities Â» Interest (Affinity)</t>
  </si>
  <si>
    <t>US Â» Reach Â» Propensity Models Â» Hobbies and Interest Â» Music Â» Listens to Rock Music</t>
  </si>
  <si>
    <t>southernliving.com</t>
  </si>
  <si>
    <t>US Â» Reach Â» Propensity Models Â» Online Â» Travel</t>
  </si>
  <si>
    <t>thesprucecrafts.com</t>
  </si>
  <si>
    <t>US Â» Demographic Â» Work at Home</t>
  </si>
  <si>
    <t>exploredplanet.com</t>
  </si>
  <si>
    <t>US Â» Reach Â» Propensity Models Â» Online Â» Home Maintenance</t>
  </si>
  <si>
    <t>sportsnaut.com</t>
  </si>
  <si>
    <t>US Â»Specialty Shopper Audience</t>
  </si>
  <si>
    <t>financialpanther.com</t>
  </si>
  <si>
    <t>US Â» Reach Â» Sociodemographic Â» Marital Status Â» Single</t>
  </si>
  <si>
    <t>cheatdaydesign.com</t>
  </si>
  <si>
    <t>US Â» B2B Â» B2B Decision Maker Responsibilities Â» Travel or Transportation</t>
  </si>
  <si>
    <t>instantlymodern.com</t>
  </si>
  <si>
    <t>Media and Entertainment Â» Sports and Recreational Activities Â» Interest (Affinity) Â» Team Sports</t>
  </si>
  <si>
    <t>golfmk7.com</t>
  </si>
  <si>
    <t>US Â» B2B Â» B2B Decision Maker Responsibilities Â» Telecommunications</t>
  </si>
  <si>
    <t>US Â»Digital Consumer Audience</t>
  </si>
  <si>
    <t>US Â» Premium Gender Â» Premium Gender Â» Females</t>
  </si>
  <si>
    <t>US Â» Reach Â» Propensity Models Â» Hobbies and Interest Â» Sports Â» NASCAR Enthusiast</t>
  </si>
  <si>
    <t>US Â» Brand Propensities Â» Media and Entertainment Â» iTunes Buyer Propensity</t>
  </si>
  <si>
    <t>fox5atlanta.com</t>
  </si>
  <si>
    <t>Online Behavior&gt;United States&gt;B2B Â» Occupation&gt;MechanicalEngineer</t>
  </si>
  <si>
    <t>US Â» Interest Propensities Â» TV and Movies Â» Daytime TV</t>
  </si>
  <si>
    <t>variety.com</t>
  </si>
  <si>
    <t>US Â» Reach Â» Sociodemographic Â» Estimated Current Home Value Â» $100,000-$159,999</t>
  </si>
  <si>
    <t>atlantamagazine.com</t>
  </si>
  <si>
    <t>Media and Entertainment Â» Music</t>
  </si>
  <si>
    <t>US Â» Interest Propensities Â» TV and Movies Â» Horror and Suspense</t>
  </si>
  <si>
    <t>doodle.com</t>
  </si>
  <si>
    <t>Media and Entertainment Â» Audio and Video Streaming Â» Streaming Video Â» Interest (Affinity) Â» Streaming Services</t>
  </si>
  <si>
    <t>OnAudience Â» Intent</t>
  </si>
  <si>
    <t>US Â» Interest Propensities Â» TV and Movies Â» Reality Â» Game Shows</t>
  </si>
  <si>
    <t>nbcsports.com</t>
  </si>
  <si>
    <t>US Â» Reach Â» Propensity Models Â» Hobbies and Interest Â» Sports Â» Outdoor Enthusiast</t>
  </si>
  <si>
    <t>expertphotography.com</t>
  </si>
  <si>
    <t>OnAudience Â» Interest Â» Hobbies &amp; Interests</t>
  </si>
  <si>
    <t>iheart.com</t>
  </si>
  <si>
    <t>US Â» B2B Â» B2B Decision Maker Responsibilities Â» Shipping or Mail Services</t>
  </si>
  <si>
    <t>US Â» Multibuyer Behaviors Â» Multibuyer Behaviors</t>
  </si>
  <si>
    <t>bgr.com</t>
  </si>
  <si>
    <t>US Â» Reach Â» Propensity Models Â» Lifestyle Â» Devices Â» Mobile Users</t>
  </si>
  <si>
    <t>US Â» Interest Propensities Â» Food and Drink Â» Chinese Cuisine</t>
  </si>
  <si>
    <t>hellolittlehome.com</t>
  </si>
  <si>
    <t>Media and Entertainment Â» News and Current Events Â» Online News Websites</t>
  </si>
  <si>
    <t>newsharper.com</t>
  </si>
  <si>
    <t>US Â» Reach Â» Sociodemographic Â» Age Â» 40-44</t>
  </si>
  <si>
    <t>community.spiceworks.com</t>
  </si>
  <si>
    <t>US Â» B2B Â» B2B Decision Maker Responsibilities Â» Accounting or Tax Services</t>
  </si>
  <si>
    <t>US Â» Interest Propensities Â» Music Â» Metal</t>
  </si>
  <si>
    <t>thewindowsclub.com</t>
  </si>
  <si>
    <t>US Â» B2B Â» B2B Decision Maker Responsibilities Â» Office Supplies or Equipment</t>
  </si>
  <si>
    <t>US Â» Interest Propensities Â» TV and Movies Â» Family Â» Animated</t>
  </si>
  <si>
    <t>brickseek.com</t>
  </si>
  <si>
    <t>US Â» Multibuyer Behaviors Â» Merchandise Buyers</t>
  </si>
  <si>
    <t>Real Estate Â» Ownership Status Â» Owner</t>
  </si>
  <si>
    <t>US Â» B2B Â» B2B Decision Maker Responsibilities Â» Raw Materials or Components</t>
  </si>
  <si>
    <t>Telecommunications (Telco) Â» Subscribers Â» Cable and Internet Service Providers (ISPs)</t>
  </si>
  <si>
    <t>US Â» Sociodemographic Â» PRIZM Premier Lifestage Â» F1 Accumulated Wealth</t>
  </si>
  <si>
    <t>wfla.com</t>
  </si>
  <si>
    <t>US Â» Reach Â» Propensity Models Â» Hobbies and Interest Â» Pets Â» Cat Owners</t>
  </si>
  <si>
    <t>US Â» Reach Â» Propensity Models Â» Real Estate Â» Monthly Mortgage Payment Â» $800-$999</t>
  </si>
  <si>
    <t>OnAudience Â» Interest Â» Technology &amp; Computing</t>
  </si>
  <si>
    <t>US Â» Reach Â» Propensity Models Â» Online Â» Lawn and Garden</t>
  </si>
  <si>
    <t>speedof.me</t>
  </si>
  <si>
    <t>Mobile - US Â» Device Ownership Â» Tablets Â» iOS (Apple) Â» yes</t>
  </si>
  <si>
    <t>US Â» Brand Propensities Â» Media and Entertainment Â» pokerstars.net Buyer Propensity</t>
  </si>
  <si>
    <t>Lotame Â» Technology</t>
  </si>
  <si>
    <t>OnAudience Â» Interest Â» Sport fans</t>
  </si>
  <si>
    <t>US Â» Brand Propensities Â» Electronics Â» Crutchfield Buyer Propensity</t>
  </si>
  <si>
    <t>US Â» Channel Preference Â» Direct Mail Orderers</t>
  </si>
  <si>
    <t>yourgv.com</t>
  </si>
  <si>
    <t>Mobile - US Â» Device Ownership Â» Tablets Â» iOS (Apple) Â» iPad PRO</t>
  </si>
  <si>
    <t>nme.com</t>
  </si>
  <si>
    <t>US Â» Sociodemographic Â» PRIZM Premier Social Â» S2 The Affluentials</t>
  </si>
  <si>
    <t>US Â» Brand Propensities Â» Pets Â» Petco Buyer Propensity</t>
  </si>
  <si>
    <t>collinsdictionary.com</t>
  </si>
  <si>
    <t>OnAudience Â» Interest Â» Law &amp; Government</t>
  </si>
  <si>
    <t>retailmenot.com</t>
  </si>
  <si>
    <t>US Â» Sociodemographic Â» ConneXions Lifestage Â» Y1 Young and Wireless</t>
  </si>
  <si>
    <t>dnschecker.org</t>
  </si>
  <si>
    <t>US Â» Brand Propensities Â» Telecom and Service Providers Â» Virgin Mobile Buyer Propensity</t>
  </si>
  <si>
    <t>totalprosports.com</t>
  </si>
  <si>
    <t>US Â» Interest Propensities Â» Insurance Â» Lincoln Heritage</t>
  </si>
  <si>
    <t>US Â» Reach Â» Sociodemographic Â» Estimated Current Home Value Â» $160,000-$199,999</t>
  </si>
  <si>
    <t>US Â» Interest Propensities Â» Celebrities Â» Celebrity Fan Gossip</t>
  </si>
  <si>
    <t>US Â» Demographic Â» Household Income $50k+</t>
  </si>
  <si>
    <t>OnAudience Â» Interest Â» Hobbies &amp; Interests Â» Technology</t>
  </si>
  <si>
    <t>invoice-generator.com</t>
  </si>
  <si>
    <t>OnAudience Â» Interest Â» Science</t>
  </si>
  <si>
    <t>blesserhouse.com</t>
  </si>
  <si>
    <t>Mobile - US Â» Subscribers Â» Old Phones Â» yes</t>
  </si>
  <si>
    <t>Mobile - US Â» Food Â» Restaurant Â» Brand Â» Whataburger</t>
  </si>
  <si>
    <t>US Â» B2B Â» Business Title or Role Â» Manager Â» Senior Manager</t>
  </si>
  <si>
    <t>freecarrierlookup.com</t>
  </si>
  <si>
    <t>US Financial Â» Likely In Market Timing Â» Not At All Likely to Purchase Â» Second House/Residence In The Next Year (Financial)</t>
  </si>
  <si>
    <t>maxroll.gg</t>
  </si>
  <si>
    <t>US Financial Â» Likely In Market Timing Â» Not At All Likely to Purchase Â» Sell House/Residence in the Next Year (Financial)</t>
  </si>
  <si>
    <t>seatguru.com</t>
  </si>
  <si>
    <t>OnAudience Â» Interest Â» Sport fans Â» Fitness Lovers</t>
  </si>
  <si>
    <t>historictalk.com</t>
  </si>
  <si>
    <t>Online Behavior&gt;United States&gt;B2B Â» Occupation&gt;SupplyChainManager</t>
  </si>
  <si>
    <t>US Financial Â» Likely Credit Card Â» Behavior Â» Used for Personal Purposes</t>
  </si>
  <si>
    <t>Media and Entertainment Â» Gaming</t>
  </si>
  <si>
    <t>bestlifeonline.com</t>
  </si>
  <si>
    <t>US Â» Interest Propensities Â» Insurance Â» Cigna Health Group</t>
  </si>
  <si>
    <t>kristineskitchenblog.com</t>
  </si>
  <si>
    <t>OnAudience Â» Interest Â» Travel</t>
  </si>
  <si>
    <t>Lotame Â» News &amp; Politics</t>
  </si>
  <si>
    <t>time.is</t>
  </si>
  <si>
    <t>Real Estate Â» Property Type Â» Single Family Residence Owners</t>
  </si>
  <si>
    <t>US Â» Multibuyer Behaviors Â» Multibuyers</t>
  </si>
  <si>
    <t>rtwin30days.com</t>
  </si>
  <si>
    <t>Lotame Â» Home &amp; Family Â» School &amp; Education</t>
  </si>
  <si>
    <t>Davenport,Iowa-Rock Island-Moline,Illinois</t>
  </si>
  <si>
    <t>OnAudience Â» Demography Â» Gender</t>
  </si>
  <si>
    <t>19216811.uno</t>
  </si>
  <si>
    <t>US Financial Â» Likely Credit Card Â» Card in Own Name Â» Any major Credit/Debit Card (Financial)</t>
  </si>
  <si>
    <t>US Â» Multibuyer Behaviors Â» Merchandise Multibuyers</t>
  </si>
  <si>
    <t>Media and Entertainment Â» Sports and Recreational Activities Â» Interest (Affinity) Â» Olympics Â» Summer Olympics</t>
  </si>
  <si>
    <t>att.yahoo.com</t>
  </si>
  <si>
    <t>US Financial Â» Estimated Disposable Income (Financial) Â» $0 - $99,999</t>
  </si>
  <si>
    <t>techcurved.com</t>
  </si>
  <si>
    <t>OnAudience Â» Interest Â» Technology &amp; Computing Â» Computer Peripherals</t>
  </si>
  <si>
    <t>capfriendly.com</t>
  </si>
  <si>
    <t>US Technology Â» Electronics Â» Computers</t>
  </si>
  <si>
    <t>goodreturns.in</t>
  </si>
  <si>
    <t>Mobile - US Â» Device Ownership Â» SmartTVs Â» Sony</t>
  </si>
  <si>
    <t>sqlservertutorial.net</t>
  </si>
  <si>
    <t>Mobile - US Â» Food Â» Restaurant Â» Brand Â» Red Lobster</t>
  </si>
  <si>
    <t>US Â» Home and Garden Interests Â» House and Garden Enthusiasts</t>
  </si>
  <si>
    <t>news-press.com</t>
  </si>
  <si>
    <t>Purchase-Based</t>
  </si>
  <si>
    <t>scitechdaily.com</t>
  </si>
  <si>
    <t>OnAudience Â» Interest Â» Travelling</t>
  </si>
  <si>
    <t>pravda.com.ua</t>
  </si>
  <si>
    <t>US Financial Â» Credit Card User</t>
  </si>
  <si>
    <t>science-a2z.com</t>
  </si>
  <si>
    <t>OnAudience Â» Intent Â» Baby &amp; Toddler Â» Baby Toys</t>
  </si>
  <si>
    <t>OnAudience Â» Intent Â» Electronics Â» Computers</t>
  </si>
  <si>
    <t>Media and Entertainment Â» Television (TV)</t>
  </si>
  <si>
    <t>US Â» Home and Garden Interests Â» House and Garden Merchandise Buyers</t>
  </si>
  <si>
    <t>Mobile - US Â» Food Â» Restaurant Â» Brand Â» Panera Bread</t>
  </si>
  <si>
    <t>hip-hopvibe.com</t>
  </si>
  <si>
    <t>US Financial Â» Likely Attitude and Behavior Â» Completely Disagree Â» When I Find A Financial Product/Service I Like I Typically Recommend It To People I Know (Financial)</t>
  </si>
  <si>
    <t>Mobile - US Â» Travel Â» Car Rentals Â» Enterprise</t>
  </si>
  <si>
    <t>Media and Entertainment Â» Movies</t>
  </si>
  <si>
    <t>US Â» B2B Â» B2B Decision Maker Responsibilities Â» Print, Copy or Photo Services</t>
  </si>
  <si>
    <t>Mobile - US Â» Shopping Â» Brand Â» Ace Hardware</t>
  </si>
  <si>
    <t>US Â» Interest Propensities Â» Insurance Â» Anthem</t>
  </si>
  <si>
    <t>technewstoday.com</t>
  </si>
  <si>
    <t>OnAudience Â» Intent Â» Electronics Â» Communications</t>
  </si>
  <si>
    <t>futbolred.com</t>
  </si>
  <si>
    <t>Media and Entertainment Â» Sports and Recreational Activities Â» Interest (Affinity) Â» Team Sports Â» Basketball</t>
  </si>
  <si>
    <t>canyouseeme.org</t>
  </si>
  <si>
    <t>US Interest Â» Consumer Electronics</t>
  </si>
  <si>
    <t>OnAudience Â» Interest Â» Arts &amp; Entertainment</t>
  </si>
  <si>
    <t>redfin.com</t>
  </si>
  <si>
    <t>Media and Entertainment Â» Connected TV and Over-the-Top (CTV and OTT) Â» Streaming Television and Film Viewership Â» OTT Network Viewers Â» FOX Streamers</t>
  </si>
  <si>
    <t>blueberries.gg</t>
  </si>
  <si>
    <t>Mobile - US Â» Subscribers Â» Domestic Mobile Carriers Â» Verizon</t>
  </si>
  <si>
    <t>prozoro.net.ua</t>
  </si>
  <si>
    <t>US Â» Brand Propensities Â» Automotive Â» Ford Credit Buyer Propensity</t>
  </si>
  <si>
    <t>US Â» Interest Propensities Â» Insurance Â» Humana</t>
  </si>
  <si>
    <t>Kargo</t>
  </si>
  <si>
    <t>OnAudience Â» Intent Â» Health &amp; Beauty</t>
  </si>
  <si>
    <t>techlicious.com</t>
  </si>
  <si>
    <t>Lotame Â» Travel Â» Summer Travel</t>
  </si>
  <si>
    <t>Lotame Â» Technology Â» Computers &amp; Software</t>
  </si>
  <si>
    <t>loremipsum.io</t>
  </si>
  <si>
    <t>OnAudience Â» Intent Â» Toys &amp; Games</t>
  </si>
  <si>
    <t>US Â» Brand Propensities Â» Health Â» Beauty and Cosmetics Â» Bare Escentuals Buyer Propensity</t>
  </si>
  <si>
    <t>Telecommunications and Mobile Tech Â» Mobile Devices and Connected Technology</t>
  </si>
  <si>
    <t>OnAudience Â» Interest Â» Science Â» Weather Forecast</t>
  </si>
  <si>
    <t>Mobile - US Â» Food Â» Restaurant Â» Style Â» Desserts</t>
  </si>
  <si>
    <t>Media and Entertainment Â» Gaming Â» Interest (Affinity) Â» Platforms and Consoles</t>
  </si>
  <si>
    <t>US Â»Big Box Audience</t>
  </si>
  <si>
    <t>beyondtheflag.com</t>
  </si>
  <si>
    <t>Lotame Â» Online Shoppers</t>
  </si>
  <si>
    <t>charlotteobserver.com</t>
  </si>
  <si>
    <t>Media and Entertainment Â» Sports and Recreational Activities Â» Interest (Affinity) Â» Team Sports Â» Soccer (Football)</t>
  </si>
  <si>
    <t>Media and Entertainment Â» Sports and Recreational Activities Â» Interest (Affinity) Â» Combat Sports</t>
  </si>
  <si>
    <t>Mobile - US Â» Demographics Â» Finance Â» Rent Value Â» Highest Rent Value</t>
  </si>
  <si>
    <t>Transactional Â» Q3 Home Improvement Shoppers</t>
  </si>
  <si>
    <t>clark.com</t>
  </si>
  <si>
    <t>US Â»Socially Connected Audience</t>
  </si>
  <si>
    <t>rottentomatoes.com</t>
  </si>
  <si>
    <t>US Technology Â» Social Media Â» Likely Behavior Â» Heavy Facebook User</t>
  </si>
  <si>
    <t>World Localities Â» North America Â» USA</t>
  </si>
  <si>
    <t>US Â» Sociodemographic Â» PRIZM Premier Lifestage Â» Y1 Midlife Success</t>
  </si>
  <si>
    <t>vecteezy.com</t>
  </si>
  <si>
    <t>OnAudience Â» Intent Â» Toys &amp; Games Â» Games</t>
  </si>
  <si>
    <t>jkdsd.org</t>
  </si>
  <si>
    <t>US Interest Â» Reading Â» General</t>
  </si>
  <si>
    <t>liveabout.com</t>
  </si>
  <si>
    <t>OnAudience Â» Interest Â» Personal Finance Â» Financial News</t>
  </si>
  <si>
    <t>dawn.com</t>
  </si>
  <si>
    <t>US Â» Interest Propensities Â» Activities and Interests Â» International News</t>
  </si>
  <si>
    <t>bridesblush.com</t>
  </si>
  <si>
    <t>US Â» Sociodemographic Â» PRIZM Premier Social Â» S3 Middleburbs</t>
  </si>
  <si>
    <t>purdueexponent.org</t>
  </si>
  <si>
    <t>US Â» Home and Garden Interests Â» Cooking Â» Food Enthusiasts</t>
  </si>
  <si>
    <t>OnAudience Â» Interest Â» Family &amp; Parenting</t>
  </si>
  <si>
    <t>relativelyinteresting.com</t>
  </si>
  <si>
    <t>OnAudience Â» Intent Â» Finance Â» Savings</t>
  </si>
  <si>
    <t>winloot.com</t>
  </si>
  <si>
    <t>Transactional Â» Q3 Fashion Shoppers</t>
  </si>
  <si>
    <t>US Â» Interest Propensities Â» Activities and Interests Â» B2B Job Search</t>
  </si>
  <si>
    <t>US Â» Brand Propensities Â» Home and Household Goods Â» Joss and Main Buyer Propensity</t>
  </si>
  <si>
    <t>pjstar.com</t>
  </si>
  <si>
    <t>US Â» Demographic Â» Family Â» Female Head of Household</t>
  </si>
  <si>
    <t>Mobile - US Â» Device Ownership Â» Smartphones Â» Huawei</t>
  </si>
  <si>
    <t>US Â» Sociodemographic Â» ConneXions Lifestage Â» F2 Suburban Spenders</t>
  </si>
  <si>
    <t>Mobile - US Â» Device Ownership Â» Smartphones Â» Vivo</t>
  </si>
  <si>
    <t>OnAudience Â» Interest Â» Technology &amp; Computing Â» Email</t>
  </si>
  <si>
    <t>sporcle.com</t>
  </si>
  <si>
    <t>OnAudience Â» Intent Â» Education</t>
  </si>
  <si>
    <t>US Â» Sociodemographic Â» PRIZM Premier Social Â» S4 Inner Suburbs</t>
  </si>
  <si>
    <t>movieweb.com</t>
  </si>
  <si>
    <t>Mobile - US Â» Shopping Â» Brand Â» Dicks</t>
  </si>
  <si>
    <t>trumpexcel.com</t>
  </si>
  <si>
    <t>OnAudience Â» Interest Â» Arts &amp; Entertainment Â» Music</t>
  </si>
  <si>
    <t>bleepingcomputer.com</t>
  </si>
  <si>
    <t>Mobile - US Â» Food Â» Restaurant Â» Brand Â» Jersey Mikes</t>
  </si>
  <si>
    <t>Columbus-Tupelo-West Point, Mississippi</t>
  </si>
  <si>
    <t>calculator.academy</t>
  </si>
  <si>
    <t>Mobile - US Â» Device Ownership Â» Smartphones Â» iOS (Apple) Â» iPhone 11</t>
  </si>
  <si>
    <t>OnAudience Â» Interest Â» Shopping Â» Online Shoppers</t>
  </si>
  <si>
    <t>menshealth.com</t>
  </si>
  <si>
    <t>yourbump.com</t>
  </si>
  <si>
    <t>Lotame Â» Social Media Â» Online Dating</t>
  </si>
  <si>
    <t>Meridian, Mississippi</t>
  </si>
  <si>
    <t>miamionthecheap.com</t>
  </si>
  <si>
    <t>OnAudience Â» Interest Â» Lifestyle</t>
  </si>
  <si>
    <t>subnet-calculator.com</t>
  </si>
  <si>
    <t>Mobile - US Â» Food Â» Coffee &amp; Tea</t>
  </si>
  <si>
    <t>US Interest Â» Home Â» Furnishings Â» Decorating</t>
  </si>
  <si>
    <t>ynet.co.il</t>
  </si>
  <si>
    <t>OnAudience Â» Interest Â» Style &amp; Fashion</t>
  </si>
  <si>
    <t>US Â» Brand Propensities Â» Apparel Â» Chicos Buyer Propensity</t>
  </si>
  <si>
    <t>androidwaves.com</t>
  </si>
  <si>
    <t>US Â» Composite Segment Â» Women Born to Shop</t>
  </si>
  <si>
    <t>Mobile - US Â» Sports Â» Water Sports Â» Boating</t>
  </si>
  <si>
    <t>Lotame Â» Style, Fashion &amp; Clothing Â» Women's Clothing Shoppers</t>
  </si>
  <si>
    <t>OnAudience Â» Intent Â» Media Â» DVDs &amp; Videos</t>
  </si>
  <si>
    <t>forkknifeswoon.com</t>
  </si>
  <si>
    <t>OnAudience Â» Intent Â» Auto</t>
  </si>
  <si>
    <t>minitool.com</t>
  </si>
  <si>
    <t>Mobile - US Â» Gamers Â» Online Â» Multi-player</t>
  </si>
  <si>
    <t>abcactionnews.com</t>
  </si>
  <si>
    <t>Purchase-Based Â» Categories Â» Home and Garden Buyers</t>
  </si>
  <si>
    <t>spanishdict.com/translate</t>
  </si>
  <si>
    <t>Lotame Â» Style, Fashion &amp; Clothing Â» Men's Clothing Shoppers</t>
  </si>
  <si>
    <t>zone.msn.com</t>
  </si>
  <si>
    <t>OnAudience Â» Intent Â» Electronics Â» Video Â» Satellite &amp; Cable TV</t>
  </si>
  <si>
    <t>247sports.com</t>
  </si>
  <si>
    <t>Lotame Â» Personal Finance Â» Stocks</t>
  </si>
  <si>
    <t>OnAudience Â» Intent Â» Electronics Â» Video</t>
  </si>
  <si>
    <t>US Interest Â» Home Â» Cooking/Food</t>
  </si>
  <si>
    <t>Mobile - US Â» Sports Â» Fantasy Sports</t>
  </si>
  <si>
    <t>Lotame Â» Travel Â» Cruise Travel</t>
  </si>
  <si>
    <t>corvetteblogger.com</t>
  </si>
  <si>
    <t>US Â» Sociodemographic Â» P$YCLE Premier Lifestage Â» M4 Midscale Matures</t>
  </si>
  <si>
    <t>dailyfinancestories.com</t>
  </si>
  <si>
    <t>Media and Entertainment Â» News and Current Events Â» Pop Culture</t>
  </si>
  <si>
    <t>es-us.noticias.yahoo.com</t>
  </si>
  <si>
    <t>US&gt;Green Consumer Audience</t>
  </si>
  <si>
    <t>US&gt;Connected Impulse-Shopper Audience</t>
  </si>
  <si>
    <t>US&gt;Rural Improvement Fanatic</t>
  </si>
  <si>
    <t>US&gt;Price-Driven Traditionalist Audience</t>
  </si>
  <si>
    <t>US&gt;Made In America Audience</t>
  </si>
  <si>
    <t>US&gt;Quality-First Shopper Audience</t>
  </si>
  <si>
    <t>US&gt;Specialty Shopper Audience</t>
  </si>
  <si>
    <t>US&gt;Digital Consumer Audience</t>
  </si>
  <si>
    <t>US&gt;Big Box Audience</t>
  </si>
  <si>
    <t>US&gt;Socially Connected Audience</t>
  </si>
  <si>
    <t>CTR</t>
  </si>
  <si>
    <t>CPC</t>
  </si>
  <si>
    <t>CPA</t>
  </si>
  <si>
    <t>CVR</t>
  </si>
  <si>
    <t>CPM</t>
  </si>
  <si>
    <t>Journey_Depth</t>
  </si>
  <si>
    <t>Online Behavior&gt;United States&gt;Autos and Vehicles&gt;Brands&gt;Mazda</t>
  </si>
  <si>
    <t>Online Behavior&gt;United States&gt;People and Society&gt;Family and Relationships&gt;Parents</t>
  </si>
  <si>
    <t>Online Behavior&gt;United States&gt;Finance&gt;Banking&gt;Savings Accounts</t>
  </si>
  <si>
    <t>US&gt;B2B&gt;Purchase DM&gt;Technology Services, Hardware and&gt;or Software&gt;I make the final decision with input from staff&gt;management</t>
  </si>
  <si>
    <t>Online Behavior&gt;United States&gt;Beauty and Fitness&gt;Face and Body Care&gt;Hygiene and Toiletries</t>
  </si>
  <si>
    <t>Online Behavior&gt;United States&gt;Travel&gt;Travel Agencies and Services&gt;Tourist Boards and Visitor Centers</t>
  </si>
  <si>
    <t>Online Behavior&gt;United States&gt;Finance&gt;Credit and Lending&gt;Credit and Lending</t>
  </si>
  <si>
    <t>Media and Entertainment&gt;News and Current Events</t>
  </si>
  <si>
    <t>US&gt;Reach&gt;Propensity Models&gt;Online&gt;Home Office</t>
  </si>
  <si>
    <t>Online Behavior&gt;United States&gt;Travel&gt;Specialty Travel&gt;Agritourism</t>
  </si>
  <si>
    <t>US&gt;Brand Propensities&gt;Health&gt;Beauty and Cosmetics&gt;Beachbody Buyer Propensity</t>
  </si>
  <si>
    <t>Online Behavior&gt;United States&gt;Autos and Vehicles&gt;Brands&gt;Porsche</t>
  </si>
  <si>
    <t>Online Behavior&gt;United States&gt;The Changing Consumer&gt;Data For Good&gt;Current Affairs - Social Justice</t>
  </si>
  <si>
    <t>Online Behavior&gt;United States&gt;Sports&gt;Team Sports&gt;Rugby</t>
  </si>
  <si>
    <t>Online Behavior&gt;United States&gt;Food and Drink&gt;Beverages&gt;Soft Drinks</t>
  </si>
  <si>
    <t>Online Behavior&gt;United States&gt;Food and Drink&gt;Restaurants&gt;Dining Guides</t>
  </si>
  <si>
    <t>Online Behavior&gt;United States&gt;Validated Demographic&gt;Gender and Age Combined&gt;Females 25-44</t>
  </si>
  <si>
    <t>Online Behavior&gt;United States&gt;Intent&gt;Travel&gt;Flights</t>
  </si>
  <si>
    <t>Transactional&gt;Q3 Casual Dining Restaurant Goers</t>
  </si>
  <si>
    <t>Online Behavior&gt;United States&gt;Finance&gt;Credit and Lending&gt;Loans</t>
  </si>
  <si>
    <t>US&gt;Reach&gt;Propensity Models&gt;Hobbies and Interest&gt;Sports&gt;Avid Runners</t>
  </si>
  <si>
    <t>Online Behavior&gt;United States&gt;Finance&gt;Accounting and Auditing&gt;Accounting and Auditing</t>
  </si>
  <si>
    <t>Online Behavior&gt;United States&gt;Intent&gt;Shopping&gt;CPG&gt;Home Care</t>
  </si>
  <si>
    <t>Travel and Tourism&gt;Interest (Affinity)&gt;Products&gt;Hotels and Lodging</t>
  </si>
  <si>
    <t>Online Behavior&gt;United States&gt;Validated Demographic&gt;Gender and Age Combined&gt;Females 25-64</t>
  </si>
  <si>
    <t>Online Behavior&gt;United States&gt;Autos and Vehicles&gt;Brands&gt;Bugatti</t>
  </si>
  <si>
    <t>Online Behavior&gt;United States&gt;Finance&gt;Financial Planning and Management&gt;Financial Planning and Management</t>
  </si>
  <si>
    <t>Online Behavior&gt;United States&gt;Sports&gt;Winter Sports&gt;Ice Skating</t>
  </si>
  <si>
    <t>Online Behavior&gt;United States&gt;Intent&gt;Auto Buyers&gt;Car Make&gt;Peugeot</t>
  </si>
  <si>
    <t>Media and Entertainment&gt;Audio and Video Streaming&gt;Streaming Audio</t>
  </si>
  <si>
    <t>Online Behavior&gt;United States&gt;Validated Demographic&gt;Gender and Age Combined&gt;Females 18-64</t>
  </si>
  <si>
    <t>Online Behavior&gt;United States&gt;Finance&gt;Credit and Lending&gt;Credit Cards</t>
  </si>
  <si>
    <t>Travel and Tourism&gt;Interest (Affinity)&gt;Destinations&gt;Africa</t>
  </si>
  <si>
    <t>Online Behavior&gt;United States&gt;Finance&gt;Investing&gt;Stocks and Bonds</t>
  </si>
  <si>
    <t>OnAudience&gt;Interest&gt;News&gt;Local News</t>
  </si>
  <si>
    <t>OnAudience&gt;Interest&gt;Shopping&gt;Luxurious Brands</t>
  </si>
  <si>
    <t>US&gt;B2B&gt;B2B Decision Maker Responsibilities&gt;Purchasing Utilities</t>
  </si>
  <si>
    <t>OnAudience&gt;Interest&gt;Technology</t>
  </si>
  <si>
    <t>Mobile - US&gt;Device Ownership&gt;Smartphones&gt;ZTE</t>
  </si>
  <si>
    <t>OnAudience&gt;Interest&gt;Arts &amp; Entertainment&gt;Music Lovers</t>
  </si>
  <si>
    <t>US&gt;AUTO&gt;Decision Maker for Auto Purchase&gt;I was the sole decision-maker</t>
  </si>
  <si>
    <t>US&gt;Brand Propensities&gt;Health&gt;Beauty and Cosmetics&gt;SkinCareRx Buyer Propensity</t>
  </si>
  <si>
    <t>Online Behavior&gt;United States&gt;Travel&gt;Specialty Travel&gt;Adventure Travel</t>
  </si>
  <si>
    <t>Online Behavior&gt;United States&gt;Intent&gt;Services&gt;Pets</t>
  </si>
  <si>
    <t>US&gt;Brand Propensities&gt;Media and Entertainment&gt;Steam Community Buyer Propensity</t>
  </si>
  <si>
    <t>Online Behavior&gt;United States&gt;Autos and Vehicles&gt;Brands&gt;Ford</t>
  </si>
  <si>
    <t>Mobile - US&gt;Automotive&gt;Vehicle Ownership&gt;yes</t>
  </si>
  <si>
    <t>US&gt;B2B&gt;B2B Decision Maker Responsibilities&gt;Marketing or Market Research</t>
  </si>
  <si>
    <t>Online Behavior&gt;United States&gt;Sports&gt;Individual Sports&gt;Running and Walking</t>
  </si>
  <si>
    <t>US&gt;Brand Propensities&gt;Travel&gt;Choice Hotels Buyer Propensity</t>
  </si>
  <si>
    <t>Online Behavior&gt;United States&gt;Intent&gt;Travel&gt;Future Travel</t>
  </si>
  <si>
    <t>US&gt;Interest Propensities&gt;Insurance&gt;MassMutual</t>
  </si>
  <si>
    <t>Online Behavior&gt;United States&gt;B2B&gt;Occupation&gt;ElectricalEngineer</t>
  </si>
  <si>
    <t>Online Behavior&gt;United States&gt;Intent&gt;Shopping&gt;Auto Parts Stores</t>
  </si>
  <si>
    <t>US&gt;Interest Propensities&gt;Music&gt;Classic Rock</t>
  </si>
  <si>
    <t>Online Behavior&gt;United States&gt;Finance&gt;Banking&gt;Banking</t>
  </si>
  <si>
    <t>Transactional&gt;Q2 Graduation Gift Shoppers</t>
  </si>
  <si>
    <t>Online Behavior&gt;United States&gt;Intent&gt;Shopping&gt;Fashion</t>
  </si>
  <si>
    <t>Online Behavior&gt;United States&gt;Arts and Entertainment&gt;Events and Listings&gt;Food and Beverage Events</t>
  </si>
  <si>
    <t>US&gt;Brand Propensities&gt;Health&gt;Beauty and Cosmetics&gt;ULTA Buyer Propensity</t>
  </si>
  <si>
    <t>Online Behavior&gt;United States&gt;Travel&gt;Tourist Destinations&gt;Regional Parks and Gardens</t>
  </si>
  <si>
    <t>Online Behavior&gt;United States&gt;Beauty and Fitness&gt;Spas and Beauty Services&gt;Massage Therapy</t>
  </si>
  <si>
    <t>Online Behavior&gt;United States&gt;Validated Demographic&gt;Age&gt;25-34</t>
  </si>
  <si>
    <t>Real Estate&gt;Rent Amount&gt;Sensible Rentals ($1000-$3000)</t>
  </si>
  <si>
    <t>Online Behavior&gt;United States&gt;Validated Demographic&gt;Gender and Age Combined&gt;Females 55-64</t>
  </si>
  <si>
    <t>US Interest&gt;Computers</t>
  </si>
  <si>
    <t>Online Behavior&gt;United States&gt;Intent&gt;Auto Buyers&gt;Category&gt;Sport Cars</t>
  </si>
  <si>
    <t>US Travel&gt;Likely Business Travel&gt;Number of Nights Stayed&gt;0 Nights</t>
  </si>
  <si>
    <t>Online Behavior&gt;United States&gt;Finance&gt;Investing&gt;Investing</t>
  </si>
  <si>
    <t>Online Behavior&gt;United States&gt;Finance&gt;Financial Planning and Management&gt;Inheritance and Estate Planning</t>
  </si>
  <si>
    <t>Online Behavior&gt;United States&gt;Intent&gt;Auto Buyers&gt;Car Make&gt;Dodge</t>
  </si>
  <si>
    <t>OnAudience&gt;Demography</t>
  </si>
  <si>
    <t>Media and Entertainment&gt;Connected TV and Over-the-Top (CTV and OTT)</t>
  </si>
  <si>
    <t>Real Estate&gt;Lot Size&gt;Cozy Outdoor Living Space (Less than an Acre)</t>
  </si>
  <si>
    <t>Online Behavior&gt;United States&gt;Finance&gt;Insurance&gt;Home Insurance</t>
  </si>
  <si>
    <t>US&gt;Brand Propensities&gt;Automotive&gt;Tirerack.com Buyer Propensity</t>
  </si>
  <si>
    <t>Mobile - US&gt;Demographics&gt;Education&gt;High Education Achievement</t>
  </si>
  <si>
    <t>US&gt;Interest Propensities&gt;TV and Movies&gt;Drama</t>
  </si>
  <si>
    <t>OnAudience&gt;Interest&gt;Social life</t>
  </si>
  <si>
    <t>Online Behavior&gt;United States&gt;Intent&gt;Services&gt;Photography</t>
  </si>
  <si>
    <t>Online Behavior&gt;United States&gt;Autos and Vehicles&gt;Brands&gt;BMW</t>
  </si>
  <si>
    <t>US&gt;Brand Propensities&gt;Apparel&gt;Bare Necessities Buyer Propensity</t>
  </si>
  <si>
    <t>Online Behavior&gt;United States&gt;Validated Demographic&gt;Gender and Age Combined&gt;Males 25-64</t>
  </si>
  <si>
    <t>Mobile - US&gt;Food&gt;Restaurant&gt;Brand&gt;Chilis</t>
  </si>
  <si>
    <t>Online Behavior&gt;United States&gt;Arts and Entertainment&gt;Events and Listings&gt;Film Festivals</t>
  </si>
  <si>
    <t>US&gt;B2B&gt;Purchase DM&gt;Technology Services, Hardware and&gt;or Software&gt;I am the sole decision maker</t>
  </si>
  <si>
    <t>Lotame&gt;Personal Finance&gt;Estate Planning</t>
  </si>
  <si>
    <t>Online Behavior&gt;United States&gt;Intent&gt;Auto Buyers&gt;Type&gt;Luxury</t>
  </si>
  <si>
    <t>Online Behavior&gt;United States&gt;B2B&gt;Occupation&gt;Student</t>
  </si>
  <si>
    <t>Media and Entertainment&gt;Television (TV)&gt;Viewership&gt;TV Genres&gt;Drama</t>
  </si>
  <si>
    <t>Lotame&gt;Social Media</t>
  </si>
  <si>
    <t>Online Behavior&gt;United States&gt;Beauty and Fitness&gt;Face and Body Care&gt;Skin and Nail Care</t>
  </si>
  <si>
    <t>US&gt;Interest Propensities&gt;Activities and Interests&gt;National News</t>
  </si>
  <si>
    <t>US&gt;Multibuyer Behaviors&gt;Club&gt;Continuity Buyers</t>
  </si>
  <si>
    <t>Mobile - US&gt;Demographics&gt;Finance&gt;Rent Value&gt;Lowest Rent Value</t>
  </si>
  <si>
    <t>Online Behavior&gt;United States&gt;Sports&gt;Individual Sports&gt;Skate Sports</t>
  </si>
  <si>
    <t>Online Behavior&gt;United States&gt;Finance&gt;Insurance&gt;Travel Insurance</t>
  </si>
  <si>
    <t>OnAudience&gt;Intent&gt;Animals &amp; Pet</t>
  </si>
  <si>
    <t>Online Behavior&gt;United States&gt;Sports&gt;Team Sports&gt;American Football</t>
  </si>
  <si>
    <t>Online Behavior&gt;United States&gt;Autos and Vehicles&gt;Brands&gt;Mercedes-Benz</t>
  </si>
  <si>
    <t>US&gt;Interest Propensities&gt;Brands&gt;Quick Service Restaurants</t>
  </si>
  <si>
    <t>Media and Entertainment&gt;Events and Attractions</t>
  </si>
  <si>
    <t>US&gt;Brand Propensities&gt;Kids Products&gt;Disney Buyer Propensity</t>
  </si>
  <si>
    <t>US&gt;Interest Propensities&gt;Music&gt;Hip Hop and Rap</t>
  </si>
  <si>
    <t>Online Behavior&gt;United States&gt;Autos and Vehicles&gt;Vehicle Shopping&gt;Fuel Economy and Gas Prices</t>
  </si>
  <si>
    <t>Online Behavior&gt;United States&gt;Sports&gt;Sports League&gt;NBA</t>
  </si>
  <si>
    <t>Online Behavior&gt;United States&gt;Finance&gt;Banking&gt;ATMs and Branch Locations</t>
  </si>
  <si>
    <t>Mobile - US&gt;Travel&gt;Activity&gt;Ski Travelers</t>
  </si>
  <si>
    <t>Online Behavior&gt;United States&gt;Travel&gt;Air Travel&gt;Airport Parking and Transportation</t>
  </si>
  <si>
    <t>US&gt;Interest Propensities&gt;Brands&gt;Big Box Retail</t>
  </si>
  <si>
    <t>US&gt;Reach&gt;Propensity Models&gt;Hobbies and Interest&gt;Pets&gt;Pet Enthusiast</t>
  </si>
  <si>
    <t>OnAudience&gt;Intent&gt;Sporting Goods&gt;Team Sports</t>
  </si>
  <si>
    <t>US&gt;Reach&gt;Propensity Models&gt;Hobbies and Interest&gt;Food and Drinks&gt;Coffee Connoisseurs</t>
  </si>
  <si>
    <t>Online Behavior&gt;United States&gt;Intent&gt;Auto Buyers&gt;Car Make&gt;Ford</t>
  </si>
  <si>
    <t>Online Behavior&gt;United States&gt;Beauty and Fitness&gt;Fitness&gt;Yoga and Pilates</t>
  </si>
  <si>
    <t>Online Behavior&gt;United States&gt;Hobbies and Leisure&gt;Special Occasions&gt;Holidays and Seasonal Events</t>
  </si>
  <si>
    <t>US&gt;Reach&gt;Propensity Models&gt;Hobbies and Interest&gt;Sports&gt;Fitness Enthusiasts</t>
  </si>
  <si>
    <t>US&gt;Sociodemographic&gt;P$YCLE Premier Lifestage&gt;F4 Working-Class USA</t>
  </si>
  <si>
    <t>US&gt;Brand Propensities&gt;Apparel&gt;TOMS Buyer Propensity</t>
  </si>
  <si>
    <t>US&gt;Brand Propensities&gt;Travel&gt;Hotel Tonight Buyer Propensity</t>
  </si>
  <si>
    <t>Online Behavior&gt;United States&gt;Intent&gt;Auto Buyers&gt;Type&gt;SUV</t>
  </si>
  <si>
    <t>Online Behavior&gt;United States&gt;Validated Demographic&gt;Gender and Age Combined&gt;Males 25 or older</t>
  </si>
  <si>
    <t>Online Behavior&gt;United States&gt;Validated Demographic&gt;Gender&gt;Male</t>
  </si>
  <si>
    <t>Online Behavior&gt;United States&gt;Validated Demographic&gt;Age&gt;25-54</t>
  </si>
  <si>
    <t>Online Behavior&gt;United States&gt;Validated Demographic&gt;Gender and Age Combined&gt;Females 35-44</t>
  </si>
  <si>
    <t>US&gt;Brand Propensities&gt;Big Box Dollar General Buyer Propensity</t>
  </si>
  <si>
    <t>US Demographic&gt;Preferred Language&gt;Non-Hispanic</t>
  </si>
  <si>
    <t>Real Estate&gt;Sale Activity&gt;Just Sold</t>
  </si>
  <si>
    <t>Real Estate&gt;Occupancy&gt;Owner Occupied</t>
  </si>
  <si>
    <t>US&gt;B2B&gt;B2B Decision Maker Responsibilities&gt;Internet Services</t>
  </si>
  <si>
    <t>Lotame&gt;Offline CPG Purchasers&gt;Product Segment</t>
  </si>
  <si>
    <t>Lotame&gt;Travel&gt;Thanksgiving Travel</t>
  </si>
  <si>
    <t>Travel and Tourism&gt;Interest (Affinity)&gt;Destinations&gt;Europe</t>
  </si>
  <si>
    <t>US&gt;Demographic&gt;Family&gt;Households with 2 Adults</t>
  </si>
  <si>
    <t>US&gt;Reach&gt;Propensity Models&gt;Real Estate&gt;Mortgage Amount&gt;$120,000-$159,999</t>
  </si>
  <si>
    <t>US&gt;Interest Propensities&gt;Activities and Interests&gt;Fashion</t>
  </si>
  <si>
    <t>Mobile - US&gt;Travel&gt;Destination&gt;International Travelers&gt;yes</t>
  </si>
  <si>
    <t>Lotame&gt;Technology&gt;Mobile Phones</t>
  </si>
  <si>
    <t>Online Behavior&gt;United States&gt;Travel&gt;Tourist Destinations&gt;Zoos-Aquariums-Preserves</t>
  </si>
  <si>
    <t>Online Behavior&gt;United States&gt;Intent&gt;Shopping&gt;Consumer Electronics&gt;Televisions/TVs</t>
  </si>
  <si>
    <t>Online Behavior&gt;United States&gt;Autos and Vehicles&gt;Brands&gt;Mitsubishi</t>
  </si>
  <si>
    <t>Online Behavior&gt;United States&gt;Intent&gt;Shopping&gt;Office Supplies</t>
  </si>
  <si>
    <t>US&gt;Reach&gt;Propensity Models&gt;Hobbies and Interest&gt;Sports&gt;NFL Enthusiast</t>
  </si>
  <si>
    <t>US&gt;Reach&gt;Propensity Models&gt;Household Consumer Expenditures&gt;Lawn and Garden</t>
  </si>
  <si>
    <t>OnAudience&gt;Interest&gt;News&gt;International News</t>
  </si>
  <si>
    <t>US&gt;Reach&gt;Sociodemographic&gt;Age&gt;45-49</t>
  </si>
  <si>
    <t>US&gt;Reach&gt;Propensity Models&gt;Hobbies and Interest&gt;Sports&gt;Fishing</t>
  </si>
  <si>
    <t>US&gt;Sociodemographic&gt;P$YCLE Premier Lifestage&gt;Y3 Fiscal Fledglings</t>
  </si>
  <si>
    <t>US&gt;Interest Propensities&gt;TV and Movies&gt;Network TV</t>
  </si>
  <si>
    <t>US&gt;Financially in Charge&gt;Performance Score: Top 25%</t>
  </si>
  <si>
    <t>Online Behavior&gt;United States&gt;Autos and Vehicles&gt;Brands&gt;Kia</t>
  </si>
  <si>
    <t>Online Behavior&gt;United States&gt;Autos and Vehicles&gt;Brands&gt;Maybach</t>
  </si>
  <si>
    <t>US&gt;Reach&gt;Propensity Models&gt;Hobbies and Interest&gt;Sports&gt;Boating</t>
  </si>
  <si>
    <t>Media and Entertainment&gt;Movies&gt;Enthusiasts</t>
  </si>
  <si>
    <t>Online Behavior&gt;United States&gt;Intent&gt;Auto Buyers&gt;Car Make&gt;Hyundai</t>
  </si>
  <si>
    <t>Mobile - US&gt;Device Ownership&gt;Smartphones&gt;iOS (Apple)&gt;yes</t>
  </si>
  <si>
    <t>US Demographic&gt;Age&gt;Specialty Age Range&gt;21+</t>
  </si>
  <si>
    <t>Mobile - US&gt;Demographics&gt;Education&gt;Lowest Education Achievement</t>
  </si>
  <si>
    <t>Online Behavior&gt;United States&gt;Autos and Vehicles&gt;Brands&gt;Acura</t>
  </si>
  <si>
    <t>US&gt;Reach&gt;Propensity Models&gt;Young Adult Clothing Shoppers</t>
  </si>
  <si>
    <t>OnAudience&gt;Interest&gt;Personal Finance</t>
  </si>
  <si>
    <t>Travel and Tourism&gt;Interest (Affinity)&gt;Products&gt;Air Travel</t>
  </si>
  <si>
    <t>Online Behavior&gt;United States&gt;Beauty and Fitness&gt;Face and Body Care&gt;Unwanted Body and Facial Hair Removal</t>
  </si>
  <si>
    <t>Online Behavior&gt;United States&gt;B2B&gt;Occupation&gt;Broker</t>
  </si>
  <si>
    <t>US&gt;Reach&gt;Propensity Models&gt;Hobbies and Interest&gt;Sports&gt;Hunting Enthusiasts</t>
  </si>
  <si>
    <t>OnAudience&gt;Interest&gt;News</t>
  </si>
  <si>
    <t>US&gt;B2B&gt;B2B Decision Maker Responsibilities&gt;Computer Software</t>
  </si>
  <si>
    <t>Online Behavior&gt;United States&gt;Autos and Vehicles&gt;Brands&gt;Mini</t>
  </si>
  <si>
    <t>Online Behavior&gt;United States&gt;Autos and Vehicles&gt;Brands&gt;Ferrari</t>
  </si>
  <si>
    <t>Online Behavior&gt;United States&gt;Intent&gt;Auto Buyers&gt;Type&gt;Sedan</t>
  </si>
  <si>
    <t>US&gt;Reach&gt;Propensity Models&gt;Lifestyle&gt;Charities&gt;Contributes by Volunteering</t>
  </si>
  <si>
    <t>US&gt;Reach&gt;Propensity Models&gt;Hobbies and Interest&gt;Sports&gt;NHL Enthusiast</t>
  </si>
  <si>
    <t>US&gt;B2B&gt;B2B Decision Maker Responsibilities&gt;Financial Services</t>
  </si>
  <si>
    <t>US&gt;Response Performance&gt;Direct Marketing Responders</t>
  </si>
  <si>
    <t>US&gt;B2B&gt;Purchase DM&gt;Technology Services, Hardware and&gt;or Software&gt;I have no input into the final decision</t>
  </si>
  <si>
    <t>Travel and Tourism&gt;In-Market</t>
  </si>
  <si>
    <t>US&gt;Interest Propensities&gt;Insurance&gt;Transamerica</t>
  </si>
  <si>
    <t>US&gt;Interest Propensities&gt;Activities and Interests&gt;College Life</t>
  </si>
  <si>
    <t>US&gt;Brand Propensities&gt;Restaurants and Dining&gt;Seamless Buyer Propensity</t>
  </si>
  <si>
    <t>US Financial&gt;Likely Bank Account and Services&gt;Saving Account&gt;Personal or Join (Financial)</t>
  </si>
  <si>
    <t>Online Behavior&gt;United States&gt;Finance&gt;Insurance&gt;Insurance</t>
  </si>
  <si>
    <t>Online Behavior&gt;United States&gt;Arts and Entertainment&gt;Events and Listings&gt;Bars, Clubs and Nightlife</t>
  </si>
  <si>
    <t>Online Behavior&gt;United States&gt;Finance&gt;Investing&gt;Derivatives</t>
  </si>
  <si>
    <t>Online Behavior&gt;United States&gt;Autos and Vehicles&gt;Brands&gt;Vauxhall-Opel</t>
  </si>
  <si>
    <t>Online Behavior&gt;United States&gt;Intent&gt;Shopping&gt;Consumer Electronics&gt;Video Game Consoles</t>
  </si>
  <si>
    <t>Online Behavior&gt;United States&gt;Validated Demographic&gt;Gender and Age Combined&gt;Females 45-54</t>
  </si>
  <si>
    <t>US&gt;Reach&gt;Propensity Models&gt;Hobbies and Interest&gt;Sports&gt;Plays Tennis</t>
  </si>
  <si>
    <t>US&gt;AUTO&gt;Primary Vehicle&gt;New or Used&gt;Pre-owned</t>
  </si>
  <si>
    <t>OnAudience&gt;Intent&gt;Software&gt;Video Game Software</t>
  </si>
  <si>
    <t>Travel and Tourism&gt;Interest (Affinity)&gt;Destinations&gt;Latin America</t>
  </si>
  <si>
    <t>Online Behavior&gt;United States&gt;Intent&gt;Auto Buyers&gt;Car Make&gt;Audi Q</t>
  </si>
  <si>
    <t>Online Behavior&gt;United States&gt;Validated Demographic&gt;Gender and Age Combined&gt;Females 18-54</t>
  </si>
  <si>
    <t>Online Behavior&gt;United States&gt;Intent&gt;Travel&gt;Luxury Travel</t>
  </si>
  <si>
    <t>Online Behavior&gt;United States&gt;Validated Demographic&gt;Gender and Age Combined&gt;Males 25-44</t>
  </si>
  <si>
    <t>Online Behavior&gt;United States&gt;Autos and Vehicles&gt;Brands&gt;GM-Daewoo</t>
  </si>
  <si>
    <t>US&gt;Reach&gt;Propensity Models&gt;Hobbies and Interest&gt;Food and Drinks&gt;Eats at Family Restaurants</t>
  </si>
  <si>
    <t>US&gt;Interest Propensities&gt;Food and Drink&gt;American Cuisine</t>
  </si>
  <si>
    <t>US&gt;Reach&gt;Propensity Models&gt;Hobbies and Interest&gt;Music&gt;Listens to Country Music</t>
  </si>
  <si>
    <t>US&gt;Interest Propensities&gt;Insurance&gt;New York Life</t>
  </si>
  <si>
    <t>Mobile - US&gt;Gamers&gt;Online&gt;Users</t>
  </si>
  <si>
    <t>OnAudience&gt;Interest&gt;Pets</t>
  </si>
  <si>
    <t>US&gt;Interest Propensities&gt;Insurance&gt;Northwestern Mutual</t>
  </si>
  <si>
    <t>Purchase-Based&gt;Categories&gt;Office Supplies Buyers</t>
  </si>
  <si>
    <t>Online Behavior&gt;United States&gt;Validated Demographic&gt;Gender and Age Combined&gt;Males 25-54</t>
  </si>
  <si>
    <t>US&gt;Reach&gt;Propensity Models&gt;Travel&gt;High Frequency Travel&gt;Foreign Vacationer</t>
  </si>
  <si>
    <t>US&gt;Reach&gt;Propensity Models&gt;Finance&gt;Credit&gt;Debit Card&gt;Major Credit Card User</t>
  </si>
  <si>
    <t>OnAudience&gt;Interest&gt;Careers</t>
  </si>
  <si>
    <t>OnAudience&gt;Intent&gt;Sporting Goods</t>
  </si>
  <si>
    <t>US Home&gt;Dwelling Type&gt;Single-Family</t>
  </si>
  <si>
    <t>Media and Entertainment&gt;Sports and Recreational Activities&gt;Interest (Affinity)&gt;Olympics&gt;Winter Olympics</t>
  </si>
  <si>
    <t>Lotame&gt;Online Shoppers&gt;Online Shoppers</t>
  </si>
  <si>
    <t>Mobile - US&gt;Food&gt;Restaurant&gt;Brand&gt;Five Guys</t>
  </si>
  <si>
    <t>Media Source&gt;LBDigital&gt;Open For Business B2B</t>
  </si>
  <si>
    <t>US Financial&gt;Estimated Discretionary Spending&gt;Greater than $2,500</t>
  </si>
  <si>
    <t>Lotame&gt;Travel&gt;Winter Holiday Travel</t>
  </si>
  <si>
    <t>Online Behavior&gt;United States&gt;B2B&gt;Occupation&gt;Entrepreneur</t>
  </si>
  <si>
    <t>Online Behavior&gt;United States&gt;Validated Demographic&gt;Gender and Age Combined&gt;Females 18-44</t>
  </si>
  <si>
    <t>Online Behavior&gt;United States&gt;Intent&gt;Travel&gt;Business Travel</t>
  </si>
  <si>
    <t>Online Behavior&gt;United States&gt;Sports&gt;Sports League&gt;NFL</t>
  </si>
  <si>
    <t>Online Behavior&gt;United States&gt;B2B&gt;Occupation&gt;ComputerProgrammer</t>
  </si>
  <si>
    <t>US&gt;Reach&gt;Propensity Models&gt;Household Consumer Expenditures&gt;Home Office</t>
  </si>
  <si>
    <t>US&gt;B2B&gt;B2B Decision Maker Responsibilities&gt;Company Liability or Insurance</t>
  </si>
  <si>
    <t>Telecommunications (Telco)&gt;Subscribers</t>
  </si>
  <si>
    <t>Media and Entertainment&gt;Television (TV)&gt;Viewership</t>
  </si>
  <si>
    <t>US&gt;Home Renovation&gt;Home Renovators</t>
  </si>
  <si>
    <t>OnAudience&gt;Intent&gt;Baby &amp; Toddler</t>
  </si>
  <si>
    <t>OnAudience&gt;Interest&gt;Life Stage</t>
  </si>
  <si>
    <t>US&gt;Reach&gt;Sociodemographic&gt;Dwelling Type&gt;Multi-family Dwelling Unit</t>
  </si>
  <si>
    <t>US&gt;B2B&gt;B2B Decision Maker Responsibilities&gt;Office Services or Moving</t>
  </si>
  <si>
    <t>OnAudience&gt;Intent&gt;Travel</t>
  </si>
  <si>
    <t>Media and Entertainment&gt;Sports and Recreational Activities&gt;Interest (Affinity)&gt;Team Sports&gt;Football (American)</t>
  </si>
  <si>
    <t>OnAudience&gt;Intent&gt;Auto&gt;Vehicle Parts &amp; Accessories</t>
  </si>
  <si>
    <t>Online Behavior&gt;United States&gt;Finance&gt;Banking&gt;Money Transfer and Wire Services</t>
  </si>
  <si>
    <t>Online Behavior&gt;United States&gt;Beauty and Fitness&gt;Fashion and Style&gt;Fashion Designers and Collections</t>
  </si>
  <si>
    <t>Online Behavior&gt;United States&gt;Food and Drink&gt;Beverages&gt;Coffee and Tea</t>
  </si>
  <si>
    <t>Online Behavior&gt;United States&gt;Validated Demographic&gt;Age&gt;18 or older</t>
  </si>
  <si>
    <t>Online Behavior&gt;United States&gt;Intent&gt;Shopping&gt;Home Improvement</t>
  </si>
  <si>
    <t>Online Behavior&gt;United States&gt;Intent&gt;Travel&gt;Graduation Trip</t>
  </si>
  <si>
    <t>Online Behavior&gt;United States&gt;Intent&gt;Auto Buyers&gt;Car Make&gt;Opel</t>
  </si>
  <si>
    <t>Online Behavior&gt;United States&gt;Intent&gt;Shopping&gt;Drug Stores&gt;Walgreens</t>
  </si>
  <si>
    <t>Online Behavior&gt;United States&gt;Intent&gt;Auto Buyers&gt;New</t>
  </si>
  <si>
    <t>Online Behavior&gt;United States&gt;Finance&gt;Grants, Scholarships and Financial Aid&gt;Government Grants</t>
  </si>
  <si>
    <t>Online Behavior&gt;United States&gt;Validated Demographic&gt;Gender and Age Combined&gt;Males 55-64</t>
  </si>
  <si>
    <t>Online Behavior&gt;United States&gt;Validated Demographic&gt;Age&gt;55-64</t>
  </si>
  <si>
    <t>Online Behavior&gt;United States&gt;Finance&gt;Grants, Scholarships and Financial Aid&gt;Study Grants and Scholarships</t>
  </si>
  <si>
    <t>US&gt;Reach&gt;Propensity Models&gt;Hobbies and Interest&gt;Books&gt;E-Book Reader</t>
  </si>
  <si>
    <t>US&gt;Reach&gt;Sociodemographic&gt;Homeowner Status&gt;Renter</t>
  </si>
  <si>
    <t>US&gt;B2B&gt;B2B Decision Maker Responsibilities&gt;Purchasing Vehicles or Automobile Services</t>
  </si>
  <si>
    <t>Travel and Tourism&gt;Interest (Affinity)</t>
  </si>
  <si>
    <t>US&gt;Interest Propensities&gt;TV and Movies&gt;Sports TV</t>
  </si>
  <si>
    <t>OnAudience&gt;Interest&gt;Arts &amp; Entertainment&gt;Fine Art</t>
  </si>
  <si>
    <t>US&gt;Brand Propensities&gt;Electronics&gt;RadioShack Buyer Propensity</t>
  </si>
  <si>
    <t>Mobile - US&gt;Financial Services&gt;Digital Payments&gt;Chase Pay</t>
  </si>
  <si>
    <t>US&gt;Premium Entertainment and Pastimes&gt;Premium Magazine Enthusiasts</t>
  </si>
  <si>
    <t>OnAudience&gt;Interest&gt;Business&gt;Economy</t>
  </si>
  <si>
    <t>Mobile - US&gt;Travel&gt;Destination&gt;International Travelers&gt;Frequent Travelers</t>
  </si>
  <si>
    <t>Mobile - US&gt;Automotive&gt;Repair &amp; Oil Change&gt;Intend</t>
  </si>
  <si>
    <t>Mobile - US&gt;Sports&gt;UFC Fans</t>
  </si>
  <si>
    <t>Online Behavior&gt;United States&gt;Finance&gt;Financial Planning and Management&gt;Retirement and Pension</t>
  </si>
  <si>
    <t>Online Behavior&gt;United States&gt;Intent&gt;Auto Buyers&gt;Car Make&gt;Volkswagen</t>
  </si>
  <si>
    <t>Online Behavior&gt;United States&gt;Validated Demographic&gt;Age&gt;18-64</t>
  </si>
  <si>
    <t>Online Behavior&gt;United States&gt;Intent&gt;Auto Buyers&gt;Car Make&gt;Subaru</t>
  </si>
  <si>
    <t>Online Behavior&gt;United States&gt;Sports&gt;Individual Sports&gt;Cycling</t>
  </si>
  <si>
    <t>Online Behavior&gt;United States&gt;Beauty and Fitness&gt;Fitness&gt;Gyms and Health Clubs</t>
  </si>
  <si>
    <t>Online Behavior&gt;United States&gt;Travel&gt;Tourist Destinations&gt;Mountain and Ski Resorts</t>
  </si>
  <si>
    <t>Online Behavior&gt;United States&gt;Validated Demographic&gt;Age&gt;18-54</t>
  </si>
  <si>
    <t>Online Behavior&gt;United States&gt;Validated Demographic&gt;Gender and Age Combined&gt;Females 65 or older</t>
  </si>
  <si>
    <t>Online Behavior&gt;United States&gt;Autos and Vehicles&gt;Brands&gt;LandRover</t>
  </si>
  <si>
    <t>Online Behavior&gt;United States&gt;B2B&gt;Occupation&gt;SystemsAnalyst</t>
  </si>
  <si>
    <t>US&gt;Reach&gt;Propensity Models&gt;Lifestyle&gt;Healthy Living</t>
  </si>
  <si>
    <t>US&gt;Demo&gt;Age&gt;65+</t>
  </si>
  <si>
    <t>US&gt;Reach&gt;Propensity Models&gt;Luxury Store Shoppers</t>
  </si>
  <si>
    <t>US&gt;Reach&gt;Propensity Models&gt;Online&gt;Pets</t>
  </si>
  <si>
    <t>US&gt;Interest Propensities&gt;TV and Movies&gt;News TV</t>
  </si>
  <si>
    <t>US&gt;Sociodemographic&gt;P$YCLE Premier Lifestage&gt;M2 Wealthy Achievers</t>
  </si>
  <si>
    <t>Lotame&gt;Technology&gt;Electronics &amp; Gadgets</t>
  </si>
  <si>
    <t>Mobile - US&gt;Travel&gt;Car Rentals&gt;Hertz</t>
  </si>
  <si>
    <t>US Interest&gt;Home&gt;Home Improvement&gt;Home Improvement Grouping</t>
  </si>
  <si>
    <t>Mobile - US&gt;Automotive&gt;Vehicle Ownership&gt;Brand&gt;BMW</t>
  </si>
  <si>
    <t>Mobile - US&gt;Device Ownership&gt;Smartphones&gt;iOS (Apple)&gt;iPhone X</t>
  </si>
  <si>
    <t>Online Behavior&gt;United States&gt;Travel&gt;Tourist Destinations&gt;Theme Parks</t>
  </si>
  <si>
    <t>Online Behavior&gt;United States&gt;Travel&gt;Tourist Destinations&gt;Beaches and Islands</t>
  </si>
  <si>
    <t>Online Behavior&gt;United States&gt;Sports&gt;Team Sports&gt;Basketball</t>
  </si>
  <si>
    <t>Online Behavior&gt;United States&gt;Sports&gt;Team Sports&gt;Baseball</t>
  </si>
  <si>
    <t>Online Behavior&gt;United States&gt;Finance&gt;Banking&gt;Debit and Checking Services</t>
  </si>
  <si>
    <t>Online Behavior&gt;United States&gt;Arts and Entertainment&gt;Events and Listings&gt;Event Ticket Sales</t>
  </si>
  <si>
    <t>Online Behavior&gt;United States&gt;Sports&gt;Sports League&gt;MLB</t>
  </si>
  <si>
    <t>Online Behavior&gt;United States&gt;Sports&gt;Individual Sports&gt;Golf</t>
  </si>
  <si>
    <t>Online Behavior&gt;United States&gt;Food and Drink&gt;Beverages&gt;Juice</t>
  </si>
  <si>
    <t>Online Behavior&gt;United States&gt;Autos and Vehicles&gt;Brands&gt;SEAT</t>
  </si>
  <si>
    <t>Online Behavior&gt;United States&gt;Beauty and Fitness&gt;Fitness&gt;Bodybuilding</t>
  </si>
  <si>
    <t>Online Behavior&gt;United States&gt;Validated Demographic&gt;Gender and Age Combined&gt;Males 18-64</t>
  </si>
  <si>
    <t>Online Behavior&gt;United States&gt;Autos and Vehicles&gt;Brands&gt;Cadillac</t>
  </si>
  <si>
    <t>Online Behavior&gt;United States&gt;Intent&gt;Shopping&gt;CPG&gt;Cosmetics</t>
  </si>
  <si>
    <t>US&gt;Reach&gt;Propensity Models&gt;Hobbies and Interest&gt;Sports&gt;Snow Sports</t>
  </si>
  <si>
    <t>US&gt;AUTO&gt;Primary Vehicle&gt;New or Used&gt;New</t>
  </si>
  <si>
    <t>US&gt;Reach&gt;Propensity Models&gt;Hobbies and Interest&gt;Food and Drinks&gt;High-end Spirit Drinkers</t>
  </si>
  <si>
    <t>Online Behavior&gt;United States&gt;Finance&gt;Accounting and Auditing&gt;Bookkeeping</t>
  </si>
  <si>
    <t>US&gt;Financially in Charge&gt;Performance Score: Top 50%</t>
  </si>
  <si>
    <t>US&gt;B2B&gt;B2B Decision Maker Responsibilities&gt;HR or Personnel Services</t>
  </si>
  <si>
    <t>US&gt;Interest Propensities&gt;Music&gt;Country</t>
  </si>
  <si>
    <t>US&gt;B2B&gt;B2B Decision Maker Responsibilities&gt;Television providers&gt;services</t>
  </si>
  <si>
    <t>US&gt;Interest Propensities&gt;Oil &amp; Gas&gt;QuickTrip</t>
  </si>
  <si>
    <t>US&gt;Brand Propensities&gt;Telecom and Service Providers&gt;Page Plus Cellular Buyer Propensity</t>
  </si>
  <si>
    <t>OnAudience&gt;Interest&gt;Shopping</t>
  </si>
  <si>
    <t>US&gt;Interest Propensities&gt;Activities and Interests&gt;Financial Aid</t>
  </si>
  <si>
    <t>US&gt;Interest Propensities&gt;Activities and Interests&gt;Ecommerce</t>
  </si>
  <si>
    <t>Mobile - US&gt;Travel&gt;Vacation Rentals&gt;HomeAway</t>
  </si>
  <si>
    <t>Mobile - US&gt;Sports&gt;Basketball&gt;NCAA College Basketball</t>
  </si>
  <si>
    <t>OnAudience&gt;Interest&gt;Hobbies &amp; Interests&gt;Art</t>
  </si>
  <si>
    <t>US&gt;Brand Propensities&gt;Apparel&gt;JCPenney Buyer Propensity</t>
  </si>
  <si>
    <t>OnAudience&gt;Interest&gt;Food &amp; Drink</t>
  </si>
  <si>
    <t>US&gt;Brand Propensities&gt;Media and Entertainment&gt;Regal Cinemas Buyer Propensity</t>
  </si>
  <si>
    <t>Mobile - US&gt;Food&gt;Restaurant&gt;Brand&gt;Buffalo Wild Wings</t>
  </si>
  <si>
    <t>Mobile - US&gt;Device Ownership&gt;Tablets&gt;yes</t>
  </si>
  <si>
    <t>US&gt;Interest Propensities&gt;Insurance&gt;Unitedhealth Group</t>
  </si>
  <si>
    <t>Transactional&gt;Q3 Gardening Shoppers</t>
  </si>
  <si>
    <t>US&gt;Brand Propensities&gt;Big Box Dollar Tree Buyer Propensity</t>
  </si>
  <si>
    <t>OnAudience&gt;Intent&gt;Electronics&gt;Video Game Consoles</t>
  </si>
  <si>
    <t>Media and Entertainment&gt;Connected TV and Over-the-Top (CTV and OTT)&gt;Streaming Television and Film Viewership&gt;OTT Movie Viewers&gt;Genre&gt;Crime Movie Streamers</t>
  </si>
  <si>
    <t>Media and Entertainment&gt;Sports and Recreational Activities&gt;Interest (Affinity)&gt;Motorsports</t>
  </si>
  <si>
    <t>Online Behavior&gt;United States&gt;Finance&gt;Investing&gt;Funds</t>
  </si>
  <si>
    <t>Online Behavior&gt;United States&gt;Food and Drink&gt;Restaurants&gt;Fast Food</t>
  </si>
  <si>
    <t>Online Behavior&gt;United States&gt;Finance&gt;Insurance&gt;Life Insurance</t>
  </si>
  <si>
    <t>Online Behavior&gt;United States&gt;Sports&gt;Team Sports&gt;Hockey</t>
  </si>
  <si>
    <t>Online Behavior&gt;United States&gt;Autos and Vehicles&gt;Brands&gt;Volkswagen</t>
  </si>
  <si>
    <t>Online Behavior&gt;United States&gt;Intent&gt;Auto Buyers&gt;Car Make&gt;BMW</t>
  </si>
  <si>
    <t>Online Behavior&gt;United States&gt;Beauty and Fitness&gt;Fitness&gt;Fitness Instruction and Personal Training</t>
  </si>
  <si>
    <t>Online Behavior&gt;United States&gt;Autos and Vehicles&gt;Brands&gt;Chevrolet</t>
  </si>
  <si>
    <t>Online Behavior&gt;United States&gt;Autos and Vehicles&gt;Brands&gt;Isuzu</t>
  </si>
  <si>
    <t>Online Behavior&gt;United States&gt;Validated Demographic&gt;Age&gt;25-64</t>
  </si>
  <si>
    <t>Online Behavior&gt;United States&gt;The Changing Consumer&gt;Data For Good&gt;Social Justice and Empowerment</t>
  </si>
  <si>
    <t>Online Behavior&gt;United States&gt;Validated Demographic&gt;Gender&gt;Female</t>
  </si>
  <si>
    <t>Online Behavior&gt;United States&gt;Beauty and Fitness&gt;Fitness&gt;Home Exercise</t>
  </si>
  <si>
    <t>Online Behavior&gt;United States&gt;Intent&gt;Auto Buyers&gt;Car Make&gt;Mazda</t>
  </si>
  <si>
    <t>Online Behavior&gt;United States&gt;Hobbies and Leisure&gt;Special Occasions&gt;Party Planning</t>
  </si>
  <si>
    <t>Online Behavior&gt;United States&gt;Intent&gt;Shopping&gt;Pet Food&gt;Dog</t>
  </si>
  <si>
    <t>Online Behavior&gt;United States&gt;Intent&gt;Auto Buyers&gt;Car Make&gt;Toyota</t>
  </si>
  <si>
    <t>Online Behavior&gt;United States&gt;Intent&gt;Shopping&gt;Sports and Outdoors</t>
  </si>
  <si>
    <t>Online Behavior&gt;United States&gt;Validated Demographic&gt;Gender and Age Combined&gt;Males 18-34</t>
  </si>
  <si>
    <t>Online Behavior&gt;United States&gt;Autos and Vehicles&gt;Brands&gt;Citroen</t>
  </si>
  <si>
    <t>Online Behavior&gt;United States&gt;Validated Demographic&gt;Age&gt;65 or older</t>
  </si>
  <si>
    <t>US&gt;Reach&gt;Propensity Models&gt;Hobbies and Interest&gt;Sports&gt;NBA Enthusiast</t>
  </si>
  <si>
    <t>US&gt;Reach&gt;Propensity Models&gt;Luxury Home Goods Store Shopper</t>
  </si>
  <si>
    <t>US&gt;Reach&gt;Propensity Models&gt;Online&gt;Electronics and Gadgets</t>
  </si>
  <si>
    <t>US&gt;Reach&gt;Propensity Models&gt;Lifestyle&gt;Charities&gt;Contributes to Charities</t>
  </si>
  <si>
    <t>OnAudience&gt;Interest</t>
  </si>
  <si>
    <t>US&gt;B2B&gt;B2B Decision Maker Responsibilities&gt;Employee Benefits</t>
  </si>
  <si>
    <t>US&gt;Reach&gt;Propensity Models&gt;Hobbies and Interest&gt;Food and Drinks&gt;Wine Lovers</t>
  </si>
  <si>
    <t>US&gt;AUTO&gt;Decision Maker for Auto Purchase&gt;I shared equally in the decision</t>
  </si>
  <si>
    <t>US&gt;Brand Propensities&gt;Apparel&gt;Shoebuy.com Buyer Propensity</t>
  </si>
  <si>
    <t>US&gt;Sociodemographic&gt;P$YCLE Premier Lifestage&gt;M3 Upscale Empty Nests</t>
  </si>
  <si>
    <t>US&gt;Automotive&gt;Auto Loyalists and Defectors&gt;Auto Make Defectors</t>
  </si>
  <si>
    <t>Media and Entertainment&gt;Sports and Recreational Activities&gt;Interest (Affinity)&gt;Individual Sports</t>
  </si>
  <si>
    <t>Purchase Behaviors&gt;Q2 Environmentally Concerned Shoppers</t>
  </si>
  <si>
    <t>Media and Entertainment&gt;Consumer Entertainment Technology</t>
  </si>
  <si>
    <t>US Home&gt;Property Type&gt;Single</t>
  </si>
  <si>
    <t>US&gt;Brand Propensities&gt;Apparel&gt;The Men's Wearhouse Buyer Propensity</t>
  </si>
  <si>
    <t>OnAudience&gt;Interest&gt;Technology &amp; Computing&gt;Entertainment</t>
  </si>
  <si>
    <t>Media and Entertainment&gt;Sports and Recreational Activities&gt;Interest (Affinity)&gt;Individual Sports&gt;Tennis and Racquet Sports</t>
  </si>
  <si>
    <t>Lotame&gt;Style, Fashion &amp; Clothing&gt;Clothing Shoppers</t>
  </si>
  <si>
    <t>OnAudience&gt;Interest&gt;Hobbies &amp; Interests&gt;Video &amp; Computer Games</t>
  </si>
  <si>
    <t>Transactional&gt;Q3 Home Entertainers</t>
  </si>
  <si>
    <t>Media and Entertainment&gt;Gaming&gt;In-Market</t>
  </si>
  <si>
    <t>US Financial&gt;Likely Attitude and Behavior&gt;Bank Selection&gt;Customer Service Very Important (Financial)</t>
  </si>
  <si>
    <t>US&gt;B2B&gt;B2B Decision Maker Responsibilities&gt;Strategic Company Goals</t>
  </si>
  <si>
    <t>US&gt;Demographic&gt;Family&gt;Households with 3 Adults</t>
  </si>
  <si>
    <t>Lotame&gt;Travel&gt;International Travel</t>
  </si>
  <si>
    <t>Online Behavior&gt;United States&gt;Finance&gt;Investing&gt;Commodities and Futures Trading</t>
  </si>
  <si>
    <t>Online Behavior&gt;United States&gt;People and Society&gt;Family and Relationships&gt;Moms</t>
  </si>
  <si>
    <t>Online Behavior&gt;United States&gt;Hobbies and Leisure&gt;Outdoors&gt;Equestrian</t>
  </si>
  <si>
    <t>Online Behavior&gt;United States&gt;Intent&gt;Travel&gt;Travel</t>
  </si>
  <si>
    <t>Online Behavior&gt;United States&gt;Intent&gt;Shopping&gt;Home and Garden</t>
  </si>
  <si>
    <t>Online Behavior&gt;United States&gt;Intent&gt;Travel&gt;Accommodation&gt;Hotels</t>
  </si>
  <si>
    <t>Online Behavior&gt;United States&gt;Intent&gt;Auto Buyers&gt;Category&gt;Caravan</t>
  </si>
  <si>
    <t>Online Behavior&gt;United States&gt;Autos and Vehicles&gt;Brands&gt;Volvo</t>
  </si>
  <si>
    <t>Online Behavior&gt;United States&gt;Validated Demographic&gt;Gender and Age Combined&gt;Females 25 or older</t>
  </si>
  <si>
    <t>Online Behavior&gt;United States&gt;Sports&gt;Winter Sports&gt;Skiing and Snowboarding</t>
  </si>
  <si>
    <t>Online Behavior&gt;United States&gt;Autos and Vehicles&gt;Brands&gt;Dodge</t>
  </si>
  <si>
    <t>Online Behavior&gt;United States&gt;Autos and Vehicles&gt;Brands&gt;Buick</t>
  </si>
  <si>
    <t>Online Behavior&gt;United States&gt;Intent&gt;Shopping&gt;Consumer Electronics&gt;Video Games</t>
  </si>
  <si>
    <t>Online Behavior&gt;United States&gt;Autos and Vehicles&gt;Brands&gt;Aston Martin</t>
  </si>
  <si>
    <t>Online Behavior&gt;United States&gt;B2B&gt;Occupation&gt;Engineer</t>
  </si>
  <si>
    <t>US&gt;Demo&gt;Age&gt;21+</t>
  </si>
  <si>
    <t>Online Behavior&gt;United States&gt;B2B&gt;Occupation&gt;Banking</t>
  </si>
  <si>
    <t>Online Behavior&gt;United States&gt;Validated Demographic&gt;Age&gt;35-44</t>
  </si>
  <si>
    <t>US&gt;Reach&gt;Sociodemographic&gt;Household Income&gt;$50,000-$74,999</t>
  </si>
  <si>
    <t>US&gt;Sociodemographic&gt;ConneXions Lifestage&gt;M3 Offline Seniors</t>
  </si>
  <si>
    <t>US&gt;Reach&gt;Propensity Models&gt;Hobbies and Interest&gt;Sports&gt;PGA Tour Enthusiast</t>
  </si>
  <si>
    <t>US&gt;Sociodemographic&gt;ConneXions Lifestage&gt;M4 Elderly Traditionalists</t>
  </si>
  <si>
    <t>US&gt;B2B&gt;B2B Decision Maker Responsibilities&gt;Computer Hardware</t>
  </si>
  <si>
    <t>US&gt;Sociodemographic&gt;ConneXions Lifestage&gt;M2 Mature MidTechs</t>
  </si>
  <si>
    <t>US&gt;Entertainment and Pastimes&gt;Entertainment and Pastimes</t>
  </si>
  <si>
    <t>US&gt;B2B&gt;B2B Decision Maker Responsibilities&gt;Consulting Services</t>
  </si>
  <si>
    <t>US&gt;Brand Propensities&gt;Home and Household Goods&gt;Pottery Barn Kids Buyer Propensity</t>
  </si>
  <si>
    <t>US&gt;Interest Propensities&gt;Insurance&gt;Prudential</t>
  </si>
  <si>
    <t>US&gt;Multibuyer Behaviors&gt;Entertainment&gt;Pastimes Multibuyer</t>
  </si>
  <si>
    <t>US Financial&gt;Likely In Market Timing&gt;Not At All Likely to Purchase&gt;First Home/Residence In The Next Year (Financial)</t>
  </si>
  <si>
    <t>US&gt;Premium Gender&gt;Premium Gender&gt;Males</t>
  </si>
  <si>
    <t>Purchase Behaviors&gt;Q2 Spring Cleaners</t>
  </si>
  <si>
    <t>US&gt;Interest Propensities&gt;Social&gt;Premium User Generated Content</t>
  </si>
  <si>
    <t>OnAudience&gt;Intent&gt;Home &amp; Garden</t>
  </si>
  <si>
    <t>Mobile - US&gt;Food&gt;Restaurant&gt;Brand&gt;Krispy Kreme</t>
  </si>
  <si>
    <t>US Financial&gt;Estimated Discretionary Spending (Financial)&gt;Greater than $2,499</t>
  </si>
  <si>
    <t>US&gt;Sociodemographic&gt;PRIZM Premier Lifestage&gt;F2 Young Accumulators</t>
  </si>
  <si>
    <t>Media and Entertainment&gt;Gaming&gt;Interest (Affinity)&gt;Video Games</t>
  </si>
  <si>
    <t>Mobile - US&gt;Food&gt;Restaurant&gt;Brand&gt;Outback Steakhouse</t>
  </si>
  <si>
    <t>US&gt;Sociodemographic&gt;ConneXions Lifestage&gt;F1 Early Adopting Elite</t>
  </si>
  <si>
    <t>US Financial&gt;Credit Card Type&gt;Credit Card Holder - Unknown Type</t>
  </si>
  <si>
    <t>OnAudience&gt;Interest&gt;Arts &amp; Entertainment&gt;Television</t>
  </si>
  <si>
    <t>US&gt;Brand Propensities&gt;Travel&gt;Booking.com Buyer Propensity</t>
  </si>
  <si>
    <t>OnAudience&gt;Interest&gt;News&gt;National News</t>
  </si>
  <si>
    <t>Lotame&gt;Personal Finance</t>
  </si>
  <si>
    <t>OnAudience&gt;Interest&gt;Arts &amp; Entertainment&gt;Celebrity Fan&gt;Gossip</t>
  </si>
  <si>
    <t>US&gt;Brand Propensities&gt;Restaurants and Dining&gt;OpenTable Buyer Propensity</t>
  </si>
  <si>
    <t>Mobile - US&gt;Shopping&gt;Brand&gt;Old Navy</t>
  </si>
  <si>
    <t>Mobile - US&gt;Automotive&gt;Vehicle Ownership&gt;Brand&gt;Jeep</t>
  </si>
  <si>
    <t>OnAudience&gt;Interest&gt;Games</t>
  </si>
  <si>
    <t>Mobile - US&gt;Sports&gt;Motor Sports&gt;NASCAR</t>
  </si>
  <si>
    <t>OnAudience&gt;Intent&gt;Software</t>
  </si>
  <si>
    <t>US Health and Fitness&gt;Interest&gt;Exercise&gt;Health</t>
  </si>
  <si>
    <t>US Financial&gt;Estimated Disposable Income&gt;$0 - $99,999</t>
  </si>
  <si>
    <t>Media and Entertainment&gt;Sports and Recreational Activities&gt;Interest (Affinity)&gt;Team Sports&gt;Baseball&gt;Major League Baseball (MLB)</t>
  </si>
  <si>
    <t>US&gt;Brand Propensities&gt;Media and Entertainment&gt;Sony Network Entertainment International Buyer Propensity</t>
  </si>
  <si>
    <t>Media and Entertainment&gt;Audio and Video Streaming&gt;Streaming Video</t>
  </si>
  <si>
    <t>OnAudience&gt;Intent&gt;Media&gt;Music</t>
  </si>
  <si>
    <t>OnAudience&gt;Interest&gt;Arts &amp; Entertainment&gt;Books &amp; Literature</t>
  </si>
  <si>
    <t>US Interest&gt;Cooking&gt;General</t>
  </si>
  <si>
    <t>Lotame&gt;Offline CPG Purchasers&gt;Product Segment&gt;Home Supplies</t>
  </si>
  <si>
    <t>Online Behavior&gt;United States&gt;Travel&gt;Tourist Destinations&gt;Lakes and Rivers</t>
  </si>
  <si>
    <t>Online Behavior&gt;United States&gt;Finance&gt;Investing&gt;Currencies and Foreign Exchange</t>
  </si>
  <si>
    <t>Online Behavior&gt;United States&gt;Sports&gt;Team Sports&gt;Volleyball</t>
  </si>
  <si>
    <t>Online Behavior&gt;United States&gt;Beauty and Fitness&gt;Fashion and Style&gt;Fashion Modeling</t>
  </si>
  <si>
    <t>Online Behavior&gt;United States&gt;Sports&gt;Individual Sports&gt;Track and Field</t>
  </si>
  <si>
    <t>Online Behavior&gt;United States&gt;Intent&gt;Financial Intent&gt;Banking</t>
  </si>
  <si>
    <t>Online Behavior&gt;United States&gt;Beauty and Fitness&gt;Fashion and Style&gt;Couture Fashion</t>
  </si>
  <si>
    <t>Online Behavior&gt;United States&gt;Travel&gt;Tourist Destinations&gt;Historical Sites and Buildings</t>
  </si>
  <si>
    <t>Online Behavior&gt;United States&gt;Intent&gt;Shopping&gt;Drug Stores</t>
  </si>
  <si>
    <t>Online Behavior&gt;United States&gt;Food and Drink&gt;Beverages&gt;Beer</t>
  </si>
  <si>
    <t>Online Behavior&gt;United States&gt;Intent&gt;Shopping&gt;Consumer Electronics&gt;Computers, Laptops</t>
  </si>
  <si>
    <t>Online Behavior&gt;United States&gt;Intent&gt;Auto Buyers&gt;Car Make&gt;Vauxhall</t>
  </si>
  <si>
    <t>Online Behavior&gt;United States&gt;Intent&gt;Auto Buyers&gt;Car Make&gt;Mercedes</t>
  </si>
  <si>
    <t>Online Behavior&gt;United States&gt;Intent&gt;Auto Buyers&gt;Car Make&gt;Jeep</t>
  </si>
  <si>
    <t>Online Behavior&gt;United States&gt;Intent&gt;Auto Buyers&gt;Auto Buyers</t>
  </si>
  <si>
    <t>Online Behavior&gt;United States&gt;Intent&gt;Auto Buyers&gt;Type&gt;Truck</t>
  </si>
  <si>
    <t>Online Behavior&gt;United States&gt;Intent&gt;Auto Buyers&gt;Car Make&gt;Audi</t>
  </si>
  <si>
    <t>Online Behavior&gt;United States&gt;Intent&gt;Shopping&gt;CPG&gt;Beverages</t>
  </si>
  <si>
    <t>Online Behavior&gt;United States&gt;Food and Drink&gt;Restaurants&gt;Fine Dining</t>
  </si>
  <si>
    <t>Online Behavior&gt;United States&gt;Intent&gt;Auto Buyers&gt;Car Make&gt;Honda</t>
  </si>
  <si>
    <t>Online Behavior&gt;United States&gt;Sports&gt;Sports League&gt;Premier League</t>
  </si>
  <si>
    <t>Online Behavior&gt;United States&gt;Intent&gt;Services&gt;Arts and Entertainment</t>
  </si>
  <si>
    <t>Online Behavior&gt;United States&gt;Intent&gt;Auto Buyers&gt;Car Make&gt;Nissan</t>
  </si>
  <si>
    <t>Online Behavior&gt;United States&gt;Finance&gt;Investing&gt;Real Estate Investment Trusts</t>
  </si>
  <si>
    <t>Online Behavior&gt;United States&gt;Autos and Vehicles&gt;Brands&gt;Jeep</t>
  </si>
  <si>
    <t>Online Behavior&gt;United States&gt;Intent&gt;Shopping&gt;Pet Food&gt;Cat</t>
  </si>
  <si>
    <t>Online Behavior&gt;United States&gt;Autos and Vehicles&gt;Brands&gt;Peugeot</t>
  </si>
  <si>
    <t>Online Behavior&gt;United States&gt;Autos and Vehicles&gt;Brands&gt;Pontiac</t>
  </si>
  <si>
    <t>Online Behavior&gt;United States&gt;Intent&gt;Shopping&gt;Consumer Electronics&gt;Tablets</t>
  </si>
  <si>
    <t>Online Behavior&gt;United States&gt;Arts and Entertainment&gt;Events and Listings&gt;Expos and Conventions</t>
  </si>
  <si>
    <t>Online Behavior&gt;United States&gt;Sports&gt;Individual Sports&gt;Gymnastics</t>
  </si>
  <si>
    <t>Online Behavior&gt;United States&gt;Autos and Vehicles&gt;Brands&gt;GMC</t>
  </si>
  <si>
    <t>Online Behavior&gt;United States&gt;Autos and Vehicles&gt;Brands&gt;Saab</t>
  </si>
  <si>
    <t>Online Behavior&gt;United States&gt;Intent&gt;Shopping&gt;Drug Stores&gt;CVS</t>
  </si>
  <si>
    <t>Online Behavior&gt;United States&gt;Intent&gt;Shopping&gt;Consumer Electronics&gt;Cameras and Photography Equip</t>
  </si>
  <si>
    <t>Online Behavior&gt;United States&gt;Validated Demographic&gt;Gender and Age Combined&gt;Males 18-54</t>
  </si>
  <si>
    <t>Online Behavior&gt;United States&gt;Validated Demographic&gt;Age&gt;18-44</t>
  </si>
  <si>
    <t>Online Behavior&gt;United States&gt;Sports&gt;Sports League&gt;NHL</t>
  </si>
  <si>
    <t>Online Behavior&gt;United States&gt;Arts and Entertainment&gt;Events and Listings&gt;Live Sporting Events</t>
  </si>
  <si>
    <t>Online Behavior&gt;United States&gt;Food and Drink&gt;Beverages&gt;Bottled Water</t>
  </si>
  <si>
    <t>Online Behavior&gt;United States&gt;Hobbies and Leisure&gt;Special Occasions&gt;Weddings</t>
  </si>
  <si>
    <t>Online Behavior&gt;United States&gt;Intent&gt;Services&gt;Restaurants</t>
  </si>
  <si>
    <t>Online Behavior&gt;United States&gt;Intent&gt;Auto Buyers&gt;Type&gt;Crossover</t>
  </si>
  <si>
    <t>Online Behavior&gt;United States&gt;Validated Demographic&gt;Gender and Age Combined&gt;Females 25-34</t>
  </si>
  <si>
    <t>US&gt;Reach&gt;Sociodemographic&gt;Dwelling Size&gt;1 Unit</t>
  </si>
  <si>
    <t>Online Behavior&gt;United States&gt;Intent&gt;Shopping&gt;CPG&gt;Health and Beauty</t>
  </si>
  <si>
    <t>US&gt;Reach&gt;Propensity Models&gt;Hobbies and Interest&gt;Food and Drinks&gt;Gourmet Cooking</t>
  </si>
  <si>
    <t>Online Behavior&gt;United States&gt;B2B&gt;Occupation&gt;TravelAgent</t>
  </si>
  <si>
    <t>US&gt;Reach&gt;Propensity Models&gt;Hobbies and Interest&gt;Music&gt;Download</t>
  </si>
  <si>
    <t>US&gt;Reach&gt;Propensity Models&gt;Hobbies and Interest&gt;Music&gt;Listens to Pop Music</t>
  </si>
  <si>
    <t>Online Behavior&gt;United States&gt;B2B&gt;Occupation&gt;Architect</t>
  </si>
  <si>
    <t>Online Behavior&gt;United States&gt;Validated Demographic&gt;Gender and Age Combined&gt;Males 45-54</t>
  </si>
  <si>
    <t>Online Behavior&gt;United States&gt;B2B&gt;Occupation&gt;Teacher</t>
  </si>
  <si>
    <t>US&gt;Reach&gt;Propensity Models&gt;Lifestyle&gt;Loyalty Programs&gt;Loyalty Card User</t>
  </si>
  <si>
    <t>Online Behavior&gt;United States&gt;Finance&gt;Financial Planning and Management&gt;Asset and Portfolio Management</t>
  </si>
  <si>
    <t>Online Behavior&gt;United States&gt;B2B&gt;Occupation&gt;PropertyManager</t>
  </si>
  <si>
    <t>US&gt;Reach&gt;Propensity Models&gt;Lifestyle&gt;Loyalty Programs&gt;Frequent Flyer Program Member</t>
  </si>
  <si>
    <t>US&gt;Reach&gt;Propensity Models&gt;Hobbies and Interest&gt;Sports&gt;Plays Soccer</t>
  </si>
  <si>
    <t>US&gt;Reach&gt;Propensity Models&gt;Household Consumer Expenditures&gt;Kitchen</t>
  </si>
  <si>
    <t>US&gt;Reach&gt;Propensity Models&gt;Hobbies and Interest&gt;Food and Drinks&gt;Eats at Fast Food Restaurants</t>
  </si>
  <si>
    <t>US&gt;Reach&gt;Propensity Models&gt;Household Consumer Expenditures&gt;Furniture</t>
  </si>
  <si>
    <t>US&gt;AUTO&gt;Primary Vehicle&gt;Owned or Leased&gt;Privately owned</t>
  </si>
  <si>
    <t>US&gt;Reach&gt;Propensity Models&gt;Hobbies and Interest&gt;Sports&gt;Canoeing&gt;Kayaking</t>
  </si>
  <si>
    <t>US&gt;Response Performance&gt;Direct Marketing Purchasers</t>
  </si>
  <si>
    <t>US&gt;Reach&gt;Propensity Models&gt;Hobbies and Interest&gt;Cultural Arts</t>
  </si>
  <si>
    <t>Media and Entertainment&gt;Audio and Video Streaming&gt;Streaming Video&gt;Interest (Affinity)</t>
  </si>
  <si>
    <t>US&gt;Reach&gt;Propensity Models&gt;Travel&gt;High Frequency Travel&gt;Business Traveler</t>
  </si>
  <si>
    <t>US&gt;Sociodemographic&gt;ConneXions Lifestage&gt;Y2 Emerging Techies</t>
  </si>
  <si>
    <t>US&gt;B2B&gt;B2B Decision Maker Responsibilities&gt;Security Services</t>
  </si>
  <si>
    <t>US&gt;Reach&gt;Propensity Models&gt;Finance&gt;Credit&gt;Debit Card&gt;Store Credit Card User</t>
  </si>
  <si>
    <t>US&gt;Reach&gt;Propensity Models&gt;Household Consumer Expenditures&gt;Pets</t>
  </si>
  <si>
    <t>US&gt;Multibuyer Behaviors&gt;Paid with Credit Card</t>
  </si>
  <si>
    <t>OnAudience&gt;Interest&gt;News &amp; Magazines</t>
  </si>
  <si>
    <t>US&gt;Brand Propensities&gt;Travel&gt;Sandals Resorts Buyer Propensity</t>
  </si>
  <si>
    <t>OnAudience&gt;Interest&gt;Business</t>
  </si>
  <si>
    <t>Media and Entertainment&gt;Audio and Video Streaming</t>
  </si>
  <si>
    <t>US&gt;AUTO&gt;Primary Vehicle&gt;Owned or Leased&gt;Company Car</t>
  </si>
  <si>
    <t>Media and Entertainment&gt;Sports and Recreational Activities&gt;Interest (Affinity)&gt;Olympics</t>
  </si>
  <si>
    <t>OnAudience&gt;Interest&gt;Society</t>
  </si>
  <si>
    <t>Real Estate&gt;Property Type&gt;Residential</t>
  </si>
  <si>
    <t>US&gt;Brand Propensities&gt;Apparel&gt;Lady Foot Locker Buyer Propensity</t>
  </si>
  <si>
    <t>US&gt;Brand Propensities&gt;Travel&gt;American Airlines Buyer Propensity</t>
  </si>
  <si>
    <t>Travel and Tourism&gt;Interest (Affinity)&gt;Destinations&gt;North America</t>
  </si>
  <si>
    <t>US&gt;B2B&gt;B2B Decision Maker Responsibilities&gt;Sales</t>
  </si>
  <si>
    <t>Travel and Tourism&gt;Interest (Affinity)&gt;Destinations&gt;North America&gt;United States</t>
  </si>
  <si>
    <t>Media and Entertainment&gt;Consumer Entertainment Technology&gt;Interest</t>
  </si>
  <si>
    <t>OnAudience&gt;Interest&gt;Sports</t>
  </si>
  <si>
    <t>OnAudience&gt;Interest&gt;Education</t>
  </si>
  <si>
    <t>US Demographic&gt;Preferred Language&gt;Individual&gt;Non-Hispanic</t>
  </si>
  <si>
    <t>US&gt;Interest Propensities&gt;Insurance&gt;Aetna Group</t>
  </si>
  <si>
    <t>US&gt;Interest Propensities&gt;Activities and Interests&gt;Local News</t>
  </si>
  <si>
    <t>OnAudience&gt;Interest&gt;Finance</t>
  </si>
  <si>
    <t>US&gt;Brand Propensities&gt;Food and Drug&gt;Postmates Buyer Propensity</t>
  </si>
  <si>
    <t>US&gt;Interest Propensities&gt;Activities and Interests&gt;Buying and Selling Homes&gt;Real Estate</t>
  </si>
  <si>
    <t>US&gt;Sociodemographic&gt;PRIZM Premier Social&gt;C2 City Centers</t>
  </si>
  <si>
    <t>US&gt;Brand Propensities&gt;Telecom and Service Providers&gt;PureTalk USA Buyer Propensity</t>
  </si>
  <si>
    <t>US&gt;Brand Propensities&gt;Personas&gt;Black Friday Buyer Propensity</t>
  </si>
  <si>
    <t>Mobile - US&gt;Food&gt;Restaurant&gt;Brand&gt;Moes Southwest Grill</t>
  </si>
  <si>
    <t>Lotame&gt;Style, Fashion &amp; Clothing</t>
  </si>
  <si>
    <t>US&gt;AUTO&gt;Auto Car Purchase Next Year&gt;Yes</t>
  </si>
  <si>
    <t>Net Asset Value&gt;$100,000 - $249,999</t>
  </si>
  <si>
    <t>US Buying Channel Preference&gt;Online</t>
  </si>
  <si>
    <t>US&gt;Brand Propensities&gt;Media and Entertainment&gt;wwe.com Buyer Propensity</t>
  </si>
  <si>
    <t>US&gt;B2B&gt;B2B Decision Maker Responsibilities&gt;Advertising Services</t>
  </si>
  <si>
    <t>Mobile Audience&gt;Lifestyle&gt;Arts Enthusiasts</t>
  </si>
  <si>
    <t>OnAudience&gt;Interest&gt;Science&gt;Weather</t>
  </si>
  <si>
    <t>Lotame&gt;Style, Fashion &amp; Clothing&gt;Children's Clothing Shoppers</t>
  </si>
  <si>
    <t>US&gt;B2B&gt;B2B Decision Maker Responsibilities&gt;Real Estate Services</t>
  </si>
  <si>
    <t>OnAudience&gt;Interest&gt;Technology &amp; Computing&gt;Internet Technology</t>
  </si>
  <si>
    <t>US&gt;Demographic&gt;Family&gt;Male Head of Household</t>
  </si>
  <si>
    <t>US&gt;Brand Propensities&gt;Travel&gt;MGM Resorts International Buyer Propensity</t>
  </si>
  <si>
    <t>Lotame&gt;Personal Finance&gt;Online Banking</t>
  </si>
  <si>
    <t>US&gt;Health and Wellbeing&gt;Health and Wellbeing</t>
  </si>
  <si>
    <t>OnAudience&gt;Interest&gt;Arts &amp; Entertainment&gt;Movies</t>
  </si>
  <si>
    <t>US&gt;Brand Propensities&gt;Health&gt;Beauty and Cosmetics&gt;Mary Kay Buyer Propensity</t>
  </si>
  <si>
    <t>US&gt;Sociodemographic&gt;PRIZM Premier Social&gt;T2 Country Comfort</t>
  </si>
  <si>
    <t>US&gt;Demo&gt;Age&gt;55-64</t>
  </si>
  <si>
    <t>OnAudience&gt;Interest&gt;Shopping&gt;Shopping Mall Buyers</t>
  </si>
  <si>
    <t>US Financial&gt;Method of Payment&gt;Other</t>
  </si>
  <si>
    <t>Media and Entertainment&gt;Sports and Recreational Activities&gt;Interest (Affinity)&gt;Team Sports&gt;Baseball</t>
  </si>
  <si>
    <t>OnAudience&gt;Intent&gt;Electronics&gt;Video&gt;Televisions</t>
  </si>
  <si>
    <t>OnAudience&gt;Interest&gt;Style &amp; Fashion&gt;Fashion</t>
  </si>
  <si>
    <t>Online Behavior&gt;United States&gt;Finance&gt;Insurance&gt;Health Insurance</t>
  </si>
  <si>
    <t>Online Behavior&gt;United States&gt;Beauty and Fitness&gt;Face and Body Care&gt;Make-Up and Cosmetics</t>
  </si>
  <si>
    <t>Online Behavior&gt;United States&gt;Arts and Entertainment&gt;Events and Listings&gt;Concerts and Music Festivals</t>
  </si>
  <si>
    <t>Online Behavior&gt;United States&gt;Intent&gt;Shopping&gt;Consumer Electronics&gt;Mobile Phones, Smartphones, Cell Phones</t>
  </si>
  <si>
    <t>Online Behavior&gt;United States&gt;Hobbies and Leisure&gt;Outdoors&gt;Fishing</t>
  </si>
  <si>
    <t>Online Behavior&gt;United States&gt;Hobbies and Leisure&gt;Outdoors&gt;Hiking and Camping</t>
  </si>
  <si>
    <t>Online Behavior&gt;United States&gt;Finance&gt;Accounting and Auditing&gt;Tax Preparation and Planning</t>
  </si>
  <si>
    <t>Online Behavior&gt;United States&gt;People and Society&gt;Family and Relationships&gt;Dads</t>
  </si>
  <si>
    <t>Online Behavior&gt;United States&gt;Finance&gt;Investing&gt;Brokerages and Day Trading</t>
  </si>
  <si>
    <t>Online Behavior&gt;United States&gt;Sports&gt;World Sports Competitions&gt;Olympics</t>
  </si>
  <si>
    <t>Online Behavior&gt;United States&gt;Intent&gt;Travel&gt;Car Rentals</t>
  </si>
  <si>
    <t>Online Behavior&gt;United States&gt;Sports&gt;Team Sports&gt;Soccer</t>
  </si>
  <si>
    <t>Online Behavior&gt;United States&gt;Intent&gt;Financial Intent&gt;Loans and Credit</t>
  </si>
  <si>
    <t>Online Behavior&gt;United States&gt;Sports&gt;Individual Sports&gt;Bowling</t>
  </si>
  <si>
    <t>Online Behavior&gt;United States&gt;Intent&gt;Services&gt;Finance and Insurance</t>
  </si>
  <si>
    <t>Online Behavior&gt;United States&gt;Sports&gt;Individual Sports&gt;Racquet Sports</t>
  </si>
  <si>
    <t>Online Behavior&gt;United States&gt;Intent&gt;Financial Intent&gt;Insurance</t>
  </si>
  <si>
    <t>Online Behavior&gt;United States&gt;Autos and Vehicles&gt;Brands&gt;Toyota</t>
  </si>
  <si>
    <t>Online Behavior&gt;United States&gt;Intent&gt;Financial Intent&gt;Personal Finance</t>
  </si>
  <si>
    <t>Online Behavior&gt;United States&gt;Sports&gt;Water Sports&gt;Swimming</t>
  </si>
  <si>
    <t>Online Behavior&gt;United States&gt;Intent&gt;Financial Intent&gt;Insurance&gt;Health</t>
  </si>
  <si>
    <t>Online Behavior&gt;United States&gt;Intent&gt;Shopping&gt;Entertainment</t>
  </si>
  <si>
    <t>Online Behavior&gt;United States&gt;Intent&gt;Shopping&gt;Consumer Electronics</t>
  </si>
  <si>
    <t>Online Behavior&gt;United States&gt;Intent&gt;Shopping&gt;Wireless Providers</t>
  </si>
  <si>
    <t>Online Behavior&gt;United States&gt;Intent&gt;Travel&gt;Cruises</t>
  </si>
  <si>
    <t>Online Behavior&gt;United States&gt;Validated Demographic&gt;Age&gt;25 or older</t>
  </si>
  <si>
    <t>Online Behavior&gt;United States&gt;Intent&gt;Financial Intent&gt;Insurance&gt;Auto</t>
  </si>
  <si>
    <t>Online Behavior&gt;United States&gt;Intent&gt;Services&gt;Sports and Recreation</t>
  </si>
  <si>
    <t>Online Behavior&gt;United States&gt;Intent&gt;Auto Buyers&gt;Used</t>
  </si>
  <si>
    <t>Online Behavior&gt;United States&gt;Intent&gt;Travel&gt;Budget Travel</t>
  </si>
  <si>
    <t>Online Behavior&gt;United States&gt;Intent&gt;Auto Buyers&gt;Category&gt;Motorcycle</t>
  </si>
  <si>
    <t>Online Behavior&gt;United States&gt;Autos and Vehicles&gt;Brands&gt;Fiat</t>
  </si>
  <si>
    <t>Online Behavior&gt;United States&gt;Intent&gt;Auto Buyers&gt;Type&gt;Hatchback</t>
  </si>
  <si>
    <t>Online Behavior&gt;United States&gt;Autos and Vehicles&gt;Brands&gt;Honda</t>
  </si>
  <si>
    <t>Online Behavior&gt;United States&gt;Autos and Vehicles&gt;Brands&gt;Audi</t>
  </si>
  <si>
    <t>Online Behavior&gt;United States&gt;Intent&gt;Auto Buyers&gt;Car Make&gt;Chevrolet</t>
  </si>
  <si>
    <t>Online Behavior&gt;United States&gt;Intent&gt;Auto Buyers&gt;Car Make&gt;GMC</t>
  </si>
  <si>
    <t>Online Behavior&gt;United States&gt;Arts and Entertainment&gt;Events and Listings&gt;Movie Listings and Theater Showtimes</t>
  </si>
  <si>
    <t>Online Behavior&gt;United States&gt;Finance&gt;Grants, Scholarships and Financial Aid&gt;Grants, Scholarships and Financial Aid</t>
  </si>
  <si>
    <t>Online Behavior&gt;United States&gt;Autos and Vehicles&gt;Brands&gt;Nissan</t>
  </si>
  <si>
    <t>Online Behavior&gt;United States&gt;Intent&gt;Real Estate&gt;Commercial</t>
  </si>
  <si>
    <t>Online Behavior&gt;United States&gt;Intent&gt;Real Estate&gt;Residential</t>
  </si>
  <si>
    <t>Online Behavior&gt;United States&gt;Autos and Vehicles&gt;Brands&gt;Suzuki</t>
  </si>
  <si>
    <t>Online Behavior&gt;United States&gt;Autos and Vehicles&gt;Brands&gt;Hyundai</t>
  </si>
  <si>
    <t>Online Behavior&gt;United States&gt;Autos and Vehicles&gt;Brands&gt;Jaguar</t>
  </si>
  <si>
    <t>Online Behavior&gt;United States&gt;Autos and Vehicles&gt;Brands&gt;Rolls-Royce</t>
  </si>
  <si>
    <t>Online Behavior&gt;United States&gt;Intent&gt;Services&gt;Gas Stations</t>
  </si>
  <si>
    <t>Online Behavior&gt;United States&gt;Beauty and Fitness&gt;Face and Body Care&gt;Perfumes and Fragrances</t>
  </si>
  <si>
    <t>Online Behavior&gt;United States&gt;Autos and Vehicles&gt;Brands&gt;Hummer</t>
  </si>
  <si>
    <t>Online Behavior&gt;United States&gt;Travel&gt;Specialty Travel&gt;Sightseeing Tours</t>
  </si>
  <si>
    <t>Online Behavior&gt;United States&gt;Food and Drink&gt;Beverages&gt;Wine</t>
  </si>
  <si>
    <t>Online Behavior&gt;United States&gt;Food and Drink&gt;Beverages&gt;Liquor</t>
  </si>
  <si>
    <t>Online Behavior&gt;United States&gt;Autos and Vehicles&gt;Brands&gt;Maserati</t>
  </si>
  <si>
    <t>Online Behavior&gt;United States&gt;Food and Drink&gt;Restaurants&gt;Pizzerias</t>
  </si>
  <si>
    <t>Online Behavior&gt;United States&gt;Travel&gt;Specialty Travel&gt;Vineyards and Wine Tourism</t>
  </si>
  <si>
    <t>Online Behavior&gt;United States&gt;Food and Drink&gt;Restaurants&gt;Catering</t>
  </si>
  <si>
    <t>Online Behavior&gt;United States&gt;Validated Demographic&gt;Gender and Age Combined&gt;Females 25-54</t>
  </si>
  <si>
    <t>Online Behavior&gt;United States&gt;Autos and Vehicles&gt;Brands&gt;Lexus</t>
  </si>
  <si>
    <t>Online Behavior&gt;United States&gt;Validated Demographic&gt;Gender and Age Combined&gt;Males 65 or older</t>
  </si>
  <si>
    <t>Online Behavior&gt;United States&gt;Validated Demographic&gt;Gender and Age Combined&gt;Females 18-34</t>
  </si>
  <si>
    <t>Online Behavior&gt;United States&gt;Intent&gt;Auto Buyers&gt;Category&gt;Van</t>
  </si>
  <si>
    <t>Online Behavior&gt;United States&gt;Intent&gt;Shopping&gt;CPG&gt;Grocery</t>
  </si>
  <si>
    <t>Online Behavior&gt;United States&gt;Intent&gt;Travel&gt;Amusement Parks</t>
  </si>
  <si>
    <t>Online Behavior&gt;United States&gt;Validated Demographic&gt;Gender and Age Combined&gt;Males 18-44</t>
  </si>
  <si>
    <t>Online Behavior&gt;United States&gt;B2B&gt;Occupation&gt;Musician</t>
  </si>
  <si>
    <t>Online Behavior&gt;United States&gt;Intent&gt;Services&gt;Home and Garden</t>
  </si>
  <si>
    <t>Online Behavior&gt;United States&gt;The Changing Consumer&gt;Home Fitness and Health&gt;Wellness</t>
  </si>
  <si>
    <t>Online Behavior&gt;United States&gt;Validated Demographic&gt;Age&gt;25-44</t>
  </si>
  <si>
    <t>Online Behavior&gt;United States&gt;Intent&gt;Services&gt;Elderly People Care</t>
  </si>
  <si>
    <t>Online Behavior&gt;United States&gt;Beauty and Fitness&gt;Fitness&gt;Fitness Equipment and Accessories</t>
  </si>
  <si>
    <t>Online Behavior&gt;United States&gt;Sports&gt;Water Sports&gt;Surfing</t>
  </si>
  <si>
    <t>Online Behavior&gt;United States&gt;Autos and Vehicles&gt;Brands&gt;Lincoln</t>
  </si>
  <si>
    <t>Online Behavior&gt;United States&gt;Autos and Vehicles&gt;Brands&gt;Subaru</t>
  </si>
  <si>
    <t>US&gt;Reach&gt;Sociodemographic&gt;Age&gt;50-54</t>
  </si>
  <si>
    <t>US&gt;Reach&gt;Sociodemographic&gt;Marital Status&gt;Married</t>
  </si>
  <si>
    <t>Online Behavior&gt;United States&gt;Autos and Vehicles&gt;Brands&gt;Chrysler</t>
  </si>
  <si>
    <t>Online Behavior&gt;United States&gt;B2B&gt;Occupation&gt;RealEstateAgent</t>
  </si>
  <si>
    <t>Online Behavior&gt;United States&gt;Finance&gt;Insurance&gt;Vehicle Insurance</t>
  </si>
  <si>
    <t>Online Behavior&gt;United States&gt;Beauty and Fitness&gt;Hair Care&gt;Hair Loss</t>
  </si>
  <si>
    <t>US&gt;Reach&gt;Propensity Models&gt;Hobbies and Interest&gt;Music&gt;Listens to Hip Hop Music</t>
  </si>
  <si>
    <t>US&gt;Reach&gt;Propensity Models&gt;Coupon Users</t>
  </si>
  <si>
    <t>US&gt;Reach&gt;Propensity Models&gt;Hobbies and Interest&gt;Sports&gt;Plays Hockey</t>
  </si>
  <si>
    <t>US&gt;Reach&gt;Propensity Models&gt;Lifestyle&gt;Attend&gt;Order Educational Programs</t>
  </si>
  <si>
    <t>US&gt;Reach&gt;Propensity Models&gt;Hobbies and Interest&gt;Music&gt;Listens to Alternative Music</t>
  </si>
  <si>
    <t>Online Behavior&gt;United States&gt;B2B&gt;Occupation&gt;IndustrialEngineer</t>
  </si>
  <si>
    <t>US&gt;Reach&gt;Propensity Models&gt;Travel&gt;High Frequency Travel&gt;Domestic Vacationer</t>
  </si>
  <si>
    <t>US&gt;Reach&gt;Sociodemographic&gt;Household Income&gt;$25,000-$49,999</t>
  </si>
  <si>
    <t>US&gt;Demo&gt;Age&gt;18+</t>
  </si>
  <si>
    <t>US&gt;Reach&gt;Propensity Models&gt;Hobbies and Interest&gt;Music&gt;Streaming</t>
  </si>
  <si>
    <t>Online Behavior&gt;United States&gt;B2B&gt;Occupation&gt;Recruiter</t>
  </si>
  <si>
    <t>Online Behavior&gt;United States&gt;Autos and Vehicles&gt;Vehicle Shopping&gt;Vehicle Specs, Reviews and Comparisons</t>
  </si>
  <si>
    <t>Online Behavior&gt;United States&gt;Validated Demographic&gt;Age&gt;45-54</t>
  </si>
  <si>
    <t>US&gt;Reach&gt;Propensity Models&gt;Lifestyle&gt;Loyalty Programs&gt;Hotel Guest Loyalty Program</t>
  </si>
  <si>
    <t>US&gt;Reach&gt;Sociodemographic&gt;Education Level&gt;Some College</t>
  </si>
  <si>
    <t>US&gt;Reach&gt;Propensity Models&gt;Travel&gt;High Frequency Travel&gt;Cruise Enthusiast</t>
  </si>
  <si>
    <t>Online Behavior&gt;United States&gt;Autos and Vehicles&gt;Brands&gt;Tesla</t>
  </si>
  <si>
    <t>Online Behavior&gt;United States&gt;Finance&gt;Accounting and Auditing&gt;Billing and Invoicing</t>
  </si>
  <si>
    <t>Online Behavior&gt;United States&gt;B2B&gt;Occupation&gt;OfficeManager</t>
  </si>
  <si>
    <t>US&gt;Reach&gt;Propensity Models&gt;Hobbies and Interest&gt;Photography</t>
  </si>
  <si>
    <t>Online Behavior&gt;United States&gt;Travel&gt;Specialty Travel&gt;Ecotourism</t>
  </si>
  <si>
    <t>US&gt;Reach&gt;Sociodemographic&gt;Education Level&gt;High School Diploma</t>
  </si>
  <si>
    <t>US&gt;Reach&gt;Sociodemographic&gt;Education Level&gt;Less than High School Diploma</t>
  </si>
  <si>
    <t>US&gt;Reach&gt;Propensity Models&gt;Lifestyle&gt;Video Gamer</t>
  </si>
  <si>
    <t>US&gt;Reach&gt;Propensity Models&gt;Finance&gt;Brokerage Account Owner</t>
  </si>
  <si>
    <t>Online Behavior&gt;United States&gt;B2B&gt;Occupation&gt;Finance</t>
  </si>
  <si>
    <t>US&gt;B2B&gt;B2B Decision Maker Responsibilities&gt;Maintenance Services</t>
  </si>
  <si>
    <t>US&gt;Reach&gt;Propensity Models&gt;Hobbies and Interest&gt;Sports&gt;Plays Golf</t>
  </si>
  <si>
    <t>US&gt;Reach&gt;Propensity Models&gt;Finance&gt;Investor</t>
  </si>
  <si>
    <t>US&gt;Reach&gt;Propensity Models&gt;Lifestyle&gt;Retired&gt;Have Retirement Financial Plan</t>
  </si>
  <si>
    <t>Media and Entertainment&gt;Sports and Recreational Activities&gt;Interest (Affinity)</t>
  </si>
  <si>
    <t>US&gt;Reach&gt;Propensity Models&gt;Hobbies and Interest&gt;Music&gt;Listens to Rock Music</t>
  </si>
  <si>
    <t>US&gt;Reach&gt;Propensity Models&gt;Online&gt;Travel</t>
  </si>
  <si>
    <t>US&gt;Demographic&gt;Work at Home</t>
  </si>
  <si>
    <t>US&gt;Reach&gt;Propensity Models&gt;Online&gt;Home Maintenance</t>
  </si>
  <si>
    <t>US&gt;Reach&gt;Sociodemographic&gt;Marital Status&gt;Single</t>
  </si>
  <si>
    <t>US&gt;B2B&gt;B2B Decision Maker Responsibilities&gt;Travel or Transportation</t>
  </si>
  <si>
    <t>Media and Entertainment&gt;Sports and Recreational Activities&gt;Interest (Affinity)&gt;Team Sports</t>
  </si>
  <si>
    <t>US&gt;B2B&gt;B2B Decision Maker Responsibilities&gt;Telecommunications</t>
  </si>
  <si>
    <t>US&gt;Premium Gender&gt;Premium Gender&gt;Females</t>
  </si>
  <si>
    <t>US&gt;Reach&gt;Propensity Models&gt;Hobbies and Interest&gt;Sports&gt;NASCAR Enthusiast</t>
  </si>
  <si>
    <t>US&gt;Brand Propensities&gt;Media and Entertainment&gt;iTunes Buyer Propensity</t>
  </si>
  <si>
    <t>Online Behavior&gt;United States&gt;B2B&gt;Occupation&gt;MechanicalEngineer</t>
  </si>
  <si>
    <t>US&gt;Interest Propensities&gt;TV and Movies&gt;Daytime TV</t>
  </si>
  <si>
    <t>US&gt;Reach&gt;Sociodemographic&gt;Estimated Current Home Value&gt;$100,000-$159,999</t>
  </si>
  <si>
    <t>Media and Entertainment&gt;Music</t>
  </si>
  <si>
    <t>US&gt;Interest Propensities&gt;TV and Movies&gt;Horror and Suspense</t>
  </si>
  <si>
    <t>Media and Entertainment&gt;Audio and Video Streaming&gt;Streaming Video&gt;Interest (Affinity)&gt;Streaming Services</t>
  </si>
  <si>
    <t>OnAudience&gt;Intent</t>
  </si>
  <si>
    <t>US&gt;Interest Propensities&gt;TV and Movies&gt;Reality&gt;Game Shows</t>
  </si>
  <si>
    <t>US&gt;Reach&gt;Propensity Models&gt;Hobbies and Interest&gt;Sports&gt;Outdoor Enthusiast</t>
  </si>
  <si>
    <t>OnAudience&gt;Interest&gt;Hobbies &amp; Interests</t>
  </si>
  <si>
    <t>US&gt;B2B&gt;B2B Decision Maker Responsibilities&gt;Shipping or Mail Services</t>
  </si>
  <si>
    <t>US&gt;Multibuyer Behaviors&gt;Multibuyer Behaviors</t>
  </si>
  <si>
    <t>US&gt;Reach&gt;Propensity Models&gt;Lifestyle&gt;Devices&gt;Mobile Users</t>
  </si>
  <si>
    <t>US&gt;Interest Propensities&gt;Food and Drink&gt;Chinese Cuisine</t>
  </si>
  <si>
    <t>Media and Entertainment&gt;News and Current Events&gt;Online News Websites</t>
  </si>
  <si>
    <t>US&gt;Reach&gt;Sociodemographic&gt;Age&gt;40-44</t>
  </si>
  <si>
    <t>US&gt;B2B&gt;B2B Decision Maker Responsibilities&gt;Accounting or Tax Services</t>
  </si>
  <si>
    <t>US&gt;Interest Propensities&gt;Music&gt;Metal</t>
  </si>
  <si>
    <t>US&gt;B2B&gt;B2B Decision Maker Responsibilities&gt;Office Supplies or Equipment</t>
  </si>
  <si>
    <t>US&gt;Interest Propensities&gt;TV and Movies&gt;Family&gt;Animated</t>
  </si>
  <si>
    <t>US&gt;Multibuyer Behaviors&gt;Merchandise Buyers</t>
  </si>
  <si>
    <t>Real Estate&gt;Ownership Status&gt;Owner</t>
  </si>
  <si>
    <t>US&gt;B2B&gt;B2B Decision Maker Responsibilities&gt;Raw Materials or Components</t>
  </si>
  <si>
    <t>Telecommunications (Telco)&gt;Subscribers&gt;Cable and Internet Service Providers (ISPs)</t>
  </si>
  <si>
    <t>US&gt;Sociodemographic&gt;PRIZM Premier Lifestage&gt;F1 Accumulated Wealth</t>
  </si>
  <si>
    <t>US&gt;Reach&gt;Propensity Models&gt;Hobbies and Interest&gt;Pets&gt;Cat Owners</t>
  </si>
  <si>
    <t>US&gt;Reach&gt;Propensity Models&gt;Real Estate&gt;Monthly Mortgage Payment&gt;$800-$999</t>
  </si>
  <si>
    <t>OnAudience&gt;Interest&gt;Technology &amp; Computing</t>
  </si>
  <si>
    <t>US&gt;Reach&gt;Propensity Models&gt;Online&gt;Lawn and Garden</t>
  </si>
  <si>
    <t>Mobile - US&gt;Device Ownership&gt;Tablets&gt;iOS (Apple)&gt;yes</t>
  </si>
  <si>
    <t>US&gt;Brand Propensities&gt;Media and Entertainment&gt;pokerstars.net Buyer Propensity</t>
  </si>
  <si>
    <t>Lotame&gt;Technology</t>
  </si>
  <si>
    <t>OnAudience&gt;Interest&gt;Sport fans</t>
  </si>
  <si>
    <t>US&gt;Brand Propensities&gt;Electronics&gt;Crutchfield Buyer Propensity</t>
  </si>
  <si>
    <t>US&gt;Channel Preference&gt;Direct Mail Orderers</t>
  </si>
  <si>
    <t>Mobile - US&gt;Device Ownership&gt;Tablets&gt;iOS (Apple)&gt;iPad PRO</t>
  </si>
  <si>
    <t>US&gt;Sociodemographic&gt;PRIZM Premier Social&gt;S2 The Affluentials</t>
  </si>
  <si>
    <t>US&gt;Brand Propensities&gt;Pets&gt;Petco Buyer Propensity</t>
  </si>
  <si>
    <t>OnAudience&gt;Interest&gt;Law &amp; Government</t>
  </si>
  <si>
    <t>US&gt;Sociodemographic&gt;ConneXions Lifestage&gt;Y1 Young and Wireless</t>
  </si>
  <si>
    <t>US&gt;Brand Propensities&gt;Telecom and Service Providers&gt;Virgin Mobile Buyer Propensity</t>
  </si>
  <si>
    <t>US&gt;Interest Propensities&gt;Insurance&gt;Lincoln Heritage</t>
  </si>
  <si>
    <t>US&gt;Reach&gt;Sociodemographic&gt;Estimated Current Home Value&gt;$160,000-$199,999</t>
  </si>
  <si>
    <t>US&gt;Interest Propensities&gt;Celebrities&gt;Celebrity Fan Gossip</t>
  </si>
  <si>
    <t>US&gt;Demographic&gt;Household Income $50k+</t>
  </si>
  <si>
    <t>OnAudience&gt;Interest&gt;Hobbies &amp; Interests&gt;Technology</t>
  </si>
  <si>
    <t>OnAudience&gt;Interest&gt;Science</t>
  </si>
  <si>
    <t>Mobile - US&gt;Subscribers&gt;Old Phones&gt;yes</t>
  </si>
  <si>
    <t>Mobile - US&gt;Food&gt;Restaurant&gt;Brand&gt;Whataburger</t>
  </si>
  <si>
    <t>US&gt;B2B&gt;Business Title or Role&gt;Manager&gt;Senior Manager</t>
  </si>
  <si>
    <t>US Financial&gt;Likely In Market Timing&gt;Not At All Likely to Purchase&gt;Second House/Residence In The Next Year (Financial)</t>
  </si>
  <si>
    <t>US Financial&gt;Likely In Market Timing&gt;Not At All Likely to Purchase&gt;Sell House/Residence in the Next Year (Financial)</t>
  </si>
  <si>
    <t>OnAudience&gt;Interest&gt;Sport fans&gt;Fitness Lovers</t>
  </si>
  <si>
    <t>Online Behavior&gt;United States&gt;B2B&gt;Occupation&gt;SupplyChainManager</t>
  </si>
  <si>
    <t>US Financial&gt;Likely Credit Card&gt;Behavior&gt;Used for Personal Purposes</t>
  </si>
  <si>
    <t>Media and Entertainment&gt;Gaming</t>
  </si>
  <si>
    <t>US&gt;Interest Propensities&gt;Insurance&gt;Cigna Health Group</t>
  </si>
  <si>
    <t>OnAudience&gt;Interest&gt;Travel</t>
  </si>
  <si>
    <t>Lotame&gt;News &amp; Politics</t>
  </si>
  <si>
    <t>Real Estate&gt;Property Type&gt;Single Family Residence Owners</t>
  </si>
  <si>
    <t>US&gt;Multibuyer Behaviors&gt;Multibuyers</t>
  </si>
  <si>
    <t>Lotame&gt;Home &amp; Family&gt;School &amp; Education</t>
  </si>
  <si>
    <t>OnAudience&gt;Demography&gt;Gender</t>
  </si>
  <si>
    <t>US Financial&gt;Likely Credit Card&gt;Card in Own Name&gt;Any major Credit/Debit Card (Financial)</t>
  </si>
  <si>
    <t>US&gt;Multibuyer Behaviors&gt;Merchandise Multibuyers</t>
  </si>
  <si>
    <t>Media and Entertainment&gt;Sports and Recreational Activities&gt;Interest (Affinity)&gt;Olympics&gt;Summer Olympics</t>
  </si>
  <si>
    <t>US Financial&gt;Estimated Disposable Income (Financial)&gt;$0 - $99,999</t>
  </si>
  <si>
    <t>OnAudience&gt;Interest&gt;Technology &amp; Computing&gt;Computer Peripherals</t>
  </si>
  <si>
    <t>US Technology&gt;Electronics&gt;Computers</t>
  </si>
  <si>
    <t>Mobile - US&gt;Device Ownership&gt;SmartTVs&gt;Sony</t>
  </si>
  <si>
    <t>Mobile - US&gt;Food&gt;Restaurant&gt;Brand&gt;Red Lobster</t>
  </si>
  <si>
    <t>US&gt;Home and Garden Interests&gt;House and Garden Enthusiasts</t>
  </si>
  <si>
    <t>OnAudience&gt;Interest&gt;Travelling</t>
  </si>
  <si>
    <t>US Financial&gt;Credit Card User</t>
  </si>
  <si>
    <t>OnAudience&gt;Intent&gt;Baby &amp; Toddler&gt;Baby Toys</t>
  </si>
  <si>
    <t>OnAudience&gt;Intent&gt;Electronics&gt;Computers</t>
  </si>
  <si>
    <t>Media and Entertainment&gt;Television (TV)</t>
  </si>
  <si>
    <t>US&gt;Home and Garden Interests&gt;House and Garden Merchandise Buyers</t>
  </si>
  <si>
    <t>Mobile - US&gt;Food&gt;Restaurant&gt;Brand&gt;Panera Bread</t>
  </si>
  <si>
    <t>US Financial&gt;Likely Attitude and Behavior&gt;Completely Disagree&gt;When I Find A Financial Product/Service I Like I Typically Recommend It To People I Know (Financial)</t>
  </si>
  <si>
    <t>Mobile - US&gt;Travel&gt;Car Rentals&gt;Enterprise</t>
  </si>
  <si>
    <t>Media and Entertainment&gt;Movies</t>
  </si>
  <si>
    <t>US&gt;B2B&gt;B2B Decision Maker Responsibilities&gt;Print, Copy or Photo Services</t>
  </si>
  <si>
    <t>Mobile - US&gt;Shopping&gt;Brand&gt;Ace Hardware</t>
  </si>
  <si>
    <t>US&gt;Interest Propensities&gt;Insurance&gt;Anthem</t>
  </si>
  <si>
    <t>OnAudience&gt;Intent&gt;Electronics&gt;Communications</t>
  </si>
  <si>
    <t>Media and Entertainment&gt;Sports and Recreational Activities&gt;Interest (Affinity)&gt;Team Sports&gt;Basketball</t>
  </si>
  <si>
    <t>US Interest&gt;Consumer Electronics</t>
  </si>
  <si>
    <t>OnAudience&gt;Interest&gt;Arts &amp; Entertainment</t>
  </si>
  <si>
    <t>Media and Entertainment&gt;Connected TV and Over-the-Top (CTV and OTT)&gt;Streaming Television and Film Viewership&gt;OTT Network Viewers&gt;FOX Streamers</t>
  </si>
  <si>
    <t>Mobile - US&gt;Subscribers&gt;Domestic Mobile Carriers&gt;Verizon</t>
  </si>
  <si>
    <t>US&gt;Brand Propensities&gt;Automotive&gt;Ford Credit Buyer Propensity</t>
  </si>
  <si>
    <t>US&gt;Interest Propensities&gt;Insurance&gt;Humana</t>
  </si>
  <si>
    <t>OnAudience&gt;Intent&gt;Health &amp; Beauty</t>
  </si>
  <si>
    <t>Lotame&gt;Travel&gt;Summer Travel</t>
  </si>
  <si>
    <t>Lotame&gt;Technology&gt;Computers &amp; Software</t>
  </si>
  <si>
    <t>OnAudience&gt;Intent&gt;Toys &amp; Games</t>
  </si>
  <si>
    <t>US&gt;Brand Propensities&gt;Health&gt;Beauty and Cosmetics&gt;Bare Escentuals Buyer Propensity</t>
  </si>
  <si>
    <t>Telecommunications and Mobile Tech&gt;Mobile Devices and Connected Technology</t>
  </si>
  <si>
    <t>OnAudience&gt;Interest&gt;Science&gt;Weather Forecast</t>
  </si>
  <si>
    <t>Mobile - US&gt;Food&gt;Restaurant&gt;Style&gt;Desserts</t>
  </si>
  <si>
    <t>Media and Entertainment&gt;Gaming&gt;Interest (Affinity)&gt;Platforms and Consoles</t>
  </si>
  <si>
    <t>Lotame&gt;Online Shoppers</t>
  </si>
  <si>
    <t>Media and Entertainment&gt;Sports and Recreational Activities&gt;Interest (Affinity)&gt;Team Sports&gt;Soccer (Football)</t>
  </si>
  <si>
    <t>Media and Entertainment&gt;Sports and Recreational Activities&gt;Interest (Affinity)&gt;Combat Sports</t>
  </si>
  <si>
    <t>Mobile - US&gt;Demographics&gt;Finance&gt;Rent Value&gt;Highest Rent Value</t>
  </si>
  <si>
    <t>Transactional&gt;Q3 Home Improvement Shoppers</t>
  </si>
  <si>
    <t>US Technology&gt;Social Media&gt;Likely Behavior&gt;Heavy Facebook User</t>
  </si>
  <si>
    <t>World Localities&gt;North America&gt;USA</t>
  </si>
  <si>
    <t>US&gt;Sociodemographic&gt;PRIZM Premier Lifestage&gt;Y1 Midlife Success</t>
  </si>
  <si>
    <t>OnAudience&gt;Intent&gt;Toys &amp; Games&gt;Games</t>
  </si>
  <si>
    <t>US Interest&gt;Reading&gt;General</t>
  </si>
  <si>
    <t>OnAudience&gt;Interest&gt;Personal Finance&gt;Financial News</t>
  </si>
  <si>
    <t>US&gt;Interest Propensities&gt;Activities and Interests&gt;International News</t>
  </si>
  <si>
    <t>US&gt;Sociodemographic&gt;PRIZM Premier Social&gt;S3 Middleburbs</t>
  </si>
  <si>
    <t>US&gt;Home and Garden Interests&gt;Cooking&gt;Food Enthusiasts</t>
  </si>
  <si>
    <t>OnAudience&gt;Interest&gt;Family &amp; Parenting</t>
  </si>
  <si>
    <t>OnAudience&gt;Intent&gt;Finance&gt;Savings</t>
  </si>
  <si>
    <t>Transactional&gt;Q3 Fashion Shoppers</t>
  </si>
  <si>
    <t>US&gt;Interest Propensities&gt;Activities and Interests&gt;B2B Job Search</t>
  </si>
  <si>
    <t>US&gt;Brand Propensities&gt;Home and Household Goods&gt;Joss and Main Buyer Propensity</t>
  </si>
  <si>
    <t>US&gt;Demographic&gt;Family&gt;Female Head of Household</t>
  </si>
  <si>
    <t>Mobile - US&gt;Device Ownership&gt;Smartphones&gt;Huawei</t>
  </si>
  <si>
    <t>US&gt;Sociodemographic&gt;ConneXions Lifestage&gt;F2 Suburban Spenders</t>
  </si>
  <si>
    <t>Mobile - US&gt;Device Ownership&gt;Smartphones&gt;Vivo</t>
  </si>
  <si>
    <t>OnAudience&gt;Interest&gt;Technology &amp; Computing&gt;Email</t>
  </si>
  <si>
    <t>OnAudience&gt;Intent&gt;Education</t>
  </si>
  <si>
    <t>US&gt;Sociodemographic&gt;PRIZM Premier Social&gt;S4 Inner Suburbs</t>
  </si>
  <si>
    <t>Mobile - US&gt;Shopping&gt;Brand&gt;Dicks</t>
  </si>
  <si>
    <t>OnAudience&gt;Interest&gt;Arts &amp; Entertainment&gt;Music</t>
  </si>
  <si>
    <t>Mobile - US&gt;Food&gt;Restaurant&gt;Brand&gt;Jersey Mikes</t>
  </si>
  <si>
    <t>Mobile - US&gt;Device Ownership&gt;Smartphones&gt;iOS (Apple)&gt;iPhone 11</t>
  </si>
  <si>
    <t>OnAudience&gt;Interest&gt;Shopping&gt;Online Shoppers</t>
  </si>
  <si>
    <t>Lotame&gt;Social Media&gt;Online Dating</t>
  </si>
  <si>
    <t>OnAudience&gt;Interest&gt;Lifestyle</t>
  </si>
  <si>
    <t>Mobile - US&gt;Food&gt;Coffee &amp; Tea</t>
  </si>
  <si>
    <t>US Interest&gt;Home&gt;Furnishings&gt;Decorating</t>
  </si>
  <si>
    <t>OnAudience&gt;Interest&gt;Style &amp; Fashion</t>
  </si>
  <si>
    <t>US&gt;Brand Propensities&gt;Apparel&gt;Chicos Buyer Propensity</t>
  </si>
  <si>
    <t>US&gt;Composite Segment&gt;Women Born to Shop</t>
  </si>
  <si>
    <t>Mobile - US&gt;Sports&gt;Water Sports&gt;Boating</t>
  </si>
  <si>
    <t>Lotame&gt;Style, Fashion &amp; Clothing&gt;Women's Clothing Shoppers</t>
  </si>
  <si>
    <t>OnAudience&gt;Intent&gt;Media&gt;DVDs &amp; Videos</t>
  </si>
  <si>
    <t>OnAudience&gt;Intent&gt;Auto</t>
  </si>
  <si>
    <t>Mobile - US&gt;Gamers&gt;Online&gt;Multi-player</t>
  </si>
  <si>
    <t>Purchase-Based&gt;Categories&gt;Home and Garden Buyers</t>
  </si>
  <si>
    <t>Lotame&gt;Style, Fashion &amp; Clothing&gt;Men's Clothing Shoppers</t>
  </si>
  <si>
    <t>OnAudience&gt;Intent&gt;Electronics&gt;Video&gt;Satellite &amp; Cable TV</t>
  </si>
  <si>
    <t>Lotame&gt;Personal Finance&gt;Stocks</t>
  </si>
  <si>
    <t>OnAudience&gt;Intent&gt;Electronics&gt;Video</t>
  </si>
  <si>
    <t>US Interest&gt;Home&gt;Cooking/Food</t>
  </si>
  <si>
    <t>Mobile - US&gt;Sports&gt;Fantasy Sports</t>
  </si>
  <si>
    <t>Lotame&gt;Travel&gt;Cruise Travel</t>
  </si>
  <si>
    <t>US&gt;Sociodemographic&gt;P$YCLE Premier Lifestage&gt;M4 Midscale Matures</t>
  </si>
  <si>
    <t>Media and Entertainment&gt;News and Current Events&gt;Pop Culture</t>
  </si>
  <si>
    <t>Gross_Cost</t>
  </si>
  <si>
    <t>Total_Conversions</t>
  </si>
  <si>
    <t>Measurable_Impressions</t>
  </si>
  <si>
    <t>Viewable_Impressions</t>
  </si>
  <si>
    <t>Viewability_Rate</t>
  </si>
  <si>
    <t>Device_Make</t>
  </si>
  <si>
    <t>Creative_Messaging</t>
  </si>
  <si>
    <t>Creative_Size</t>
  </si>
  <si>
    <t>Audience_Segments</t>
  </si>
  <si>
    <t>New York City</t>
  </si>
  <si>
    <t xml:space="preserve"> New York</t>
  </si>
  <si>
    <t>West Palm Beach-Ft. Pierce</t>
  </si>
  <si>
    <t xml:space="preserve"> Florida</t>
  </si>
  <si>
    <t>Chicago</t>
  </si>
  <si>
    <t xml:space="preserve"> Illinois</t>
  </si>
  <si>
    <t>Ft. Wayne</t>
  </si>
  <si>
    <t xml:space="preserve"> Indiana</t>
  </si>
  <si>
    <t>Los Angeles</t>
  </si>
  <si>
    <t xml:space="preserve"> California</t>
  </si>
  <si>
    <t>Nashville</t>
  </si>
  <si>
    <t xml:space="preserve"> Tennessee</t>
  </si>
  <si>
    <t>Knoxville</t>
  </si>
  <si>
    <t>Miami-Ft. Lauderdale</t>
  </si>
  <si>
    <t>San Francisco</t>
  </si>
  <si>
    <t>Lansing</t>
  </si>
  <si>
    <t xml:space="preserve"> Michigan</t>
  </si>
  <si>
    <t>Tampa-St Petersburg (Sarasota)</t>
  </si>
  <si>
    <t>Ft. Myers-Naples</t>
  </si>
  <si>
    <t>Jacksonville</t>
  </si>
  <si>
    <t>Grand Rapids-Kalamazoo</t>
  </si>
  <si>
    <t>Memphis</t>
  </si>
  <si>
    <t>Toledo</t>
  </si>
  <si>
    <t xml:space="preserve"> Ohio</t>
  </si>
  <si>
    <t>Panama City</t>
  </si>
  <si>
    <t>Augusta</t>
  </si>
  <si>
    <t xml:space="preserve"> Georgia</t>
  </si>
  <si>
    <t>Champaign &amp; Springfield-Decatur</t>
  </si>
  <si>
    <t>Illinois</t>
  </si>
  <si>
    <t>Orlando-Daytona Beach</t>
  </si>
  <si>
    <t>Charleston</t>
  </si>
  <si>
    <t xml:space="preserve"> South Carolina</t>
  </si>
  <si>
    <t>Flint-Saginaw-Bay City</t>
  </si>
  <si>
    <t>Lafayette</t>
  </si>
  <si>
    <t>Cincinnati</t>
  </si>
  <si>
    <t>Tallahassee</t>
  </si>
  <si>
    <t xml:space="preserve"> Florida-Thomasville</t>
  </si>
  <si>
    <t>Tri-Cities</t>
  </si>
  <si>
    <t xml:space="preserve"> Tennessee-Virginia</t>
  </si>
  <si>
    <t>South Bend-Elkhart</t>
  </si>
  <si>
    <t>Jackson</t>
  </si>
  <si>
    <t xml:space="preserve"> Mississippi</t>
  </si>
  <si>
    <t>Shreveport</t>
  </si>
  <si>
    <t xml:space="preserve"> Louisiana</t>
  </si>
  <si>
    <t>Huntsville-Decatur (Florence)</t>
  </si>
  <si>
    <t xml:space="preserve"> Alabama</t>
  </si>
  <si>
    <t>Rockford</t>
  </si>
  <si>
    <t>Birmingham</t>
  </si>
  <si>
    <t>Chattanooga</t>
  </si>
  <si>
    <t>Mobile</t>
  </si>
  <si>
    <t xml:space="preserve"> Alabama-Pensacola</t>
  </si>
  <si>
    <t>Peoria-Bloomington</t>
  </si>
  <si>
    <t>Savannah</t>
  </si>
  <si>
    <t>Little Rock-Pine Bluff</t>
  </si>
  <si>
    <t xml:space="preserve"> Arkansas</t>
  </si>
  <si>
    <t>Louisville</t>
  </si>
  <si>
    <t xml:space="preserve"> Kentucky</t>
  </si>
  <si>
    <t>Hattiesburg-Laurel</t>
  </si>
  <si>
    <t>Davenport</t>
  </si>
  <si>
    <t>Iowa-Rock Island-Moline</t>
  </si>
  <si>
    <t>Columbus-Tupelo-West Point</t>
  </si>
  <si>
    <t>Meridian</t>
  </si>
  <si>
    <t>State</t>
  </si>
  <si>
    <t>City</t>
  </si>
  <si>
    <t>Row Labels</t>
  </si>
  <si>
    <t>Grand Total</t>
  </si>
  <si>
    <t>Funnel_Efficiency</t>
  </si>
  <si>
    <t>CPD</t>
  </si>
  <si>
    <t>Sum of Gross_Cost</t>
  </si>
  <si>
    <t>Average of CTR</t>
  </si>
  <si>
    <t>Performance_Metric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</si>
</sst>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.000000"/>
  </numFmts>
  <fonts count="6" x14ac:knownFonts="1">
    <font>
      <sz val="11"/>
      <color theme="1"/>
      <name val="aptos narrow"/>
      <scheme val="minor"/>
    </font>
    <font>
      <sz val="11"/>
      <color theme="1"/>
      <name val="Arial"/>
      <family val="2"/>
    </font>
    <font>
      <sz val="11"/>
      <color theme="1"/>
      <name val="aptos narrow"/>
      <scheme val="minor"/>
    </font>
    <font>
      <b/>
      <sz val="11"/>
      <color theme="1"/>
      <name val="Aptos Narrow"/>
    </font>
    <font>
      <b/>
      <sz val="11"/>
      <color theme="1"/>
      <name val="aptos narrow"/>
      <scheme val="minor"/>
    </font>
    <font>
      <sz val="11"/>
      <color rgb="FF000000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6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Font="1"/>
    <xf numFmtId="2" fontId="0" fillId="0" borderId="0" xfId="0" applyNumberFormat="1" applyFont="1"/>
    <xf numFmtId="0" fontId="5" fillId="0" borderId="0" xfId="0" applyFont="1"/>
    <xf numFmtId="0" fontId="0" fillId="0" borderId="0" xfId="1" applyNumberFormat="1" applyFont="1"/>
    <xf numFmtId="2" fontId="0" fillId="0" borderId="0" xfId="1" applyNumberFormat="1" applyFont="1"/>
    <xf numFmtId="169" fontId="0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  <xf numFmtId="2" fontId="0" fillId="0" borderId="0" xfId="0" applyNumberFormat="1"/>
    <xf numFmtId="1" fontId="0" fillId="0" borderId="0" xfId="0" applyNumberFormat="1" applyFont="1"/>
    <xf numFmtId="1" fontId="4" fillId="0" borderId="0" xfId="0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customschemas.google.com/relationships/workbookmetadata" Target="metadata"/><Relationship Id="rId10" Type="http://schemas.openxmlformats.org/officeDocument/2006/relationships/calcChain" Target="calcChain.xml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nny Chen" refreshedDate="46051.918533912038" createdVersion="8" refreshedVersion="8" minRefreshableVersion="3" recordCount="999" xr:uid="{B6BABE80-3EC9-B146-A63C-C37214ACF0A1}">
  <cacheSource type="worksheet">
    <worksheetSource ref="A1:U1000" sheet="Cleaned"/>
  </cacheSource>
  <cacheFields count="21">
    <cacheField name="Audience_Segments" numFmtId="0">
      <sharedItems/>
    </cacheField>
    <cacheField name="Creative_Size" numFmtId="0">
      <sharedItems count="3">
        <s v="320x50"/>
        <s v="300x250"/>
        <s v="300x50"/>
      </sharedItems>
    </cacheField>
    <cacheField name="Creative_Messaging" numFmtId="0">
      <sharedItems/>
    </cacheField>
    <cacheField name="City" numFmtId="0">
      <sharedItems/>
    </cacheField>
    <cacheField name="State" numFmtId="0">
      <sharedItems count="20">
        <s v=" New York"/>
        <s v=" Florida"/>
        <s v=" Illinois"/>
        <s v=" Indiana"/>
        <s v=" California"/>
        <s v=" Tennessee"/>
        <s v=" Michigan"/>
        <s v=" Ohio"/>
        <s v=" Georgia"/>
        <s v="Illinois"/>
        <s v=" South Carolina"/>
        <s v=" Florida-Thomasville"/>
        <s v=" Tennessee-Virginia"/>
        <s v=" Mississippi"/>
        <s v=" Louisiana"/>
        <s v=" Alabama"/>
        <s v=" Alabama-Pensacola"/>
        <s v=" Arkansas"/>
        <s v=" Kentucky"/>
        <s v="Iowa-Rock Island-Moline"/>
      </sharedItems>
    </cacheField>
    <cacheField name="App/URL" numFmtId="0">
      <sharedItems count="418">
        <s v="cbsnews.com"/>
        <s v="the-sun.com"/>
        <s v="taboolanews.com"/>
        <s v="nbcnews.com"/>
        <s v="msn.com"/>
        <s v="outlook.live.com"/>
        <s v="mail.yahoo.com"/>
        <s v="nypost.com"/>
        <s v="yahoo.com"/>
        <s v="lotterypost.com"/>
        <s v="cnn.com"/>
        <s v="ebay.com"/>
        <s v="weather.com"/>
        <s v="mobileposse.com"/>
        <s v="usatoday.com"/>
        <s v="cnbc.com"/>
        <s v="foxnews.com"/>
        <s v="accuweather.com"/>
        <s v="biblegateway.com"/>
        <s v="insider.com"/>
        <s v="fortune.com"/>
        <s v="fandomwire.com"/>
        <s v="bbc.com"/>
        <s v="miamiherald.com"/>
        <s v="screenrant.com"/>
        <s v="femanin.com"/>
        <s v="mail.aol.com"/>
        <s v="drugs.com"/>
        <s v="forbes.com"/>
        <s v="news.yahoo.com"/>
        <s v="people.com"/>
        <s v="investing.com"/>
        <s v="historycollection.com"/>
        <s v="merriam-webster.com/dictionary"/>
        <s v="streetinsider.com"/>
        <s v="finance.yahoo.com"/>
        <s v="phys.org"/>
        <s v="businessinsider.com"/>
        <s v="al.com"/>
        <s v="semana.com"/>
        <s v="apnews.com"/>
        <s v="zdnet.com"/>
        <s v="medical-news.org"/>
        <s v="a-z-animals.com"/>
        <s v="motor-junkie.com"/>
        <s v="nbcchicago.com"/>
        <s v="dailyhodl.com"/>
        <s v="hindustantimes.com"/>
        <s v="yellowpages.com"/>
        <s v="cbssports.com"/>
        <s v="realtor.com"/>
        <s v="homeaddict.io"/>
        <s v="kbb.com"/>
        <s v="espn.com"/>
        <s v="wikihow.com"/>
        <s v="sports.yahoo.com"/>
        <s v="boxrox.com"/>
        <s v="m.timesofindia.com"/>
        <s v="medicalnewstoday.com"/>
        <s v="insidethemagic.net"/>
        <s v="wsvn.com"/>
        <s v="daily-choices.com"/>
        <s v="essentiallysports.com"/>
        <s v="calculator.net"/>
        <s v="sciencesensei.com"/>
        <s v="tastesbetterfromscratch.com"/>
        <s v="ranker.com"/>
        <s v="signupgenius.com"/>
        <s v="cheezburger.com"/>
        <s v="sneakertoast.com"/>
        <s v="androidpolice.com"/>
        <s v="baseball-reference.com"/>
        <s v="activebeat.com"/>
        <s v="wsmv.com"/>
        <s v="factinate.com"/>
        <s v="rollingstone.com"/>
        <s v="billboard.com"/>
        <s v="factable.com"/>
        <s v="seedsgames.com"/>
        <s v="cargurus.com"/>
        <s v="marca.com"/>
        <s v="cars.com"/>
        <s v="poshland.com"/>
        <s v="microsoftcasualgames.com"/>
        <s v="nytimes.com"/>
        <s v="soaps.sheknows.com"/>
        <s v="nsfas-applications.co.za"/>
        <s v="gamerant.com"/>
        <s v="sciencealert.com"/>
        <s v="tomsguide.com"/>
        <s v="pandora.com"/>
        <s v="alotfinance.com"/>
        <s v="funnyand.com"/>
        <s v="citationmachine.net"/>
        <s v="dailydot.com"/>
        <s v="womenshealthmag.com"/>
        <s v="thesaltymarshmallow.com"/>
        <s v="topclassactions.com"/>
        <s v="reference.com"/>
        <s v="wordunscrambler.me"/>
        <s v="sallysbakingaddiction.com"/>
        <s v="whatismyipaddress.com"/>
        <s v="timeanddate.com"/>
        <s v="fox59.com"/>
        <s v="mapquest.com"/>
        <s v="therighthairstyles.com"/>
        <s v="ign.com"/>
        <s v="androidauthority.com"/>
        <s v="macrumors.com"/>
        <s v="dailymail.co.uk/news"/>
        <s v="findagrave.com"/>
        <s v="newsmemory.com"/>
        <s v="digitaltrends.com"/>
        <s v="dailymail.co.uk/tvshowbiz"/>
        <s v="uscellular.com"/>
        <s v="zillow.com"/>
        <s v="aol.com"/>
        <s v="thegamer.com"/>
        <s v="autotrader.com"/>
        <s v="livescience.com"/>
        <s v="eenadu.net"/>
        <s v="dinneratthezoo.com"/>
        <s v="merriam-webster.com"/>
        <s v="wsj.com"/>
        <s v="upworthy.com"/>
        <s v="healthyrecipesblogs.com"/>
        <s v="wizofawes.com"/>
        <s v="greatschools.org"/>
        <s v="w3schools.com"/>
        <s v="evite.com"/>
        <s v="reuters.com"/>
        <s v="cyclingnews.com"/>
        <s v="mlb.com"/>
        <s v="deadline.com"/>
        <s v="firstcoastnews.com"/>
        <s v="clevelandclinic.org"/>
        <s v="wsfa.com"/>
        <s v="yourroyals.com"/>
        <s v="slickdeals.net"/>
        <s v="iflscience.com"/>
        <s v="typingtest.com"/>
        <s v="mayoclinic.org"/>
        <s v="webmd.com"/>
        <s v="yourdailysportfix.com"/>
        <s v="nbcdfw.com"/>
        <s v="tripadvisor.com"/>
        <s v="dotesports.com"/>
        <s v="jdpower.com"/>
        <s v="classmates.com"/>
        <s v="commercialappeal.com"/>
        <s v="historyallday.com"/>
        <s v="si.com"/>
        <s v="editorsnation.com"/>
        <s v="investopedia.com"/>
        <s v="boattrader.com"/>
        <s v="moneyppl.com"/>
        <s v="carscoops.com"/>
        <s v="groupon.com"/>
        <s v="eonline.com"/>
        <s v="techradar.com"/>
        <s v="nbcmiami.com"/>
        <s v="signin.ebay.com"/>
        <s v="healthline.com"/>
        <s v="my.yahoo.com"/>
        <s v="saltandlavender.com"/>
        <s v="chocolatecoveredkatie.com"/>
        <s v="abcnews.go.com"/>
        <s v="wahjobqueen.com"/>
        <s v="rajneetug2021.com"/>
        <s v="cnet.com"/>
        <s v="food.com"/>
        <s v="icy-veins.com"/>
        <s v="thestate.com"/>
        <s v="homehacks.co"/>
        <s v="geeksforgeeks.org"/>
        <s v="downdetector.com"/>
        <s v="investmentguru.com"/>
        <s v="everydayhealth.com"/>
        <s v="rent.com"/>
        <s v="behindthevoiceactors.com"/>
        <s v="disneyfoodblog.com"/>
        <s v="usnews.com"/>
        <s v="biblestudytools.com"/>
        <s v="bleacherbreaker.com"/>
        <s v="buzzfeed.com"/>
        <s v="fandom.com"/>
        <s v="greedyfinance.com"/>
        <s v="decider.com"/>
        <s v="football.fantasysports.yahoo.com"/>
        <s v="health.com"/>
        <s v="gamespot.com"/>
        <s v="politico.com"/>
        <s v="wunderground.com"/>
        <s v="localmemphis.com"/>
        <s v="killingthyme.net"/>
        <s v="ew.com"/>
        <s v="flightaware.com"/>
        <s v="dexerto.com"/>
        <s v="washingtonpost.com"/>
        <s v="dictionary.com"/>
        <s v="mydailymagazine.com"/>
        <s v="npr.org"/>
        <s v="autobidmaster.com"/>
        <s v="thesaurus.com"/>
        <s v="thesportsdrop.com"/>
        <s v="travellergazette.com"/>
        <s v="nba.com"/>
        <s v="britannica.com"/>
        <s v="tennessean.com"/>
        <s v="spiceworks.com"/>
        <s v="todaysnyc.com"/>
        <s v="finviz.com"/>
        <s v="mhvillage.com"/>
        <s v="gameofglam.com"/>
        <s v="sears.com"/>
        <s v="auctionzip.com"/>
        <s v="lifewire.com"/>
        <s v="kayak.com"/>
        <s v="milb.com"/>
        <s v="c5n.com"/>
        <s v="culturess.com"/>
        <s v="zleague.gg"/>
        <s v="health.usnews.com"/>
        <s v="culinaryhill.com"/>
        <s v="bestbuy.com"/>
        <s v="thebigmansworld.com"/>
        <s v="gamingbible.com"/>
        <s v="tomshardware.com"/>
        <s v="shareably.net"/>
        <s v="clutchpoints.com"/>
        <s v="baseball.fantasysports.yahoo.com"/>
        <s v="wthr.com"/>
        <s v="onechicagocenter.com"/>
        <s v="thehulltruth.com"/>
        <s v="genius.com"/>
        <s v="houseplans.net"/>
        <s v="foxbusiness.com"/>
        <s v="pcmag.com"/>
        <s v="mashed.com"/>
        <s v="abc7chicago.com"/>
        <s v="rvtrader.com"/>
        <s v="chicago.suntimes.com"/>
        <s v="travelerdreams.com"/>
        <s v="allrecipes.com"/>
        <s v="dmv.org"/>
        <s v="omnicalculator.com"/>
        <s v="lensvid.com"/>
        <s v="dailyberri.com"/>
        <s v="ajc.com"/>
        <s v="myfitnesspal.com"/>
        <s v="usssa.com"/>
        <s v="telehealthdave.com"/>
        <s v="aarp.org"/>
        <s v="unsophisticook.com"/>
        <s v="holidayinsights.com"/>
        <s v="latimes.com"/>
        <s v="btrending.com"/>
        <s v="point2homes.com"/>
        <s v="popularmechanics.com"/>
        <s v="buzzfeednews.com"/>
        <s v="calculatorsoup.com"/>
        <s v="maketecheasier.com"/>
        <s v="chicagotribune.com"/>
        <s v="ballercap.com"/>
        <s v="stocktwits.com"/>
        <s v="imeicheck.com"/>
        <s v="pgatour.com"/>
        <s v="repairlinkshop.com"/>
        <s v="fabcrunch.com"/>
        <s v="economictimes.indiatimes.com"/>
        <s v="doctoreport.com"/>
        <s v="kiplinger.com"/>
        <s v="travelfiber.com"/>
        <s v="gobankingrates.com"/>
        <s v="yachtworld.com"/>
        <s v="thekrazycouponlady.com"/>
        <s v="foodnetwork.com"/>
        <s v="isitdownrightnow.com"/>
        <s v="bobvila.com"/>
        <s v="wp.pl"/>
        <s v="freetypinggame.net"/>
        <s v="thefinancechatter.com"/>
        <s v="comicbookmovie.com"/>
        <s v="chosun.com"/>
        <s v="uproxx.com"/>
        <s v="brandsoftheworld.com"/>
        <s v="themediterraneandish.com"/>
        <s v="outkick.com"/>
        <s v="collider.com"/>
        <s v="heraldweekly.com"/>
        <s v="freepik.com"/>
        <s v="domesticatedcompanion.com"/>
        <s v="sportpirate.com"/>
        <s v="fox4now.com"/>
        <s v="tasteofhome.com"/>
        <s v="dailybee.com"/>
        <s v="verywellhealth.com"/>
        <s v="goodhousekeeping.com"/>
        <s v="cheapoair.com"/>
        <s v="nanoreview.net"/>
        <s v="usmagazine.com"/>
        <s v="allnurseryrhymes.com"/>
        <s v="whatismyip.com"/>
        <s v="riddles.com"/>
        <s v="parentinfluence.com"/>
        <s v="macworld.com"/>
        <s v="liquor.com"/>
        <s v="pdf24.org"/>
        <s v="emojipedia.org"/>
        <s v="daily-story.com"/>
        <s v="ilovepdf.com"/>
        <s v="thinkoutsidethecubiclenow.com"/>
        <s v="coindesk.com"/>
        <s v="imgflip.com"/>
        <s v="tastingtable.com"/>
        <s v="mlive.com"/>
        <s v="demilked.com"/>
        <s v="mychicagosteak.com"/>
        <s v="mymichiganbeach.com"/>
        <s v="lazyadmin.nl"/>
        <s v="whitepages.com"/>
        <s v="dafont.com"/>
        <s v="my.earthlink.net"/>
        <s v="newatlas.com"/>
        <s v="mondestuff.com"/>
        <s v="crunchycreamysweet.com"/>
        <s v="breakingbourbon.com"/>
        <s v="southernliving.com"/>
        <s v="thesprucecrafts.com"/>
        <s v="exploredplanet.com"/>
        <s v="sportsnaut.com"/>
        <s v="financialpanther.com"/>
        <s v="cheatdaydesign.com"/>
        <s v="instantlymodern.com"/>
        <s v="golfmk7.com"/>
        <s v="fox5atlanta.com"/>
        <s v="variety.com"/>
        <s v="atlantamagazine.com"/>
        <s v="doodle.com"/>
        <s v="nbcsports.com"/>
        <s v="expertphotography.com"/>
        <s v="iheart.com"/>
        <s v="bgr.com"/>
        <s v="hellolittlehome.com"/>
        <s v="newsharper.com"/>
        <s v="community.spiceworks.com"/>
        <s v="thewindowsclub.com"/>
        <s v="brickseek.com"/>
        <s v="wfla.com"/>
        <s v="speedof.me"/>
        <s v="yourgv.com"/>
        <s v="nme.com"/>
        <s v="collinsdictionary.com"/>
        <s v="retailmenot.com"/>
        <s v="dnschecker.org"/>
        <s v="totalprosports.com"/>
        <s v="invoice-generator.com"/>
        <s v="blesserhouse.com"/>
        <s v="freecarrierlookup.com"/>
        <s v="maxroll.gg"/>
        <s v="seatguru.com"/>
        <s v="historictalk.com"/>
        <s v="bestlifeonline.com"/>
        <s v="kristineskitchenblog.com"/>
        <s v="time.is"/>
        <s v="rtwin30days.com"/>
        <s v="19216811.uno"/>
        <s v="att.yahoo.com"/>
        <s v="techcurved.com"/>
        <s v="capfriendly.com"/>
        <s v="goodreturns.in"/>
        <s v="sqlservertutorial.net"/>
        <s v="news-press.com"/>
        <s v="scitechdaily.com"/>
        <s v="pravda.com.ua"/>
        <s v="science-a2z.com"/>
        <s v="hip-hopvibe.com"/>
        <s v="technewstoday.com"/>
        <s v="futbolred.com"/>
        <s v="canyouseeme.org"/>
        <s v="redfin.com"/>
        <s v="blueberries.gg"/>
        <s v="prozoro.net.ua"/>
        <s v="techlicious.com"/>
        <s v="loremipsum.io"/>
        <s v="beyondtheflag.com"/>
        <s v="charlotteobserver.com"/>
        <s v="clark.com"/>
        <s v="rottentomatoes.com"/>
        <s v="vecteezy.com"/>
        <s v="jkdsd.org"/>
        <s v="liveabout.com"/>
        <s v="dawn.com"/>
        <s v="bridesblush.com"/>
        <s v="purdueexponent.org"/>
        <s v="relativelyinteresting.com"/>
        <s v="winloot.com"/>
        <s v="pjstar.com"/>
        <s v="sporcle.com"/>
        <s v="movieweb.com"/>
        <s v="trumpexcel.com"/>
        <s v="bleepingcomputer.com"/>
        <s v="calculator.academy"/>
        <s v="menshealth.com"/>
        <s v="yourbump.com"/>
        <s v="miamionthecheap.com"/>
        <s v="subnet-calculator.com"/>
        <s v="ynet.co.il"/>
        <s v="androidwaves.com"/>
        <s v="forkknifeswoon.com"/>
        <s v="minitool.com"/>
        <s v="abcactionnews.com"/>
        <s v="spanishdict.com/translate"/>
        <s v="zone.msn.com"/>
        <s v="247sports.com"/>
        <s v="corvetteblogger.com"/>
        <s v="dailyfinancestories.com"/>
        <s v="es-us.noticias.yahoo.com"/>
      </sharedItems>
    </cacheField>
    <cacheField name="Exchange" numFmtId="0">
      <sharedItems count="17">
        <s v="TripleLift"/>
        <s v="BidSwitch"/>
        <s v="Google Ad Manager"/>
        <s v="OpenX"/>
        <s v="Magnite DV+"/>
        <s v="PubMatic"/>
        <s v="Taboola"/>
        <s v="Xandr - Monetize SSP (AppNexus)"/>
        <s v="Index Exchange"/>
        <s v="Yahoo Exchange"/>
        <s v="Smart RTB+ (Smartadserver)"/>
        <s v="GumGum"/>
        <s v="Sovrn"/>
        <s v="Yieldmo"/>
        <s v="PulsePoint"/>
        <s v="Sharethrough"/>
        <s v="Kargo"/>
      </sharedItems>
    </cacheField>
    <cacheField name="Device_Make" numFmtId="0">
      <sharedItems count="3">
        <s v="Smartphone"/>
        <s v="Windows PC"/>
        <s v="Apple PC"/>
      </sharedItems>
    </cacheField>
    <cacheField name="Impressions" numFmtId="0">
      <sharedItems containsSemiMixedTypes="0" containsString="0" containsNumber="1" containsInteger="1" minValue="0" maxValue="4154911"/>
    </cacheField>
    <cacheField name="Clicks" numFmtId="0">
      <sharedItems containsSemiMixedTypes="0" containsString="0" containsNumber="1" containsInteger="1" minValue="0" maxValue="582"/>
    </cacheField>
    <cacheField name="Viewable_Impressions" numFmtId="0">
      <sharedItems containsSemiMixedTypes="0" containsString="0" containsNumber="1" containsInteger="1" minValue="0" maxValue="2338732"/>
    </cacheField>
    <cacheField name="Measurable_Impressions" numFmtId="0">
      <sharedItems containsSemiMixedTypes="0" containsString="0" containsNumber="1" containsInteger="1" minValue="0" maxValue="3445626"/>
    </cacheField>
    <cacheField name="Total_Conversions" numFmtId="0">
      <sharedItems containsSemiMixedTypes="0" containsString="0" containsNumber="1" containsInteger="1" minValue="1" maxValue="154"/>
    </cacheField>
    <cacheField name="Gross_Cost" numFmtId="2">
      <sharedItems containsSemiMixedTypes="0" containsString="0" containsNumber="1" minValue="1440.7453620000001" maxValue="8187.1145409999999" count="999">
        <n v="6040.5955780000004"/>
        <n v="6721.0944529999997"/>
        <n v="6749.2023529999997"/>
        <n v="1451.808544"/>
        <n v="7629.94427"/>
        <n v="6335.9483879999998"/>
        <n v="8038.5703709999998"/>
        <n v="2682.4366230000001"/>
        <n v="2037.8655940000001"/>
        <n v="5906.4649669999999"/>
        <n v="5181.087383"/>
        <n v="1496.6685239999999"/>
        <n v="5756.2711719999998"/>
        <n v="7788.7016210000002"/>
        <n v="7730.240616"/>
        <n v="7248.2316119999996"/>
        <n v="5906.8300060000001"/>
        <n v="4918.0409820000004"/>
        <n v="4874.6517219999996"/>
        <n v="6094.6667989999996"/>
        <n v="1605.5380720000001"/>
        <n v="7979.3485890000002"/>
        <n v="3870.2538669999999"/>
        <n v="7511.656191"/>
        <n v="6341.8793009999999"/>
        <n v="1477.4248560000001"/>
        <n v="6785.7097899999999"/>
        <n v="5816.2346189999998"/>
        <n v="2059.2702939999999"/>
        <n v="7850.6442440000001"/>
        <n v="8187.1145409999999"/>
        <n v="6057.8567220000004"/>
        <n v="7495.749847"/>
        <n v="7879.3167869999997"/>
        <n v="4963.9662509999998"/>
        <n v="4702.027505"/>
        <n v="1530.553686"/>
        <n v="6024.4224869999998"/>
        <n v="3178.6103149999999"/>
        <n v="8054.1413679999996"/>
        <n v="7863.469709"/>
        <n v="1493.074494"/>
        <n v="7814.2624939999996"/>
        <n v="7129.6332869999997"/>
        <n v="1667.6558950000001"/>
        <n v="1657.5648699999999"/>
        <n v="7818.6482969999997"/>
        <n v="2025.7840189999999"/>
        <n v="1809.5909610000001"/>
        <n v="1558.5491380000001"/>
        <n v="1493.204528"/>
        <n v="2494.217596"/>
        <n v="1554.439959"/>
        <n v="6850.5764829999998"/>
        <n v="6012.1024649999999"/>
        <n v="7483.8871870000003"/>
        <n v="1726.2494569999999"/>
        <n v="6369.8112259999998"/>
        <n v="1733.8301719999999"/>
        <n v="1502.01775"/>
        <n v="6048.9556110000003"/>
        <n v="6812.588702"/>
        <n v="6510.4466560000001"/>
        <n v="2027.431388"/>
        <n v="4652.3676290000003"/>
        <n v="1910.436686"/>
        <n v="5310.7695720000002"/>
        <n v="2127.8240660000001"/>
        <n v="6407.5818280000003"/>
        <n v="2139.0657930000002"/>
        <n v="8042.8979490000002"/>
        <n v="6861.5363799999996"/>
        <n v="1464.0642350000001"/>
        <n v="6624.2211749999997"/>
        <n v="4196.9367769999999"/>
        <n v="1803.0814969999999"/>
        <n v="6708.4633510000003"/>
        <n v="5153.1172040000001"/>
        <n v="4742.0477659999997"/>
        <n v="1471.1757279999999"/>
        <n v="6492.6763430000001"/>
        <n v="5200.0101180000001"/>
        <n v="1567.3660709999999"/>
        <n v="6392.471955"/>
        <n v="1838.9877300000001"/>
        <n v="1532.357841"/>
        <n v="7880.7704059999996"/>
        <n v="5175.1429189999999"/>
        <n v="5045.9379300000001"/>
        <n v="5038.6447239999998"/>
        <n v="2056.2054400000002"/>
        <n v="2452.9975039999999"/>
        <n v="1773.991882"/>
        <n v="5741.0980449999997"/>
        <n v="1594.463397"/>
        <n v="7443.4832329999999"/>
        <n v="1902.3014430000001"/>
        <n v="1818.100044"/>
        <n v="1761.0793229999999"/>
        <n v="5831.2257929999996"/>
        <n v="5669.1447600000001"/>
        <n v="1568.7360200000001"/>
        <n v="6766.4753680000003"/>
        <n v="5600.3556429999999"/>
        <n v="1500.838771"/>
        <n v="5864.1264929999998"/>
        <n v="2463.8219170000002"/>
        <n v="1455.7035539999999"/>
        <n v="6195.8407340000003"/>
        <n v="8134.3505240000004"/>
        <n v="5692.765813"/>
        <n v="1814.098581"/>
        <n v="1600.7695880000001"/>
        <n v="8168.3470770000004"/>
        <n v="7004.7304830000003"/>
        <n v="1718.513762"/>
        <n v="1635.920216"/>
        <n v="1541.7195979999999"/>
        <n v="1532.7579049999999"/>
        <n v="5102.7067290000005"/>
        <n v="4999.6652050000002"/>
        <n v="1801.0581110000001"/>
        <n v="1506.461108"/>
        <n v="7462.6779349999997"/>
        <n v="5706.8644169999998"/>
        <n v="5284.6855649999998"/>
        <n v="2194.9871250000001"/>
        <n v="1912.9668819999999"/>
        <n v="1718.4710769999999"/>
        <n v="1561.021915"/>
        <n v="6730.012549"/>
        <n v="6605.5861580000001"/>
        <n v="4733.6187829999999"/>
        <n v="3621.4177030000001"/>
        <n v="1965.7389470000001"/>
        <n v="7222.2114080000001"/>
        <n v="6765.0003999999999"/>
        <n v="6336.7181"/>
        <n v="2189.3413489999998"/>
        <n v="1576.051434"/>
        <n v="1517.244377"/>
        <n v="1465.5147099999999"/>
        <n v="7360.9929689999999"/>
        <n v="6096.045521"/>
        <n v="5714.5238669999999"/>
        <n v="5587.7636750000001"/>
        <n v="5179.0415320000002"/>
        <n v="3132.519209"/>
        <n v="1801.3491309999999"/>
        <n v="1628.8828129999999"/>
        <n v="1599.7150690000001"/>
        <n v="6185.0024860000003"/>
        <n v="5974.8750799999998"/>
        <n v="5702.2902649999996"/>
        <n v="5204.313768"/>
        <n v="3993.2145850000002"/>
        <n v="1586.314519"/>
        <n v="1577.366086"/>
        <n v="6994.0853530000004"/>
        <n v="1786.1051219999999"/>
        <n v="1694.4709769999999"/>
        <n v="2141.4693459999999"/>
        <n v="7261.8650399999997"/>
        <n v="5124.4359340000001"/>
        <n v="2360.5552440000001"/>
        <n v="1579.379602"/>
        <n v="1513.0887279999999"/>
        <n v="1442.2279900000001"/>
        <n v="1440.7453620000001"/>
        <n v="1825.7257079999999"/>
        <n v="1609.1499329999999"/>
        <n v="1507.9468509999999"/>
        <n v="1476.4195090000001"/>
        <n v="7149.8160749999997"/>
        <n v="6928.0062019999996"/>
        <n v="6789.5334009999997"/>
        <n v="6616.8806599999998"/>
        <n v="6176.0041540000002"/>
        <n v="4445.8746289999999"/>
        <n v="7490.8607789999996"/>
        <n v="6587.2433309999997"/>
        <n v="6550.3029699999997"/>
        <n v="2539.2005629999999"/>
        <n v="1599.076249"/>
        <n v="1584.731757"/>
        <n v="1483.452706"/>
        <n v="6764.5206369999996"/>
        <n v="4514.9527239999998"/>
        <n v="2347.9185309999998"/>
        <n v="2255.5224090000002"/>
        <n v="1942.8475129999999"/>
        <n v="1543.6126549999999"/>
        <n v="5899.4294829999999"/>
        <n v="2856.1654250000001"/>
        <n v="2712.3796779999998"/>
        <n v="1527.1762739999999"/>
        <n v="6047.1741089999996"/>
        <n v="5244.3417399999998"/>
        <n v="1909.2774830000001"/>
        <n v="1720.881985"/>
        <n v="1584.8212470000001"/>
        <n v="1527.9762800000001"/>
        <n v="6785.0632930000002"/>
        <n v="5783.843758"/>
        <n v="3444.2029459999999"/>
        <n v="2496.7854360000001"/>
        <n v="1788.1116179999999"/>
        <n v="1559.643865"/>
        <n v="7887.6126619999995"/>
        <n v="6542.6124280000004"/>
        <n v="6404.0031280000003"/>
        <n v="3754.6852469999999"/>
        <n v="2819.935266"/>
        <n v="2040.9348190000001"/>
        <n v="1946.0504470000001"/>
        <n v="5912.2609750000001"/>
        <n v="5292.8969129999996"/>
        <n v="5214.2986929999997"/>
        <n v="5054.481581"/>
        <n v="4977.7847940000001"/>
        <n v="4156.7133830000002"/>
        <n v="2679.1540679999998"/>
        <n v="2653.9815789999998"/>
        <n v="2505.4035429999999"/>
        <n v="2196.6612319999999"/>
        <n v="1978.609661"/>
        <n v="1689.7445070000001"/>
        <n v="1658.3324259999999"/>
        <n v="1542.5002159999999"/>
        <n v="1483.3844039999999"/>
        <n v="7663.6952940000001"/>
        <n v="7065.6692800000001"/>
        <n v="6753.5952420000003"/>
        <n v="5803.3314540000001"/>
        <n v="5797.2199769999997"/>
        <n v="5530.8004579999997"/>
        <n v="4250.4304389999998"/>
        <n v="3844.9911649999999"/>
        <n v="1573.2540899999999"/>
        <n v="1524.8102240000001"/>
        <n v="1452.5905600000001"/>
        <n v="7982.0066159999997"/>
        <n v="6244.5179209999997"/>
        <n v="5573.1123960000004"/>
        <n v="5521.1891299999997"/>
        <n v="4728.0124059999998"/>
        <n v="4718.8361139999997"/>
        <n v="4701.4962370000003"/>
        <n v="4386.6482150000002"/>
        <n v="3983.6217969999998"/>
        <n v="2905.8841619999998"/>
        <n v="2549.1151580000001"/>
        <n v="2217.932092"/>
        <n v="1826.3187379999999"/>
        <n v="1724.417704"/>
        <n v="1704.511123"/>
        <n v="1529.307229"/>
        <n v="1464.3489440000001"/>
        <n v="1452.207361"/>
        <n v="5184.5854239999999"/>
        <n v="5159.7474940000002"/>
        <n v="4942.2839869999998"/>
        <n v="3518.5334819999998"/>
        <n v="3137.143043"/>
        <n v="1790.3901980000001"/>
        <n v="1632.4727820000001"/>
        <n v="1570.34276"/>
        <n v="1550.0766550000001"/>
        <n v="1543.6614199999999"/>
        <n v="1536.629068"/>
        <n v="1521.576648"/>
        <n v="1487.0882879999999"/>
        <n v="1463.8428739999999"/>
        <n v="7467.0814870000004"/>
        <n v="6316.4880540000004"/>
        <n v="5247.6238830000002"/>
        <n v="5239.2047869999997"/>
        <n v="5195.2346770000004"/>
        <n v="5150.4689230000004"/>
        <n v="5083.8862730000001"/>
        <n v="4986.51937"/>
        <n v="4253.9791160000004"/>
        <n v="4036.0893759999999"/>
        <n v="3285.8345220000001"/>
        <n v="2122.7658879999999"/>
        <n v="2120.7576979999999"/>
        <n v="2047.3489239999999"/>
        <n v="1767.4644559999999"/>
        <n v="1665.9658509999999"/>
        <n v="1625.17488"/>
        <n v="1605.5660310000001"/>
        <n v="1595.6594660000001"/>
        <n v="1508.9076700000001"/>
        <n v="1487.228625"/>
        <n v="1453.075462"/>
        <n v="7890.221963"/>
        <n v="7657.1080339999999"/>
        <n v="6832.9400670000005"/>
        <n v="6761.0738240000001"/>
        <n v="6559.4777560000002"/>
        <n v="6450.9186369999998"/>
        <n v="6395.5506240000004"/>
        <n v="6342.8857859999998"/>
        <n v="6261.5757240000003"/>
        <n v="6114.034936"/>
        <n v="5048.8525529999997"/>
        <n v="5033.4825780000001"/>
        <n v="4984.4855829999997"/>
        <n v="4881.1982690000004"/>
        <n v="4752.8166849999998"/>
        <n v="4439.368082"/>
        <n v="3433.9142870000001"/>
        <n v="2514.8681160000001"/>
        <n v="2276.2774709999999"/>
        <n v="1982.4164840000001"/>
        <n v="1970.3573449999999"/>
        <n v="1725.2713630000001"/>
        <n v="1679.5727079999999"/>
        <n v="1623.681601"/>
        <n v="1616.7147219999999"/>
        <n v="1498.3009"/>
        <n v="1456.9341870000001"/>
        <n v="1449.1778039999999"/>
        <n v="1441.631095"/>
        <n v="6996.2318379999997"/>
        <n v="6837.5106020000003"/>
        <n v="6808.5625840000002"/>
        <n v="6397.6025179999997"/>
        <n v="6346.6330239999998"/>
        <n v="6298.5139289999997"/>
        <n v="5999.9937810000001"/>
        <n v="5892.48218"/>
        <n v="5751.9122969999999"/>
        <n v="5738.8090890000003"/>
        <n v="5616.3094019999999"/>
        <n v="5401.3650850000004"/>
        <n v="5379.00144"/>
        <n v="5266.4242329999997"/>
        <n v="4961.4788840000001"/>
        <n v="3223.5359480000002"/>
        <n v="3122.9425740000001"/>
        <n v="2801.584386"/>
        <n v="2610.7940979999998"/>
        <n v="2600.894327"/>
        <n v="1923.808141"/>
        <n v="1849.6113210000001"/>
        <n v="1657.159766"/>
        <n v="1639.8136959999999"/>
        <n v="1579.367346"/>
        <n v="1541.2140469999999"/>
        <n v="1519.90401"/>
        <n v="1519.596552"/>
        <n v="7854.7319909999997"/>
        <n v="7311.9987499999997"/>
        <n v="7294.1000009999998"/>
        <n v="7292.1350590000002"/>
        <n v="6997.4689630000003"/>
        <n v="6667.727715"/>
        <n v="6644.954146"/>
        <n v="6633.5326349999996"/>
        <n v="6612.1456900000003"/>
        <n v="6318.4130850000001"/>
        <n v="6130.3684249999997"/>
        <n v="5979.67"/>
        <n v="5841.1513599999998"/>
        <n v="5767.7973810000003"/>
        <n v="5711.3920099999996"/>
        <n v="5632.0879729999997"/>
        <n v="5330.7819689999997"/>
        <n v="4920.2346299999999"/>
        <n v="4554.8768840000002"/>
        <n v="4467.0807580000001"/>
        <n v="3098.1363769999998"/>
        <n v="3069.1234829999999"/>
        <n v="3060.4247690000002"/>
        <n v="2649.9978030000002"/>
        <n v="2298.8889650000001"/>
        <n v="2172.8417469999999"/>
        <n v="2100.8201370000002"/>
        <n v="2028.370144"/>
        <n v="1991.9438399999999"/>
        <n v="1936.008049"/>
        <n v="1924.162675"/>
        <n v="1905.8896930000001"/>
        <n v="1842.6065129999999"/>
        <n v="1835.048738"/>
        <n v="1765.3987099999999"/>
        <n v="1758.0983650000001"/>
        <n v="1731.5848619999999"/>
        <n v="1731.2718480000001"/>
        <n v="1711.1063380000001"/>
        <n v="1668.0160000000001"/>
        <n v="1659.9327129999999"/>
        <n v="1653.510777"/>
        <n v="1631.741712"/>
        <n v="1610.3199770000001"/>
        <n v="1591.772246"/>
        <n v="1543.3106110000001"/>
        <n v="1531.9268850000001"/>
        <n v="1526.296619"/>
        <n v="1522.5122719999999"/>
        <n v="1510.6153200000001"/>
        <n v="1470.9719250000001"/>
        <n v="7247.492217"/>
        <n v="6942.8004579999997"/>
        <n v="6781.8216469999998"/>
        <n v="6751.5589810000001"/>
        <n v="6571.4915520000004"/>
        <n v="6417.8761690000001"/>
        <n v="6417.830508"/>
        <n v="6396.8687630000004"/>
        <n v="6351.0588799999996"/>
        <n v="6307.9007510000001"/>
        <n v="6245.1347930000002"/>
        <n v="6173.4128899999996"/>
        <n v="6115.663579"/>
        <n v="5886.0711460000002"/>
        <n v="5874.0047800000002"/>
        <n v="5766.6148549999998"/>
        <n v="5694.2709400000003"/>
        <n v="5637.3034969999999"/>
        <n v="5464.1098169999996"/>
        <n v="5284.2770399999999"/>
        <n v="5217.893204"/>
        <n v="5154.6445549999999"/>
        <n v="5144.8120399999998"/>
        <n v="5087.5617149999998"/>
        <n v="4934.8515630000002"/>
        <n v="4727.8139160000001"/>
        <n v="4704.2499559999997"/>
        <n v="4594.6040030000004"/>
        <n v="4439.8380639999996"/>
        <n v="4051.1587490000002"/>
        <n v="3563.098841"/>
        <n v="3339.454322"/>
        <n v="2582.4938470000002"/>
        <n v="2365.9143720000002"/>
        <n v="2209.6509569999998"/>
        <n v="2178.1537750000002"/>
        <n v="2127.323828"/>
        <n v="2096.2855490000002"/>
        <n v="2015.4483310000001"/>
        <n v="1980.393834"/>
        <n v="1973.5622330000001"/>
        <n v="1911.931953"/>
        <n v="1901.094691"/>
        <n v="1890.885935"/>
        <n v="1595.752624"/>
        <n v="1570.29739"/>
        <n v="1568.7152590000001"/>
        <n v="1555.5348120000001"/>
        <n v="1547.513459"/>
        <n v="1540.4693500000001"/>
        <n v="1527.802445"/>
        <n v="1521.372273"/>
        <n v="1487.9960779999999"/>
        <n v="1481.9451570000001"/>
        <n v="1473.7549429999999"/>
        <n v="1470.670167"/>
        <n v="1466.285104"/>
        <n v="7273.2659880000001"/>
        <n v="7264.5876099999996"/>
        <n v="7227.4173490000003"/>
        <n v="7210.686506"/>
        <n v="6860.3595969999997"/>
        <n v="6745.1034399999999"/>
        <n v="6643.1616469999999"/>
        <n v="6506.4336869999997"/>
        <n v="6505.5264559999996"/>
        <n v="6417.2645640000001"/>
        <n v="6354.0547740000002"/>
        <n v="6345.4603379999999"/>
        <n v="6177.4645449999998"/>
        <n v="6162.3208329999998"/>
        <n v="6136.1339019999996"/>
        <n v="5994.7468339999996"/>
        <n v="5973.3798919999999"/>
        <n v="5884.9313940000002"/>
        <n v="5808.9112539999996"/>
        <n v="5551.3874150000001"/>
        <n v="5347.9622410000002"/>
        <n v="5095.6007829999999"/>
        <n v="5038.7140669999999"/>
        <n v="4279.230955"/>
        <n v="3703.1631280000001"/>
        <n v="3458.5879049999999"/>
        <n v="3332.7514510000001"/>
        <n v="2922.286102"/>
        <n v="2912.4671560000002"/>
        <n v="2901.2095089999998"/>
        <n v="2468.1358369999998"/>
        <n v="2294.0037779999998"/>
        <n v="2215.6318449999999"/>
        <n v="2211.9697799999999"/>
        <n v="2181.2479490000001"/>
        <n v="2088.2029419999999"/>
        <n v="2060.9938820000002"/>
        <n v="1914.38751"/>
        <n v="1904.5643459999999"/>
        <n v="1866.3474699999999"/>
        <n v="1850.464205"/>
        <n v="1844.9869209999999"/>
        <n v="1803.1398119999999"/>
        <n v="1787.934186"/>
        <n v="1762.663235"/>
        <n v="1759.704833"/>
        <n v="1702.3172059999999"/>
        <n v="1700.795736"/>
        <n v="1682.338499"/>
        <n v="1649.459852"/>
        <n v="1624.840774"/>
        <n v="1620.1655000000001"/>
        <n v="1612.5493269999999"/>
        <n v="1611.340211"/>
        <n v="1609.880674"/>
        <n v="1597.7823940000001"/>
        <n v="1566.9124059999999"/>
        <n v="1561.183147"/>
        <n v="1557.0157300000001"/>
        <n v="1541.7017559999999"/>
        <n v="1530.041892"/>
        <n v="1523.783909"/>
        <n v="1522.517949"/>
        <n v="1504.3292140000001"/>
        <n v="1500.41822"/>
        <n v="1500.09932"/>
        <n v="1498.2915399999999"/>
        <n v="1490.0061969999999"/>
        <n v="1466.7293970000001"/>
        <n v="1458.9389659999999"/>
        <n v="1453.11439"/>
        <n v="1442.032183"/>
        <n v="7851.3974779999999"/>
        <n v="7312.492757"/>
        <n v="7079.5175380000001"/>
        <n v="6968.00047"/>
        <n v="6943.5158240000001"/>
        <n v="6909.7323180000003"/>
        <n v="6879.5870969999996"/>
        <n v="6839.5690860000004"/>
        <n v="6815.7123250000004"/>
        <n v="6806.266799"/>
        <n v="6774.202636"/>
        <n v="6768.7587679999997"/>
        <n v="6756.2951789999997"/>
        <n v="6696.1908149999999"/>
        <n v="6683.2254869999997"/>
        <n v="6673.327432"/>
        <n v="6651.9811110000001"/>
        <n v="6552.7216410000001"/>
        <n v="6548.0725650000004"/>
        <n v="6522.6375260000004"/>
        <n v="6502.2749329999997"/>
        <n v="6486.8539090000004"/>
        <n v="6452.9350100000001"/>
        <n v="6386.4642320000003"/>
        <n v="6368.8629129999999"/>
        <n v="6367.8699290000004"/>
        <n v="6350.916905"/>
        <n v="6321.4916890000004"/>
        <n v="6317.5107539999999"/>
        <n v="6312.4127349999999"/>
        <n v="6301.8688469999997"/>
        <n v="6257.9280559999997"/>
        <n v="6235.4603779999998"/>
        <n v="6189.4160819999997"/>
        <n v="6159.3669019999998"/>
        <n v="6051.3346229999997"/>
        <n v="6032.8371139999999"/>
        <n v="5995.0410019999999"/>
        <n v="5949.9386940000004"/>
        <n v="5886.8659710000002"/>
        <n v="5776.508186"/>
        <n v="5740.9522189999998"/>
        <n v="5673.320874"/>
        <n v="5668.8570790000003"/>
        <n v="5603.0481319999999"/>
        <n v="5574.5435049999996"/>
        <n v="5542.5121810000001"/>
        <n v="5539.7114929999998"/>
        <n v="5524.7963579999996"/>
        <n v="5409.0839550000001"/>
        <n v="5218.0702309999997"/>
        <n v="5216.6488790000003"/>
        <n v="5206.2389679999997"/>
        <n v="5190.5359980000003"/>
        <n v="5154.8713950000001"/>
        <n v="5144.4743710000002"/>
        <n v="5121.882603"/>
        <n v="5101.3216549999997"/>
        <n v="5099.2824899999996"/>
        <n v="4945.021565"/>
        <n v="4851.3944460000002"/>
        <n v="4804.4932330000001"/>
        <n v="4689.5210239999997"/>
        <n v="4660.5603689999998"/>
        <n v="4659.4047970000001"/>
        <n v="4623.0896720000001"/>
        <n v="4585.35725"/>
        <n v="4311.8545999999997"/>
        <n v="4058.0762949999998"/>
        <n v="3842.3029040000001"/>
        <n v="3827.3663809999998"/>
        <n v="3804.64417"/>
        <n v="3779.0209300000001"/>
        <n v="3628.3461699999998"/>
        <n v="3411.590029"/>
        <n v="3408.0760489999998"/>
        <n v="3311.9412459999999"/>
        <n v="3307.5648630000001"/>
        <n v="3268.007134"/>
        <n v="3105.2830039999999"/>
        <n v="2866.4966709999999"/>
        <n v="2753.7119859999998"/>
        <n v="2668.6065560000002"/>
        <n v="2641.4783969999999"/>
        <n v="2430.2436640000001"/>
        <n v="2407.7943249999998"/>
        <n v="2387.686295"/>
        <n v="2363.066554"/>
        <n v="2239.262819"/>
        <n v="2183.952037"/>
        <n v="2176.6574690000002"/>
        <n v="2160.3073250000002"/>
        <n v="2136.0819900000001"/>
        <n v="2087.5098269999999"/>
        <n v="2039.848792"/>
        <n v="2039.3550600000001"/>
        <n v="2032.700147"/>
        <n v="2006.9516570000001"/>
        <n v="1952.4637729999999"/>
        <n v="1942.482395"/>
        <n v="1937.0583879999999"/>
        <n v="1915.523813"/>
        <n v="1858.132171"/>
        <n v="1841.3581260000001"/>
        <n v="1816.030806"/>
        <n v="1808.307918"/>
        <n v="1801.14885"/>
        <n v="1778.9379349999999"/>
        <n v="1764.38004"/>
        <n v="1763.7840610000001"/>
        <n v="1743.0786869999999"/>
        <n v="1730.37357"/>
        <n v="1720.870126"/>
        <n v="1706.224318"/>
        <n v="1703.8057699999999"/>
        <n v="1699.0608090000001"/>
        <n v="1693.7604349999999"/>
        <n v="1689.0831860000001"/>
        <n v="1686.77001"/>
        <n v="1678.2856770000001"/>
        <n v="1661.167909"/>
        <n v="1639.72335"/>
        <n v="1623.614838"/>
        <n v="1616.9657"/>
        <n v="1603.8592639999999"/>
        <n v="1596.552373"/>
        <n v="1583.537104"/>
        <n v="1582.410977"/>
        <n v="1574.709734"/>
        <n v="1539.60069"/>
        <n v="1532.1488810000001"/>
        <n v="1526.7870660000001"/>
        <n v="1524.470523"/>
        <n v="1522.352623"/>
        <n v="1505.8810880000001"/>
        <n v="1505.0115499999999"/>
        <n v="1503.4843109999999"/>
        <n v="1500.0261519999999"/>
        <n v="1477.4933570000001"/>
        <n v="1476.5368410000001"/>
        <n v="1472.110115"/>
        <n v="1471.187144"/>
        <n v="1465.8722660000001"/>
        <n v="1447.873298"/>
        <n v="1447.5420019999999"/>
        <n v="7948.4807520000004"/>
        <n v="7098.8897059999999"/>
        <n v="7082.6538019999998"/>
        <n v="6980.2293040000004"/>
        <n v="6956.6273659999997"/>
        <n v="6940.3207160000002"/>
        <n v="6884.9914520000002"/>
        <n v="6879.6017069999998"/>
        <n v="6858.5781180000004"/>
        <n v="6846.4479149999997"/>
        <n v="6846.3564340000003"/>
        <n v="6833.6958089999998"/>
        <n v="6820.5437169999996"/>
        <n v="6815.8387069999999"/>
        <n v="6809.3560219999999"/>
        <n v="6809.0560509999996"/>
        <n v="6752.687465"/>
        <n v="6750.5438130000002"/>
        <n v="6740.4845230000001"/>
        <n v="6730.0562829999999"/>
        <n v="6730.0000040000004"/>
        <n v="6727.4404990000003"/>
        <n v="6699.4753099999998"/>
        <n v="6692.688416"/>
        <n v="6686.988128"/>
        <n v="6685.2857839999997"/>
        <n v="6684.0628040000001"/>
        <n v="6676.171472"/>
        <n v="6651.51451"/>
        <n v="6643.9665420000001"/>
        <n v="6622.1902419999997"/>
        <n v="6603.8708559999995"/>
        <n v="6593.5110999999997"/>
        <n v="6593.2177819999997"/>
        <n v="6589.9788580000004"/>
        <n v="6559.859555"/>
        <n v="6556.2257099999997"/>
        <n v="6511.0295759999999"/>
        <n v="6496.6686929999996"/>
        <n v="6486.5094069999996"/>
        <n v="6476.4486550000001"/>
        <n v="6441.6129060000003"/>
        <n v="6439.2834979999998"/>
        <n v="6438.1899050000002"/>
        <n v="6431.5551519999999"/>
        <n v="6420.2181229999997"/>
        <n v="6381.0065759999998"/>
        <n v="6322.1526549999999"/>
        <n v="6320.497214"/>
        <n v="6296.348704"/>
        <n v="6236.1130940000003"/>
        <n v="6211.2001469999996"/>
        <n v="6206.6371079999999"/>
        <n v="6206.6337309999999"/>
        <n v="6120.6025140000002"/>
        <n v="6117.5142759999999"/>
        <n v="6114.660637"/>
        <n v="6102.2813829999996"/>
        <n v="6059.7917299999999"/>
        <n v="5970.9530000000004"/>
        <n v="5935.4378559999996"/>
        <n v="5927.8067879999999"/>
        <n v="5924.6139830000002"/>
        <n v="5838.2390160000004"/>
        <n v="5829.9005200000001"/>
        <n v="5810.6545260000003"/>
        <n v="5753.0671400000001"/>
        <n v="5740.164546"/>
        <n v="5729.6507549999997"/>
        <n v="5727.0978150000001"/>
        <n v="5693.369224"/>
        <n v="5628.4334760000002"/>
        <n v="5586.0837849999998"/>
        <n v="5500.683497"/>
        <n v="5492.8216480000001"/>
        <n v="5455.9945250000001"/>
        <n v="5428.1842180000003"/>
        <n v="5401.0504650000003"/>
        <n v="5343.4594310000002"/>
        <n v="5328.5245139999997"/>
        <n v="5296.9700910000001"/>
        <n v="5287.5675279999996"/>
        <n v="5262.8049639999999"/>
        <n v="5224.9324630000001"/>
        <n v="5209.6353879999997"/>
        <n v="5176.783273"/>
        <n v="5155.7567170000002"/>
        <n v="5092.5592150000002"/>
        <n v="5086.0899600000002"/>
        <n v="5049.0476719999997"/>
        <n v="5013.5807359999999"/>
        <n v="5007.5258050000002"/>
        <n v="5000.7612060000001"/>
        <n v="4962.9559559999998"/>
        <n v="4921.5948429999999"/>
        <n v="4899.1559550000002"/>
        <n v="4878.4591460000001"/>
        <n v="4796.5364419999996"/>
        <n v="4742.0086369999999"/>
        <n v="4683.2355479999997"/>
        <n v="4669.0136689999999"/>
        <n v="4652.2420510000002"/>
        <n v="4589.2247189999998"/>
        <n v="4582.4532909999998"/>
        <n v="4574.3482700000004"/>
        <n v="4574.1130350000003"/>
        <n v="4520.8725169999998"/>
        <n v="4514.9293930000003"/>
        <n v="4490.2458399999996"/>
        <n v="4487.2815950000004"/>
        <n v="4482.3383819999999"/>
        <n v="4465.8975710000004"/>
        <n v="4369.0946629999999"/>
        <n v="4136.9128119999996"/>
        <n v="4090.7701860000002"/>
        <n v="4055.2492980000002"/>
        <n v="3995.8518389999999"/>
        <n v="3945.591109"/>
        <n v="3929.8257840000001"/>
        <n v="3818.9551820000001"/>
        <n v="3692.967114"/>
        <n v="3683.2410150000001"/>
        <n v="3650.365393"/>
        <n v="3545.7246180000002"/>
        <n v="3496.0468900000001"/>
        <n v="3470.6319830000002"/>
        <n v="3453.1385810000002"/>
        <n v="3434.7311530000002"/>
        <n v="3424.0070000000001"/>
        <n v="3368.7110579999999"/>
        <n v="3357.0793480000002"/>
        <n v="3264.0141979999999"/>
        <n v="3177.9966629999999"/>
        <n v="3114.2796149999999"/>
        <n v="3094.7335779999999"/>
        <n v="2997.1808369999999"/>
        <n v="2959.1149730000002"/>
        <n v="2921.1102070000002"/>
        <n v="2896.593108"/>
        <n v="2872.5753589999999"/>
        <n v="2870.20397"/>
        <n v="2834.4605139999999"/>
        <n v="2759.3689639999998"/>
        <n v="2730.1106690000001"/>
        <n v="2723.562109"/>
        <n v="2720.3259670000002"/>
        <n v="2677.313349"/>
        <n v="2649.5558850000002"/>
        <n v="2636.2021239999999"/>
        <n v="2568.1864430000001"/>
        <n v="2526.4483489999998"/>
        <n v="2459.0883100000001"/>
        <n v="2397.6242510000002"/>
        <n v="2389.1242729999999"/>
        <n v="2366.6597419999998"/>
        <n v="2358.4109480000002"/>
        <n v="2349.2580170000001"/>
        <n v="2300.5029589999999"/>
        <n v="2294.4872340000002"/>
        <n v="2284.349866"/>
        <n v="2253.7511800000002"/>
        <n v="2236.485099"/>
        <n v="2202.3477790000002"/>
        <n v="2200.297094"/>
        <n v="2192.5613130000002"/>
        <n v="2180.6744709999998"/>
        <n v="2163.2653460000001"/>
        <n v="2148.2261319999998"/>
        <n v="2144.489587"/>
        <n v="2133.0771129999998"/>
        <n v="2127.495962"/>
        <n v="2119.764979"/>
        <n v="2088.9519270000001"/>
        <n v="2075.8729669999998"/>
        <n v="2063.9158980000002"/>
        <n v="2055.3323540000001"/>
        <n v="2036.0680769999999"/>
        <n v="2030.142709"/>
        <n v="2016.5086650000001"/>
        <n v="2002.5379889999999"/>
        <n v="1992.0004939999999"/>
        <n v="1981.0502879999999"/>
        <n v="1974.566513"/>
        <n v="1972.70163"/>
        <n v="1971.258292"/>
        <n v="1960.819847"/>
        <n v="1953.4696630000001"/>
        <n v="1948.727314"/>
        <n v="1945.433188"/>
        <n v="1936.1307979999999"/>
        <n v="1930.180523"/>
        <n v="1927.16443"/>
        <n v="1926.8220510000001"/>
        <n v="1919.553678"/>
        <n v="1908.5261170000001"/>
        <n v="1907.87202"/>
        <n v="1880.5331679999999"/>
        <n v="1877.183608"/>
        <n v="1865.2028889999999"/>
        <n v="1859.0441519999999"/>
        <n v="1852.8041109999999"/>
        <n v="1834.4147559999999"/>
        <n v="1833.11814"/>
        <n v="1820.78144"/>
        <n v="1819.8936020000001"/>
        <n v="1807.6931420000001"/>
        <n v="1805.9260859999999"/>
        <n v="1805.6005130000001"/>
        <n v="1804.2230199999999"/>
        <n v="1795.7353169999999"/>
        <n v="1784.165561"/>
        <n v="1783.6419860000001"/>
        <n v="1765.0406700000001"/>
        <n v="1755.4845419999999"/>
        <n v="1752.2174090000001"/>
        <n v="1746.935526"/>
        <n v="1738.9952820000001"/>
        <n v="1737.8434850000001"/>
        <n v="1737.3540519999999"/>
        <n v="1718.598804"/>
        <n v="1713.978863"/>
        <n v="1710.104094"/>
        <n v="1707.045464"/>
        <n v="1705.533819"/>
        <n v="1686.691212"/>
        <n v="1681.984072"/>
        <n v="1679.833815"/>
        <n v="1678.707498"/>
        <n v="1675.987427"/>
        <n v="1675.855515"/>
        <n v="1673.4899439999999"/>
        <n v="1672.26622"/>
        <n v="1670.664632"/>
        <n v="1669.7289049999999"/>
        <n v="1665.1853160000001"/>
        <n v="1665.160445"/>
        <n v="1660.108103"/>
        <n v="1659.111257"/>
        <n v="1658.358536"/>
        <n v="1657.9039399999999"/>
        <n v="1655.7928569999999"/>
        <n v="1650.7230099999999"/>
        <n v="1650.328792"/>
        <n v="1649.069475"/>
        <n v="1648.422155"/>
        <n v="1637.084347"/>
        <n v="1631.7829489999999"/>
        <n v="1624.2956489999999"/>
        <n v="1622.983583"/>
        <n v="1621.4337829999999"/>
        <n v="1621.341758"/>
        <n v="1614.309013"/>
        <n v="1608.8829519999999"/>
        <n v="1607.552972"/>
        <n v="1597.9572929999999"/>
        <n v="1595.48714"/>
        <n v="1593.010399"/>
        <n v="1592.109907"/>
        <n v="1588.6475"/>
        <n v="1586.6604420000001"/>
        <n v="1583.1643019999999"/>
        <n v="1578.876432"/>
        <n v="1576.38921"/>
        <n v="1574.7912799999999"/>
        <n v="1572.24171"/>
        <n v="1567.583439"/>
        <n v="1562.442601"/>
        <n v="1561.9987329999999"/>
        <n v="1560.449936"/>
        <n v="1555.1120780000001"/>
        <n v="1554.3892149999999"/>
        <n v="1553.592901"/>
        <n v="1552.9681149999999"/>
        <n v="1550.938318"/>
        <n v="1541.792535"/>
        <n v="1534.5344930000001"/>
        <n v="1534.041837"/>
        <n v="1533.0003939999999"/>
        <n v="1526.831549"/>
        <n v="1525.962329"/>
        <n v="1523.092191"/>
        <n v="1521.185189"/>
        <n v="1518.6707140000001"/>
        <n v="1512.811528"/>
        <n v="1507.8471199999999"/>
        <n v="1506.6243039999999"/>
        <n v="1506.2660000000001"/>
        <n v="1505.0096349999999"/>
        <n v="1504.784161"/>
        <n v="1503.9130540000001"/>
        <n v="1503.205183"/>
        <n v="1502.6801390000001"/>
        <n v="1500.722291"/>
        <n v="1499.7825780000001"/>
        <n v="1499.347966"/>
        <n v="1498.586601"/>
        <n v="1495.2285810000001"/>
        <n v="1493.7793280000001"/>
        <n v="1493.308158"/>
        <n v="1492.225013"/>
        <n v="1491.1204029999999"/>
        <n v="1490.3854289999999"/>
        <n v="1487.0267369999999"/>
        <n v="1485.0566060000001"/>
        <n v="1479.823132"/>
        <n v="1479.8199259999999"/>
        <n v="1478.392247"/>
        <n v="1475.2451189999999"/>
        <n v="1473.192464"/>
        <n v="1471.2322340000001"/>
        <n v="1468.2942350000001"/>
        <n v="1467.5619369999999"/>
        <n v="1461.385092"/>
        <n v="1460.0097539999999"/>
        <n v="1449.0869540000001"/>
        <n v="1447.927193"/>
        <n v="1447.3399099999999"/>
        <n v="1446.548057"/>
        <n v="1441.997357"/>
        <n v="1441.895139"/>
        <n v="1441.8862369999999"/>
        <n v="1441.3877239999999"/>
      </sharedItems>
    </cacheField>
    <cacheField name="CTR" numFmtId="2">
      <sharedItems containsMixedTypes="1" containsNumber="1" minValue="0" maxValue="1.3793103448275863"/>
    </cacheField>
    <cacheField name="CPC" numFmtId="0">
      <sharedItems containsMixedTypes="1" containsNumber="1" minValue="4.2826210737463128" maxValue="7851.3974779999999"/>
    </cacheField>
    <cacheField name="CPA" numFmtId="0">
      <sharedItems containsSemiMixedTypes="0" containsString="0" containsNumber="1" minValue="18.471094384615387" maxValue="7312.492757"/>
    </cacheField>
    <cacheField name="CVR" numFmtId="2">
      <sharedItems containsMixedTypes="1" containsNumber="1" minValue="1.8867924528301887" maxValue="3900"/>
    </cacheField>
    <cacheField name="CPM" numFmtId="2">
      <sharedItems containsMixedTypes="1" containsNumber="1" minValue="2.1566313371945558" maxValue="2036068.0769999998"/>
    </cacheField>
    <cacheField name="Viewability_Rate" numFmtId="2">
      <sharedItems containsMixedTypes="1" containsNumber="1" minValue="0" maxValue="93.539011848870999" count="992">
        <n v="77.323188502525085"/>
        <n v="68.529737589143522"/>
        <n v="57.026281286080504"/>
        <n v="34.472326281768765"/>
        <n v="64.594951154565251"/>
        <n v="68.932484398985068"/>
        <n v="56.288377777526399"/>
        <n v="71.592943539583416"/>
        <n v="82.405103774251032"/>
        <n v="54.653691857187191"/>
        <n v="70.931643669978726"/>
        <n v="62.071153380734032"/>
        <n v="62.990566076106511"/>
        <n v="69.280343078439984"/>
        <n v="50.160479024778169"/>
        <n v="36.659698191927014"/>
        <n v="38.796466764590548"/>
        <n v="59.124574517216018"/>
        <n v="82.215586968024795"/>
        <n v="54.239485889754135"/>
        <n v="84.051014281049078"/>
        <n v="57.221270511979739"/>
        <n v="13.85670486982603"/>
        <n v="49.861703451474597"/>
        <n v="44.909824394874235"/>
        <n v="68.87459541921784"/>
        <n v="70.857208135421388"/>
        <n v="44.895353174882672"/>
        <n v="31.152483529423709"/>
        <n v="75.987150923865471"/>
        <n v="55.762548065625396"/>
        <n v="33.860534076807788"/>
        <n v="54.490189741932504"/>
        <n v="61.886860383132571"/>
        <n v="71.562255419062851"/>
        <n v="16.568850453852921"/>
        <n v="68.648559515676894"/>
        <n v="58.289650415408722"/>
        <n v="6.219709208400646"/>
        <n v="58.221203252835664"/>
        <n v="84.735032472848332"/>
        <n v="26.410912661637294"/>
        <n v="57.116778673308744"/>
        <n v="60.271869086794652"/>
        <n v="58.288631995639825"/>
        <n v="45.320814414562491"/>
        <n v="73.360933541170553"/>
        <n v="50.987263697532846"/>
        <n v="53.822978198467489"/>
        <n v="40.51534203879843"/>
        <n v="56.317449559459888"/>
        <n v="49.314502800662517"/>
        <n v="63.075200528624656"/>
        <n v="73.005462467414034"/>
        <n v="48.338358250327566"/>
        <n v="41.915995632480076"/>
        <n v="58.166373042057714"/>
        <n v="54.361294348368695"/>
        <n v="60.596723376320703"/>
        <n v="69.121069937562339"/>
        <n v="16.168566520548737"/>
        <n v="78.406418591783094"/>
        <n v="36.141869132086292"/>
        <n v="43.279262813190158"/>
        <n v="55.587131526571675"/>
        <n v="49.209925407215707"/>
        <n v="48.767977784225138"/>
        <n v="74.142248612366075"/>
        <n v="44.044507069627329"/>
        <n v="70.685041908446166"/>
        <n v="72.516329623526374"/>
        <n v="62.007416906387547"/>
        <n v="18.333240797290546"/>
        <n v="84.38780862099108"/>
        <n v="72.717831689390664"/>
        <n v="69.255964659830752"/>
        <n v="62.552114662628867"/>
        <n v="35.267758961952936"/>
        <n v="15.166428811282739"/>
        <n v="49.968633006172212"/>
        <n v="46.66750503018109"/>
        <n v="47.515671268699769"/>
        <n v="39.147987548765073"/>
        <n v="65.300918263513424"/>
        <n v="41.28990509059534"/>
        <n v="70.029856638784011"/>
        <n v="45.305742770608248"/>
        <n v="65.799739921976595"/>
        <n v="45.364951198637534"/>
        <n v="71.237689339399864"/>
        <n v="67.16957410026717"/>
        <n v="58.541907023643859"/>
        <n v="14.618608549874265"/>
        <n v="41.431617537034263"/>
        <n v="60.488490868497244"/>
        <n v="84.549098550263992"/>
        <n v="33.849306941373172"/>
        <n v="39.887117190983759"/>
        <n v="81.38549385302322"/>
        <n v="73.379439924843595"/>
        <n v="52.227852127877114"/>
        <n v="70.721256333622563"/>
        <n v="42.676103808560832"/>
        <n v="51.700987537725581"/>
        <n v="82.415038111066536"/>
        <n v="50.298184290454408"/>
        <n v="36.854216803977025"/>
        <n v="47.229935432069851"/>
        <n v="85.94796052177513"/>
        <n v="41.713239425834736"/>
        <n v="41.503459898373464"/>
        <n v="58.548238897396629"/>
        <n v="58.290028469494395"/>
        <n v="32.852492945187137"/>
        <n v="14.358134920634921"/>
        <n v="71.185199648540461"/>
        <n v="50.376386217377878"/>
        <n v="71.289000945477468"/>
        <n v="86.085682237580059"/>
        <n v="44.196167256254292"/>
        <n v="30.397570403092217"/>
        <n v="58.387185480544481"/>
        <n v="53.731323425712809"/>
        <n v="57.595804162281475"/>
        <n v="56.782808262048825"/>
        <n v="74.550716249457381"/>
        <n v="8.6079017683751431"/>
        <n v="37.981164723569627"/>
        <n v="34.00637409188986"/>
        <n v="7.5237459769212656"/>
        <n v="21.155836315812167"/>
        <n v="84.235185606009978"/>
        <n v="43.118072457931319"/>
        <n v="79.865857390594712"/>
        <n v="71.942098914354645"/>
        <n v="72.805582120213927"/>
        <n v="65.720972713780114"/>
        <n v="60.353212183260815"/>
        <n v="50.826365617984834"/>
        <n v="53.814787261527165"/>
        <n v="17.972228111087556"/>
        <n v="48.16721768934454"/>
        <n v="53.885012695829268"/>
        <n v="47.137059646011664"/>
        <n v="52.08143973822942"/>
        <n v="13.899460499351763"/>
        <n v="42.96122824134585"/>
        <n v="36.391366994696348"/>
        <n v="58.429471793362964"/>
        <n v="82.709284020485029"/>
        <n v="82.513684434288152"/>
        <n v="49.634595030492413"/>
        <n v="25.969882593159777"/>
        <n v="65.558665495331681"/>
        <n v="38.702986934997959"/>
        <n v="35.313260814322369"/>
        <n v="14.931248813086079"/>
        <n v="45.878731093561768"/>
        <n v="34.39077144917087"/>
        <n v="47.385685173930142"/>
        <n v="18.690355329949238"/>
        <n v="39.687161043557687"/>
        <n v="84.489812130118764"/>
        <n v="29.586492682066655"/>
        <n v="75.143083003952569"/>
        <n v="72.769002004180763"/>
        <n v="49.382918753249591"/>
        <n v="73.731971762798494"/>
        <n v="34.718019094723452"/>
        <n v="47.302565392354126"/>
        <n v="27.746492627193124"/>
        <n v="58.682885906040269"/>
        <n v="32.615539604583802"/>
        <n v="53.589496376379842"/>
        <n v="53.33723439271477"/>
        <n v="50.278226097848865"/>
        <n v="70.940452751269419"/>
        <n v="59.160462224442121"/>
        <n v="51.112946065265405"/>
        <n v="7.4861339507241356"/>
        <n v="72.057728889256467"/>
        <n v="85.377148871477019"/>
        <n v="56.460523970771703"/>
        <n v="12.936665504751224"/>
        <n v="40.885532881658484"/>
        <n v="67.874871218507067"/>
        <n v="22.597669134354614"/>
        <n v="33.380031485145658"/>
        <n v="39.775225619974478"/>
        <n v="55.965589025616538"/>
        <n v="53.412712042284426"/>
        <n v="54.569482891904805"/>
        <n v="40.738069199804542"/>
        <n v="54.525709034710331"/>
        <n v="13.861765065460402"/>
        <n v="64.488341006980548"/>
        <n v="59.607551308162307"/>
        <n v="30.784271127525525"/>
        <n v="67.237880496054117"/>
        <n v="37.502564415341027"/>
        <n v="30.091900236383811"/>
        <n v="59.760865222726366"/>
        <n v="50.576933397735203"/>
        <n v="72.299472893362264"/>
        <n v="36.944906718052032"/>
        <n v="47.407230069427818"/>
        <n v="16.325490000994929"/>
        <n v="43.833796705295427"/>
        <n v="42.539796771971261"/>
        <n v="37.219903752161812"/>
        <n v="48.729623895820055"/>
        <n v="60.608800944162589"/>
        <n v="36.063119867538589"/>
        <n v="87.404571241799545"/>
        <n v="75.130363555250014"/>
        <n v="47.116182572614107"/>
        <n v="80.989197987570279"/>
        <n v="32.988216846911243"/>
        <n v="27.29661468066551"/>
        <n v="71.003128741936735"/>
        <n v="38.894991922455574"/>
        <n v="53.352236428715202"/>
        <n v="67.363729859444632"/>
        <n v="13.895661481739484"/>
        <n v="83.426098657451291"/>
        <n v="65.573099893643132"/>
        <n v="33.611770210206195"/>
        <n v="59.150225848754189"/>
        <n v="44.312765146098485"/>
        <n v="39.894275806161048"/>
        <n v="67.901315466146812"/>
        <n v="75.691349734448437"/>
        <n v="85.617064772971801"/>
        <n v="53.787242971044904"/>
        <n v="42.636060292256353"/>
        <n v="70.384595818283572"/>
        <n v="15.024236380082101"/>
        <n v="46.421991084695399"/>
        <n v="54.622516556291387"/>
        <n v="76.229411687751011"/>
        <n v="52.254905098742121"/>
        <n v="54.918032786885249"/>
        <n v="39.29149604799543"/>
        <n v="39.890729520540745"/>
        <n v="5.9687090771245437"/>
        <n v="66.743954951970849"/>
        <n v="21.81659958664201"/>
        <n v="47.921677849516811"/>
        <n v="34.15434800561566"/>
        <n v="7.9727747406949714"/>
        <n v="45.945243193637197"/>
        <n v="35.708732157538201"/>
        <n v="42.049718574108816"/>
        <n v="2.2127432684617436"/>
        <n v="59.918296276453255"/>
        <n v="28.896897141461032"/>
        <n v="10.820532762978806"/>
        <n v="42.738399707709171"/>
        <n v="62.15798045602606"/>
        <n v="52.612826603325416"/>
        <n v="39.520670983909426"/>
        <n v="68.030848329048837"/>
        <n v="13.401334359763922"/>
        <n v="50.295306185887469"/>
        <n v="52.211141722608104"/>
        <n v="85.143610252681327"/>
        <n v="72.744105665967169"/>
        <n v="85.133543737340432"/>
        <n v="62.61332134562074"/>
        <n v="41.237785016286644"/>
        <n v="51.552652159911673"/>
        <n v="40.680085802259036"/>
        <n v="70.752031023734148"/>
        <n v="11.932015059881373"/>
        <n v="41.497696391402975"/>
        <n v="74.480565008464879"/>
        <n v="9.6944892505477043"/>
        <n v="71.868317388857633"/>
        <n v="41.806725087231314"/>
        <n v="41.197122159863525"/>
        <n v="50.124015960314892"/>
        <n v="19.123593853393135"/>
        <n v="44.593411212498033"/>
        <n v="85.811534133018583"/>
        <n v="60.852972044652233"/>
        <n v="11.148913006498146"/>
        <n v="44.898931463962434"/>
        <n v="48.980510709461633"/>
        <n v="47.955256194370946"/>
        <n v="28.201433532845638"/>
        <n v="45.533011178388449"/>
        <n v="44.837286489111953"/>
        <n v="59.550561797752813"/>
        <n v="33.35836932256786"/>
        <n v="31.304837800853257"/>
        <n v="15.865957062962293"/>
        <n v="45.154370320518211"/>
        <n v="72.980217575320566"/>
        <n v="34.524026875045642"/>
        <n v="18.74532435609704"/>
        <n v="52.208972174900623"/>
        <n v="21.458686123248246"/>
        <n v="58.801716912605087"/>
        <n v="57.200560354891429"/>
        <n v="57.337979094076651"/>
        <n v="81.242532855436082"/>
        <n v="60.767506264011608"/>
        <n v="81.312337875853999"/>
        <n v="71.025484407343313"/>
        <n v="9.6845075007460046"/>
        <n v="70.276578656761373"/>
        <n v="37.083763301266046"/>
        <n v="69.669489833746823"/>
        <n v="41.532473727576289"/>
        <n v="41.961047683008729"/>
        <n v="35.361842105263158"/>
        <n v="70.368799215208"/>
        <n v="55.381381182546519"/>
        <n v="85.024658573596355"/>
        <n v="52.588826927815859"/>
        <n v="7.9358954571178684"/>
        <n v="51.771965270572821"/>
        <n v="49.361144479633069"/>
        <n v="21.79891794409378"/>
        <n v="17.163283125955033"/>
        <n v="71.940789473684205"/>
        <n v="36.696103054362794"/>
        <n v="38.793163102899456"/>
        <n v="59.939870680779208"/>
        <n v="65.662272441933453"/>
        <n v="56.551336816487684"/>
        <n v="43.542543026963976"/>
        <n v="14.526804722275982"/>
        <n v="66.444937176644487"/>
        <n v="44.015064679875557"/>
        <n v="17.580763109218395"/>
        <n v="59.6768084837773"/>
        <n v="46.919780366947904"/>
        <n v="44.298789017225531"/>
        <n v="20.492396813902968"/>
        <n v="29.743025438539711"/>
        <n v="57.097619939391876"/>
        <n v="47.912939773404887"/>
        <n v="49.198820664017433"/>
        <n v="4.4053640748147282"/>
        <n v="67.50313676286072"/>
        <n v="72.326530612244895"/>
        <n v="53.393693027839376"/>
        <n v="45.870519092190129"/>
        <n v="72.390352919266221"/>
        <n v="16.855532145094244"/>
        <n v="52.746352081261925"/>
        <n v="10.480128444806123"/>
        <n v="75.263347207234986"/>
        <n v="62.789617627328553"/>
        <n v="44.858797972483707"/>
        <n v="71.26285577613011"/>
        <n v="19.669618528610357"/>
        <n v="38.933814520261087"/>
        <n v="39.30665074666468"/>
        <n v="50.416382967579743"/>
        <n v="43.181558174121953"/>
        <n v="43.307472037984283"/>
        <n v="70.617056024994667"/>
        <n v="75.673453680380632"/>
        <n v="41.396335487712591"/>
        <n v="57.34900020614306"/>
        <n v="36.114481478838059"/>
        <n v="26.827792276561141"/>
        <n v="22.529757636598308"/>
        <n v="10.822350958986314"/>
        <n v="40.783227848101269"/>
        <n v="74.82076906365414"/>
        <n v="46.453070777176983"/>
        <n v="69.393614950360131"/>
        <n v="69.434575608072151"/>
        <n v="49.872122762148337"/>
        <n v="65.291294879454227"/>
        <n v="74.460761817347404"/>
        <n v="72.784955143909613"/>
        <n v="58.162322055832874"/>
        <n v="65.442871254527489"/>
        <n v="44.407474572262082"/>
        <n v="43.135883084577117"/>
        <n v="61.91895987096143"/>
        <n v="49.191299498047961"/>
        <n v="78.281758957654716"/>
        <n v="49.928953984041975"/>
        <n v="55.685478147893399"/>
        <n v="72.05688315496262"/>
        <n v="80.823231882794104"/>
        <n v="57.050085234191087"/>
        <n v="59.770019165069577"/>
        <n v="40.065668505384814"/>
        <n v="41.963029173481416"/>
        <n v="49.290693408340466"/>
        <n v="54.820062340606398"/>
        <n v="53.657504006773713"/>
        <n v="60.658402763665919"/>
        <n v="81.638076830152201"/>
        <n v="67.905425525579176"/>
        <n v="59.145318749372819"/>
        <n v="72.421160187636431"/>
        <n v="53.721682847896432"/>
        <n v="45.919078488869019"/>
        <n v="48.401943237023779"/>
        <n v="59.345583251750888"/>
        <n v="60.05651866746372"/>
        <n v="50.429874647240268"/>
        <n v="56.192660550458719"/>
        <n v="59.763769418410583"/>
        <n v="6.7857142857142856"/>
        <n v="7.9494162996804203"/>
        <n v="16.88719814753556"/>
        <n v="19.295215063050613"/>
        <n v="70.790378006872857"/>
        <n v="49.281423018023325"/>
        <n v="3.6673672522504663"/>
        <n v="56.905537459283387"/>
        <n v="43.416467999266459"/>
        <n v="17.920416197975253"/>
        <n v="18.65771812080537"/>
        <n v="65.275873886223451"/>
        <n v="85.381750465549345"/>
        <n v="19.495763300458396"/>
        <n v="54.009866102889362"/>
        <n v="44.23741628861525"/>
        <n v="57.284768211920536"/>
        <n v="46.966240875912405"/>
        <n v="26.654360867558836"/>
        <n v="66.455628286296815"/>
        <n v="56.576160215674939"/>
        <n v="58.916879369659306"/>
        <n v="48.752443906526395"/>
        <n v="13.903871920843782"/>
        <n v="78.554240061603622"/>
        <n v="12.197036600922383"/>
        <n v="43.761615661008548"/>
        <n v="52.014458256193251"/>
        <n v="23.990040960565416"/>
        <n v="53.521235283239847"/>
        <n v="41.64009952956728"/>
        <n v="42.396830485961615"/>
        <n v="43.619166840531335"/>
        <n v="35.144018683504882"/>
        <n v="36.376823273430574"/>
        <n v="58.908555458725246"/>
        <n v="41.838786327910803"/>
        <n v="38.699569134351741"/>
        <n v="42.974230976794388"/>
        <n v="39.393939393939391"/>
        <n v="64.522869746923618"/>
        <n v="60.696670776818742"/>
        <n v="68.882309400444115"/>
        <n v="45.780715213029623"/>
        <n v="24.937965260545905"/>
        <n v="15.335138794854435"/>
        <n v="42.963988919667592"/>
        <n v="54.047971389813789"/>
        <n v="12.611408199643495"/>
        <n v="51.673382123180659"/>
        <n v="58.932612980944732"/>
        <n v="43.246775880097594"/>
        <n v="45.006610841780521"/>
        <n v="59.781649757388621"/>
        <n v="50.533184190902311"/>
        <n v="47.446236559139784"/>
        <n v="27.372169931315188"/>
        <n v="52.481126473831537"/>
        <n v="48.774267224971453"/>
        <n v="62.515066291683411"/>
        <n v="65.784819975949631"/>
        <n v="61.034951216499934"/>
        <n v="40.353574173712531"/>
        <n v="72.225389585708854"/>
        <n v="85.672284708215102"/>
        <n v="16.43100926377377"/>
        <n v="55.198922358733768"/>
        <n v="23.745377291683059"/>
        <n v="62.965878049909719"/>
        <n v="34.406623735050594"/>
        <n v="52.364425162689813"/>
        <n v="72.616201859229747"/>
        <n v="15.591996211224249"/>
        <n v="23.650156180276664"/>
        <n v="46.600055509297803"/>
        <n v="69.856887298747765"/>
        <n v="41.153132166126746"/>
        <n v="50.109301177632034"/>
        <n v="68.111035883547729"/>
        <n v="19.536601437393688"/>
        <n v="40.612198819469086"/>
        <n v="48.323409589470387"/>
        <n v="66.887539112829003"/>
        <n v="40.421299005266235"/>
        <n v="43.607194944093344"/>
        <n v="44.475528871844844"/>
        <n v="65.559304438100185"/>
        <n v="20.219938469594815"/>
        <n v="63.863025328993913"/>
        <n v="41.874428925727713"/>
        <n v="31.648677681722848"/>
        <n v="21.412671329619542"/>
        <n v="32.31046931407942"/>
        <n v="19.944150499706055"/>
        <n v="59.560256053437243"/>
        <n v="13.598735388327302"/>
        <n v="44.624366600572813"/>
        <n v="60.393059490084987"/>
        <n v="54.519354993061867"/>
        <n v="46.537733297268055"/>
        <n v="36.39473684210526"/>
        <n v="30.684788290642967"/>
        <n v="55.730266409092955"/>
        <n v="75.897161221210496"/>
        <n v="73.549883990719252"/>
        <n v="43.084565589488179"/>
        <n v="43.271767810026383"/>
        <n v="69.556618254811667"/>
        <n v="62.118491921005379"/>
        <n v="25.270338921547282"/>
        <n v="32.187718073970686"/>
        <n v="57.788542731434156"/>
        <n v="38.524817450781036"/>
        <n v="17.963392139242302"/>
        <n v="59.112276261073951"/>
        <n v="75.923911354241142"/>
        <n v="60.81090935608546"/>
        <n v="75.316455696202539"/>
        <n v="55.862068965517238"/>
        <n v="67.560483870967744"/>
        <n v="26.774726099354645"/>
        <n v="64.193548387096783"/>
        <n v="55.565050202948086"/>
        <n v="69.653423499577343"/>
        <n v="42.046313474884904"/>
        <n v="51.813911000913478"/>
        <n v="44.955630223141206"/>
        <n v="69.322471686866677"/>
        <n v="69.595621769534816"/>
        <n v="71.826948136565022"/>
        <n v="46.972451405397848"/>
        <n v="6.9855072463768115"/>
        <n v="55.379939209726444"/>
        <n v="35.214266702155975"/>
        <n v="34.940618574006457"/>
        <n v="50.075773977051306"/>
        <n v="56.273543900318742"/>
        <n v="49.003436426116835"/>
        <n v="7.741935483870968"/>
        <n v="55.022075055187635"/>
        <n v="25.136884021901444"/>
        <n v="16.991131756756754"/>
        <n v="69.090672564069209"/>
        <n v="48.550282313444228"/>
        <n v="30.371304974765685"/>
        <n v="11.397634990739421"/>
        <n v="27.800923602047988"/>
        <n v="67.958721369242383"/>
        <n v="35.768623848889519"/>
        <n v="10.158195476291345"/>
        <n v="51.516245487364621"/>
        <n v="57.969785725296752"/>
        <n v="77.895752895752906"/>
        <n v="41.630591630591631"/>
        <n v="9.6199885003397636"/>
        <n v="55.000000000000007"/>
        <n v="69.855178288913237"/>
        <n v="48.934102031239526"/>
        <n v="68.728309370352008"/>
        <n v="46.024178443725525"/>
        <n v="57.411152845998274"/>
        <n v="64.83447188649501"/>
        <n v="18.291088524313608"/>
        <n v="93.539011848870999"/>
        <n v="46.514985274585669"/>
        <n v="40.571502123825461"/>
        <n v="68.68771635371867"/>
        <n v="8.5297364757836132"/>
        <n v="52.797054241608834"/>
        <n v="27.486631016042779"/>
        <n v="2.79284288435771"/>
        <n v="57.80114559288706"/>
        <n v="40.347572981765261"/>
        <n v="34.919350488212764"/>
        <n v="8.6354378818737274"/>
        <n v="37.706970919716156"/>
        <n v="36.438668891035206"/>
        <n v="70.24647887323944"/>
        <n v="27.491915541183182"/>
        <n v="56.099076015218571"/>
        <n v="50.093965337231147"/>
        <n v="25.669882100750268"/>
        <n v="47.49598653040448"/>
        <n v="23.316813731415447"/>
        <n v="57.92780944030396"/>
        <n v="47.799887892376681"/>
        <n v="45.992887890698107"/>
        <n v="59.924595253936573"/>
        <n v="67.651162790697668"/>
        <n v="27.521459227467808"/>
        <n v="74.872815748728158"/>
        <n v="57.913803207074743"/>
        <n v="40.69176882661997"/>
        <n v="45.840707964601769"/>
        <n v="61.919043538580809"/>
        <n v="49.671755725190842"/>
        <n v="76.13636363636364"/>
        <n v="55.901705384718682"/>
        <n v="35.316582914572862"/>
        <n v="42.668957617411223"/>
        <n v="38.650549886059643"/>
        <n v="19.628345432874632"/>
        <n v="0.8353642422996741"/>
        <n v="40.871309830897104"/>
        <n v="49.403923777339713"/>
        <n v="32.898429795949333"/>
        <n v="63.547105561861514"/>
        <n v="57.731387400702019"/>
        <n v="50.507328072153321"/>
        <n v="40.581783500238437"/>
        <n v="15.939507494646682"/>
        <n v="32.198910954516336"/>
        <n v="35.531398621760651"/>
        <n v="45.104602510460253"/>
        <n v="48.739232576350823"/>
        <n v="57.222581286666006"/>
        <n v="69.197737159500377"/>
        <n v="26.343065693430656"/>
        <n v="20.926105195224267"/>
        <n v="76.004841393917999"/>
        <n v="15.179637967472203"/>
        <n v="40.618775726995089"/>
        <n v="50.390015600624025"/>
        <n v="41.175405234084941"/>
        <n v="6.6315035716156974"/>
        <n v="44.842312746386334"/>
        <n v="69.297393556742762"/>
        <n v="52.684075986166114"/>
        <n v="30.534429599177798"/>
        <n v="75.867052023121389"/>
        <n v="63.041758241758238"/>
        <n v="32.734936771634018"/>
        <n v="21.587819467101685"/>
        <n v="56.730459954969447"/>
        <n v="26.995232493344069"/>
        <n v="57.774244833068366"/>
        <n v="82.343584305408271"/>
        <n v="9.4803702952902213"/>
        <n v="10.805764630375169"/>
        <n v="63.246753246753251"/>
        <n v="49.586092715231786"/>
        <n v="85.97452403780305"/>
        <n v="64.755467800729036"/>
        <n v="58.509518798431074"/>
        <n v="49.877825290164935"/>
        <n v="58.840011207621181"/>
        <n v="73.447021820326313"/>
        <n v="20.547026882080846"/>
        <n v="15.067005602310028"/>
        <n v="77.197424582218048"/>
        <n v="56.068338140670072"/>
        <n v="13.227783452502553"/>
        <n v="55.613388274416252"/>
        <n v="35.099920063948844"/>
        <n v="15.901234567901234"/>
        <n v="14.973262032085561"/>
        <n v="23.722295314239449"/>
        <n v="40.798984176596989"/>
        <n v="9.2984778292521515"/>
        <n v="50.090105552218311"/>
        <n v="33.12818336162988"/>
        <n v="67.606964502631939"/>
        <n v="50.662922082163156"/>
        <n v="54.939899923855108"/>
        <n v="32.840714213658835"/>
        <n v="67.233009708737868"/>
        <n v="8.2333844350256999"/>
        <n v="15.874727313758433"/>
        <n v="71.140408701384303"/>
        <n v="59.704409429583485"/>
        <n v="61.855670103092784"/>
        <n v="31.358981455853861"/>
        <n v="56.463595839524515"/>
        <n v="16.041424495403149"/>
        <n v="74.207283301024646"/>
        <n v="56.011830280969178"/>
        <n v="14.234706022375626"/>
        <n v="55.384615384615387"/>
        <n v="17.592592592592592"/>
        <n v="56.994261119081777"/>
        <n v="39.507828356045231"/>
        <n v="73.912346767085964"/>
        <n v="27.262461687368933"/>
        <n v="25.762045231071777"/>
        <n v="50.284900284900282"/>
        <n v="50.840068056146329"/>
        <n v="46.472851646002567"/>
        <n v="45.237166991552954"/>
        <n v="75.578406169665811"/>
        <n v="27.303754266211605"/>
        <n v="84.667990293403932"/>
        <n v="30.594900849858359"/>
        <n v="66.177241740954372"/>
        <n v="54.670329670329664"/>
        <n v="1.6913419964982075"/>
        <n v="71.667760998030204"/>
        <n v="55.472186287192763"/>
        <n v="52"/>
        <n v="48.579028419431616"/>
        <n v="38.185654008438817"/>
        <n v="78.805568028738222"/>
        <n v="50.330986655458652"/>
        <n v="9.5583306437597759"/>
        <n v="41.59378036929057"/>
        <n v="54.014158758849227"/>
        <n v="22.922292229222922"/>
        <n v="51.489117983963339"/>
        <n v="69.362898188632101"/>
        <n v="74.492926538264868"/>
        <n v="46.635730858468676"/>
        <n v="13.598489616110761"/>
        <n v="32.17573221757322"/>
        <n v="65.115996599052593"/>
        <n v="10.131983956720456"/>
        <n v="54.570312499999993"/>
        <n v="61.230769230769234"/>
        <n v="59.138665404637955"/>
        <n v="14.109624967217412"/>
        <n v="12.148550407287379"/>
        <n v="28.017585931254995"/>
        <n v="0.88765572665067494"/>
        <n v="39.484978540772531"/>
        <n v="68.569099062372601"/>
        <n v="65.634674922600624"/>
        <n v="14.620840152755047"/>
        <n v="65.346534653465355"/>
        <n v="50.89622641509434"/>
        <n v="50.578598361721497"/>
        <n v="52.049180327868847"/>
        <n v="49.3727348759409"/>
        <n v="62.916666666666664"/>
        <n v="40"/>
        <n v="50.899830220713071"/>
        <n v="16.420981352224189"/>
        <n v="70.719726632021079"/>
        <n v="69.690774341937129"/>
        <n v="80.47543122191621"/>
        <n v="48.057882711348057"/>
        <n v="60.58588548601864"/>
        <n v="11.278195488721805"/>
        <n v="33.985985160758453"/>
        <n v="59.510598947218661"/>
        <n v="62.004175365344473"/>
        <n v="56.373937677053817"/>
        <n v="61.333576338262866"/>
        <n v="44.074483590491035"/>
        <n v="26.205335710856591"/>
        <n v="43.516632722335366"/>
        <n v="57.717391304347828"/>
        <n v="17.213249835201054"/>
        <n v="45.401174168297452"/>
        <n v="30.3886925795053"/>
        <n v="74.8046875"/>
        <n v="12.185766148366326"/>
        <n v="32.257686676427525"/>
        <n v="43.305186972255733"/>
        <n v="63.677130044843047"/>
        <n v="47.470774609417674"/>
        <n v="53.58155591172482"/>
        <n v="71.567567567567565"/>
        <n v="39.953767914932961"/>
        <n v="48.617731172545284"/>
        <n v="66.863406408094434"/>
        <n v="22.36340533672173"/>
        <n v="12.746354262005003"/>
        <n v="83.004455760661997"/>
        <n v="8.2413855850192714"/>
        <n v="57.137688442211058"/>
        <n v="75"/>
        <n v="1.577196731061524"/>
        <n v="1.9347037484885126"/>
        <n v="34.647495361781075"/>
        <n v="31.994645247657296"/>
        <n v="56.517412935323385"/>
        <n v="62.43654822335025"/>
        <n v="41.935483870967744"/>
        <n v="79.710144927536234"/>
        <n v="54.737516005121634"/>
        <n v="68.372093023255815"/>
        <n v="65.302737074923968"/>
        <n v="72.058823529411768"/>
        <n v="26.310679611650485"/>
        <n v="17.864923747276691"/>
        <n v="53.828032979976449"/>
        <n v="75.72115384615384"/>
        <n v="32.566139732983864"/>
        <n v="4.8780487804878048"/>
        <n v="81.054897739504838"/>
        <n v="70.991862766659324"/>
        <n v="74.736286919831215"/>
        <n v="47.819260293091418"/>
        <n v="37.521815008726009"/>
        <n v="41.520467836257311"/>
        <n v="22.066367945970516"/>
        <n v="60.137457044673539"/>
        <n v="4.3497757847533629"/>
        <n v="56.139817629179333"/>
        <n v="36.84210526315789"/>
        <n v="57.894736842105267"/>
        <n v="45.054151624548737"/>
        <n v="22.322580645161292"/>
        <n v="13.387017658600392"/>
        <n v="70.159779070914297"/>
        <n v="62.907735321528421"/>
        <n v="0"/>
        <n v="62.068965517241381"/>
        <n v="80"/>
        <n v="57.077625570776256"/>
        <n v="68.199233716475092"/>
        <n v="59.071367153912291"/>
        <n v="27.27272727272727"/>
        <n v="67.135724012709943"/>
        <n v="53.703703703703709"/>
        <n v="47.801934023729508"/>
        <n v="64.43606660383287"/>
        <n v="45.443645083932857"/>
        <n v="53.872053872053868"/>
        <n v="71.658742736397258"/>
        <n v="9.9156118143459917"/>
        <n v="62.5"/>
        <n v="49.608355091383807"/>
        <n v="69.679300291545189"/>
        <n v="35.488721804511279"/>
        <n v="79.449699054170253"/>
        <n v="75.437777258930666"/>
        <n v="50.153988296889437"/>
        <n v="21.412721893491124"/>
        <n v="32.982199188823799"/>
        <n v="45.197740112994353"/>
        <n v="77.41935483870968"/>
        <n v="38.068807541517998"/>
        <n v="58.185595567867033"/>
        <n v="1.1203003108686727"/>
        <n v="35.769310847387047"/>
        <n v="37.568950621386321"/>
        <n v="60.689655172413794"/>
        <n v="76.451077943615246"/>
        <n v="30"/>
        <n v="67.984352480955323"/>
        <n v="32.563850687622789"/>
        <n v="77.58620689655173"/>
        <n v="66.09551007456767"/>
        <n v="2.0170674941815361"/>
        <n v="6.4569417510593992"/>
        <n v="29.328621908127207"/>
        <n v="27.605766958165916"/>
        <n v="42.194092827004219"/>
        <n v="21.270019668446196"/>
        <n v="54.828150572831426"/>
        <n v="6.25"/>
        <n v="42.51181846832651"/>
        <n v="45.736137667304014"/>
        <n v="58.205894916702263"/>
        <n v="87.5"/>
        <n v="69.841269841269835"/>
        <n v="17.041501298446761"/>
        <n v="6.5018213930897444"/>
        <n v="42.613636363636367"/>
        <n v="62.474813322270947"/>
        <n v="38.095238095238095"/>
        <n v="40.79173838209983"/>
        <n v="19.753769539355375"/>
        <n v="14.814814814814813"/>
        <n v="21.675191815856778"/>
        <n v="56.251680559290129"/>
        <n v="10.640602768076574"/>
        <n v="46.702710935120315"/>
        <n v="57.271274470635234"/>
        <n v="4.9762452857912525"/>
        <n v="82.198952879581157"/>
        <n v="53.476821192052981"/>
        <n v="44.634525660964229"/>
        <n v="5.8823529411764701"/>
        <e v="#DIV/0!"/>
        <n v="33.564400715563508"/>
        <n v="52.661752661752658"/>
        <n v="64.736842105263165"/>
        <n v="90.401606425702809"/>
        <n v="34.957660968205786"/>
        <n v="59.922178988326849"/>
        <n v="50"/>
        <n v="19.562334217506631"/>
        <n v="64.900662251655632"/>
        <n v="49.145477282200915"/>
        <n v="29.608938547486037"/>
        <n v="11.39240506329114"/>
        <n v="9.1388400702987695"/>
        <n v="17.764705882352942"/>
        <n v="60.744177583697237"/>
        <n v="60"/>
        <n v="32.915531335149865"/>
        <n v="60.74074074074074"/>
        <n v="20.903954802259886"/>
        <n v="6.3021220021755271"/>
        <n v="66.153846153846146"/>
        <n v="11.914252812472318"/>
        <n v="12.168739859383452"/>
        <n v="58.333333333333336"/>
        <n v="65.756794048833171"/>
        <n v="68.01121320666563"/>
        <n v="40.755750273822564"/>
        <n v="36.552916916117873"/>
        <n v="45.588235294117645"/>
        <n v="11.888717156105102"/>
        <n v="24.429065743944637"/>
        <n v="63.974267333809863"/>
        <n v="5.8658089928235935"/>
        <n v="26.298157453936348"/>
        <n v="81.953028430160686"/>
        <n v="54.166666666666664"/>
        <n v="80.85501858736059"/>
        <n v="49.38799300563435"/>
        <n v="13.536432995720022"/>
        <n v="24.260355029585799"/>
        <n v="45.925925925925924"/>
        <n v="9.041090489754481"/>
        <n v="58.511919094630386"/>
        <n v="80.14705882352942"/>
        <n v="59.477241461809918"/>
        <n v="59.259259259259252"/>
        <n v="58.035133376707869"/>
        <n v="71.793325291515885"/>
        <n v="44.298518058390272"/>
        <n v="54.801285102332223"/>
        <n v="10.267361881517639"/>
        <n v="76.442307692307693"/>
        <n v="76.502732240437155"/>
        <n v="52.14806808970549"/>
        <n v="56.996762801648025"/>
        <n v="49.250936329588015"/>
        <n v="41.16761962082456"/>
        <n v="46.017699115044245"/>
        <n v="11.422266067916697"/>
        <n v="62.201504743212297"/>
        <n v="57.234185733512788"/>
        <n v="22.190201729106629"/>
        <n v="60.465116279069761"/>
        <n v="52.888888888888886"/>
        <n v="48.441584556605669"/>
        <n v="74.358974358974365"/>
        <n v="59.339263024142305"/>
        <n v="65.294117647058826"/>
        <n v="39.966832504145941"/>
        <n v="8.9860798456378923"/>
        <n v="11.481322980986732"/>
        <n v="48.382169143174558"/>
        <n v="64.161772557394556"/>
        <n v="63.9827655850276"/>
        <n v="4.3474401215494138"/>
        <n v="50.599259097842662"/>
        <n v="44.544703939608397"/>
        <n v="12.163978494623656"/>
        <n v="58.808063102541631"/>
        <n v="53.112099079072713"/>
        <n v="65.560165975103729"/>
        <n v="68.75"/>
        <n v="10.684474123539232"/>
        <n v="29.636591478696744"/>
        <n v="46.543778801843317"/>
        <n v="64.15094339622641"/>
        <n v="43.624161073825505"/>
        <n v="81.704781704781709"/>
        <n v="15.48856548856549"/>
        <n v="76.927822331893893"/>
        <n v="1.948051948051948"/>
        <n v="58.371522094926355"/>
        <n v="69.71072867081655"/>
        <n v="39.657079646017699"/>
        <n v="55.882352941176471"/>
        <n v="71.195652173913047"/>
        <n v="73.831775700934571"/>
        <n v="70.138888888888886"/>
        <n v="34.632669907364942"/>
        <n v="49.206349206349202"/>
        <n v="24.958900014945449"/>
        <n v="88.495575221238937"/>
        <n v="28.043990573448546"/>
        <n v="18.446601941747574"/>
        <n v="11.680911680911681"/>
        <n v="58.277511961722482"/>
        <n v="58.433734939759042"/>
      </sharedItems>
    </cacheField>
    <cacheField name="Journey_Depth" numFmtId="0">
      <sharedItems containsSemiMixedTypes="0" containsString="0" containsNumber="1" containsInteger="1" minValue="1" maxValue="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">
  <r>
    <s v="Online Behavior&gt;United States&gt;Autos and Vehicles&gt;Brands&gt;Mazda"/>
    <x v="0"/>
    <s v="Subscribe Today - 10% Discount"/>
    <s v="New York City"/>
    <x v="0"/>
    <x v="0"/>
    <x v="0"/>
    <x v="0"/>
    <n v="134847"/>
    <n v="582"/>
    <n v="104268"/>
    <n v="128470"/>
    <n v="132"/>
    <x v="0"/>
    <n v="0.43160025807025737"/>
    <n v="10.379030202749142"/>
    <n v="45.762087712121215"/>
    <n v="22.680412371134022"/>
    <n v="47.019503214758309"/>
    <x v="0"/>
    <n v="5"/>
  </r>
  <r>
    <s v="Online Behavior&gt;United States&gt;People and Society&gt;Family and Relationships&gt;Parents"/>
    <x v="0"/>
    <s v="Subscribe Today - 10% Discount"/>
    <s v="West Palm Beach-Ft. Pierce"/>
    <x v="1"/>
    <x v="0"/>
    <x v="1"/>
    <x v="0"/>
    <n v="115544"/>
    <n v="491"/>
    <n v="79182"/>
    <n v="109463"/>
    <n v="69"/>
    <x v="1"/>
    <n v="0.42494634078792498"/>
    <n v="13.688583407331976"/>
    <n v="97.407165985507248"/>
    <n v="14.052953156822811"/>
    <n v="61.40060525474361"/>
    <x v="1"/>
    <n v="5"/>
  </r>
  <r>
    <s v="Online Behavior&gt;United States&gt;Finance&gt;Banking&gt;Savings Accounts"/>
    <x v="1"/>
    <s v="Subscribe Today - 10% Discount"/>
    <s v="Chicago"/>
    <x v="2"/>
    <x v="1"/>
    <x v="2"/>
    <x v="0"/>
    <n v="357707"/>
    <n v="444"/>
    <n v="203987"/>
    <n v="338107"/>
    <n v="74"/>
    <x v="2"/>
    <n v="0.12412393383411564"/>
    <n v="15.200906200450449"/>
    <n v="91.205437202702697"/>
    <n v="16.666666666666664"/>
    <n v="19.961735051329903"/>
    <x v="2"/>
    <n v="5"/>
  </r>
  <r>
    <s v="US&gt;B2B&gt;Purchase DM&gt;Technology Services, Hardware and&gt;or Software&gt;I make the final decision with input from staff&gt;management"/>
    <x v="1"/>
    <s v="10% Discount - Ends 6/1"/>
    <s v="West Palm Beach-Ft. Pierce"/>
    <x v="1"/>
    <x v="2"/>
    <x v="0"/>
    <x v="0"/>
    <n v="217824"/>
    <n v="339"/>
    <n v="75089"/>
    <n v="179723"/>
    <n v="16"/>
    <x v="3"/>
    <n v="0.15563023358307623"/>
    <n v="4.2826210737463128"/>
    <n v="90.738033999999999"/>
    <n v="4.71976401179941"/>
    <n v="8.0780342193264065"/>
    <x v="3"/>
    <n v="7"/>
  </r>
  <r>
    <s v="Online Behavior&gt;United States&gt;Beauty and Fitness&gt;Face and Body Care&gt;Hygiene and Toiletries"/>
    <x v="1"/>
    <s v="Sign up Now - 10% Off"/>
    <s v="Chicago"/>
    <x v="2"/>
    <x v="1"/>
    <x v="3"/>
    <x v="0"/>
    <n v="247106"/>
    <n v="290"/>
    <n v="159618"/>
    <n v="233150"/>
    <n v="32"/>
    <x v="4"/>
    <n v="0.11735854248783922"/>
    <n v="26.310152655172413"/>
    <n v="238.4357584375"/>
    <n v="11.03448275862069"/>
    <n v="32.725474029594679"/>
    <x v="4"/>
    <n v="5"/>
  </r>
  <r>
    <s v="Online Behavior&gt;United States&gt;Travel&gt;Travel Agencies and Services&gt;Tourist Boards and Visitor Centers"/>
    <x v="0"/>
    <s v="Sign up Today - 10% Off"/>
    <s v="Ft. Wayne"/>
    <x v="3"/>
    <x v="3"/>
    <x v="4"/>
    <x v="0"/>
    <n v="189571"/>
    <n v="278"/>
    <n v="130676"/>
    <n v="183688"/>
    <n v="44"/>
    <x v="5"/>
    <n v="0.1466469027435631"/>
    <n v="22.791181251798559"/>
    <n v="143.99882700000001"/>
    <n v="15.827338129496402"/>
    <n v="34.492990222551285"/>
    <x v="5"/>
    <n v="5"/>
  </r>
  <r>
    <s v="Online Behavior&gt;United States&gt;Finance&gt;Credit and Lending&gt;Credit and Lending"/>
    <x v="0"/>
    <s v="10% Discount - Ends 6/1"/>
    <s v="Chicago"/>
    <x v="2"/>
    <x v="4"/>
    <x v="5"/>
    <x v="0"/>
    <n v="4154911"/>
    <n v="261"/>
    <n v="2338732"/>
    <n v="3445626"/>
    <n v="154"/>
    <x v="6"/>
    <n v="6.2817230020089472E-3"/>
    <n v="30.799120195402299"/>
    <n v="52.198508902597403"/>
    <n v="59.003831417624518"/>
    <n v="2.332978208023738"/>
    <x v="6"/>
    <n v="5"/>
  </r>
  <r>
    <s v="Media and Entertainment&gt;News and Current Events"/>
    <x v="1"/>
    <s v="Sign up Now - 10% Off"/>
    <s v="Los Angeles"/>
    <x v="4"/>
    <x v="3"/>
    <x v="2"/>
    <x v="0"/>
    <n v="183208"/>
    <n v="237"/>
    <n v="131164"/>
    <n v="177952"/>
    <n v="43"/>
    <x v="7"/>
    <n v="0.12936116326797956"/>
    <n v="11.318297987341772"/>
    <n v="62.38224704651163"/>
    <n v="18.143459915611814"/>
    <n v="15.073933549496493"/>
    <x v="7"/>
    <n v="2"/>
  </r>
  <r>
    <s v="US&gt;Reach&gt;Propensity Models&gt;Online&gt;Home Office"/>
    <x v="0"/>
    <s v="Subscribe Today - 10% Discount"/>
    <s v="Nashville"/>
    <x v="5"/>
    <x v="5"/>
    <x v="4"/>
    <x v="0"/>
    <n v="481526"/>
    <n v="223"/>
    <n v="396802"/>
    <n v="437639"/>
    <n v="23"/>
    <x v="8"/>
    <n v="4.6311102619588554E-2"/>
    <n v="9.1384107354260102"/>
    <n v="88.60285191304348"/>
    <n v="10.31390134529148"/>
    <n v="4.6564990642972859"/>
    <x v="8"/>
    <n v="5"/>
  </r>
  <r>
    <s v="Online Behavior&gt;United States&gt;Travel&gt;Specialty Travel&gt;Agritourism"/>
    <x v="1"/>
    <s v="Subscribe Today - 10% Discount"/>
    <s v="Los Angeles"/>
    <x v="4"/>
    <x v="6"/>
    <x v="5"/>
    <x v="0"/>
    <n v="1720462"/>
    <n v="214"/>
    <n v="940296"/>
    <n v="1516537"/>
    <n v="20"/>
    <x v="9"/>
    <n v="1.2438519420946233E-2"/>
    <n v="27.600303584112147"/>
    <n v="295.32324834999997"/>
    <n v="9.3457943925233646"/>
    <n v="3.8947054816334843"/>
    <x v="9"/>
    <n v="5"/>
  </r>
  <r>
    <s v="Online Behavior&gt;United States&gt;Food and Drink&gt;Restaurants"/>
    <x v="1"/>
    <s v="Sign up Today - 10% Off"/>
    <s v="Los Angeles"/>
    <x v="4"/>
    <x v="6"/>
    <x v="6"/>
    <x v="0"/>
    <n v="908899"/>
    <n v="204"/>
    <n v="644697"/>
    <n v="853964"/>
    <n v="32"/>
    <x v="10"/>
    <n v="2.2444738084209579E-2"/>
    <n v="25.397487171568628"/>
    <n v="161.90898071875"/>
    <n v="15.686274509803921"/>
    <n v="6.0671028087835088"/>
    <x v="10"/>
    <n v="4"/>
  </r>
  <r>
    <s v="US&gt;Brand Propensities&gt;Health&gt;Beauty and Cosmetics&gt;Beachbody Buyer Propensity"/>
    <x v="0"/>
    <s v="Subscribe Today - 10% Discount"/>
    <s v="Chicago"/>
    <x v="2"/>
    <x v="7"/>
    <x v="2"/>
    <x v="0"/>
    <n v="152881"/>
    <n v="204"/>
    <n v="94895"/>
    <n v="145113"/>
    <n v="11"/>
    <x v="11"/>
    <n v="0.13343711775825642"/>
    <n v="7.3366104117647053"/>
    <n v="136.0607749090909"/>
    <n v="5.3921568627450984"/>
    <n v="10.313814227533024"/>
    <x v="11"/>
    <n v="5"/>
  </r>
  <r>
    <s v="Online Behavior&gt;United States&gt;Autos and Vehicles&gt;Brands&gt;Porsche"/>
    <x v="0"/>
    <s v="Sign up Today - 10% Off"/>
    <s v="Chicago"/>
    <x v="2"/>
    <x v="4"/>
    <x v="3"/>
    <x v="0"/>
    <n v="3196231"/>
    <n v="203"/>
    <n v="2013324"/>
    <n v="2669103"/>
    <n v="70"/>
    <x v="12"/>
    <n v="6.3512305587424692E-3"/>
    <n v="28.356015625615761"/>
    <n v="82.232445314285712"/>
    <n v="34.482758620689658"/>
    <n v="2.1566313371945558"/>
    <x v="12"/>
    <n v="5"/>
  </r>
  <r>
    <s v="Online Behavior&gt;United States&gt;The Changing Consumer&gt;Data For Good&gt;Current Affairs - Social Justice"/>
    <x v="0"/>
    <s v="Sign up Now - 10% Off"/>
    <s v="New York City"/>
    <x v="0"/>
    <x v="6"/>
    <x v="4"/>
    <x v="0"/>
    <n v="1010148"/>
    <n v="202"/>
    <n v="699834"/>
    <n v="955905"/>
    <n v="31"/>
    <x v="13"/>
    <n v="1.9997069736315869E-2"/>
    <n v="38.557928816831684"/>
    <n v="251.24843938709677"/>
    <n v="15.346534653465346"/>
    <n v="8.1479871127360983"/>
    <x v="13"/>
    <n v="5"/>
  </r>
  <r>
    <s v="Online Behavior&gt;United States&gt;Sports&gt;Team Sports&gt;Rugby"/>
    <x v="1"/>
    <s v="10% Discount - Ends 6/1"/>
    <s v="New York City"/>
    <x v="0"/>
    <x v="6"/>
    <x v="1"/>
    <x v="0"/>
    <n v="1956642"/>
    <n v="194"/>
    <n v="981461"/>
    <n v="1731673"/>
    <n v="106"/>
    <x v="14"/>
    <n v="9.914946116867572E-3"/>
    <n v="39.846601113402059"/>
    <n v="72.926798264150946"/>
    <n v="54.639175257731956"/>
    <n v="4.4640302274159147"/>
    <x v="14"/>
    <n v="5"/>
  </r>
  <r>
    <s v="Online Behavior&gt;United States&gt;Life Event&gt;College Applications"/>
    <x v="0"/>
    <s v="Subscribe Today - 10% Discount"/>
    <s v="Chicago"/>
    <x v="2"/>
    <x v="8"/>
    <x v="7"/>
    <x v="0"/>
    <n v="446774"/>
    <n v="184"/>
    <n v="163786"/>
    <n v="374116"/>
    <n v="12"/>
    <x v="15"/>
    <n v="4.1184133364967526E-2"/>
    <n v="39.392563108695647"/>
    <n v="604.01930099999993"/>
    <n v="6.5217391304347823"/>
    <n v="19.374289289952848"/>
    <x v="15"/>
    <n v="4"/>
  </r>
  <r>
    <s v="Online Behavior&gt;United States&gt;Food and Drink&gt;Beverages&gt;Soft Drinks"/>
    <x v="1"/>
    <s v="Sign up Today - 10% Off"/>
    <s v="Knoxville"/>
    <x v="5"/>
    <x v="9"/>
    <x v="4"/>
    <x v="0"/>
    <n v="150457"/>
    <n v="169"/>
    <n v="58372"/>
    <n v="135099"/>
    <n v="14"/>
    <x v="16"/>
    <n v="0.11232445150441656"/>
    <n v="34.951656840236687"/>
    <n v="421.91642899999999"/>
    <n v="8.2840236686390547"/>
    <n v="43.722233369603032"/>
    <x v="16"/>
    <n v="5"/>
  </r>
  <r>
    <s v="Online Behavior&gt;United States&gt;Food and Drink&gt;Restaurants&gt;Dining Guides"/>
    <x v="0"/>
    <s v="Sign up Now - 10% Off"/>
    <s v="Chicago"/>
    <x v="2"/>
    <x v="10"/>
    <x v="8"/>
    <x v="0"/>
    <n v="116926"/>
    <n v="166"/>
    <n v="69132"/>
    <n v="111957"/>
    <n v="22"/>
    <x v="17"/>
    <n v="0.14197013495715238"/>
    <n v="29.626752903614459"/>
    <n v="223.54731736363638"/>
    <n v="13.253012048192772"/>
    <n v="43.927945389747855"/>
    <x v="17"/>
    <n v="5"/>
  </r>
  <r>
    <s v="Online Behavior&gt;United States&gt;Validated Demographic&gt;Gender and Age Combined&gt;Females 25-44"/>
    <x v="0"/>
    <s v="Sign up Now - 10% Off"/>
    <s v="Miami-Ft. Lauderdale"/>
    <x v="1"/>
    <x v="5"/>
    <x v="1"/>
    <x v="0"/>
    <n v="264580"/>
    <n v="143"/>
    <n v="217526"/>
    <n v="240731"/>
    <n v="9"/>
    <x v="18"/>
    <n v="5.4047925013228519E-2"/>
    <n v="34.088473580419574"/>
    <n v="541.62796911111104"/>
    <n v="6.2937062937062942"/>
    <n v="20.249372627538619"/>
    <x v="18"/>
    <n v="5"/>
  </r>
  <r>
    <s v="Online Behavior&gt;United States&gt;Intent&gt;Travel&gt;Flights"/>
    <x v="2"/>
    <s v="Sign up Now - 10% Off"/>
    <s v="Miami-Ft. Lauderdale"/>
    <x v="1"/>
    <x v="7"/>
    <x v="7"/>
    <x v="0"/>
    <n v="140359"/>
    <n v="139"/>
    <n v="76130"/>
    <n v="133578"/>
    <n v="26"/>
    <x v="19"/>
    <n v="9.9031768536395948E-2"/>
    <n v="43.846523733812944"/>
    <n v="234.41026149999999"/>
    <n v="18.705035971223023"/>
    <n v="45.626276774618574"/>
    <x v="19"/>
    <n v="5"/>
  </r>
  <r>
    <s v="Transactional&gt;Q3 Casual Dining Restaurant Goers"/>
    <x v="1"/>
    <s v="Sign up Today - 10% Off"/>
    <s v="San Francisco"/>
    <x v="4"/>
    <x v="5"/>
    <x v="2"/>
    <x v="0"/>
    <n v="284783"/>
    <n v="132"/>
    <n v="239363"/>
    <n v="261467"/>
    <n v="9"/>
    <x v="20"/>
    <n v="4.6351081349659214E-2"/>
    <n v="12.163167212121213"/>
    <n v="178.3931191111111"/>
    <n v="6.8181818181818175"/>
    <n v="6.1404998412801612"/>
    <x v="20"/>
    <n v="2"/>
  </r>
  <r>
    <s v="Online Behavior&gt;United States&gt;Finance&gt;Credit and Lending&gt;Loans"/>
    <x v="1"/>
    <s v="Subscribe Today - 10% Discount"/>
    <s v="Chicago"/>
    <x v="2"/>
    <x v="11"/>
    <x v="2"/>
    <x v="0"/>
    <n v="1100942"/>
    <n v="129"/>
    <n v="629973"/>
    <n v="1041225"/>
    <n v="147"/>
    <x v="21"/>
    <n v="1.1717238510293911E-2"/>
    <n v="61.85541541860465"/>
    <n v="54.281282918367346"/>
    <n v="113.95348837209302"/>
    <n v="7.6634239371893687"/>
    <x v="21"/>
    <n v="5"/>
  </r>
  <r>
    <s v="US&gt;Reach&gt;Propensity Models&gt;Hobbies and Interest&gt;Sports&gt;Avid Runners"/>
    <x v="1"/>
    <s v="10% Discount - Ends 6/1"/>
    <s v="Lansing"/>
    <x v="6"/>
    <x v="0"/>
    <x v="1"/>
    <x v="0"/>
    <n v="510778"/>
    <n v="129"/>
    <n v="70777"/>
    <n v="436133"/>
    <n v="6"/>
    <x v="22"/>
    <n v="2.5255590491368066E-2"/>
    <n v="30.001967961240311"/>
    <n v="645.04231116666665"/>
    <n v="4.6511627906976747"/>
    <n v="8.8740220689560285"/>
    <x v="22"/>
    <n v="6"/>
  </r>
  <r>
    <s v="Online Behavior&gt;United States&gt;Finance&gt;Accounting and Auditing&gt;Accounting and Auditing"/>
    <x v="1"/>
    <s v="Subscribe Today - 10% Discount"/>
    <s v="Chicago"/>
    <x v="2"/>
    <x v="8"/>
    <x v="9"/>
    <x v="0"/>
    <n v="1767940"/>
    <n v="127"/>
    <n v="881525"/>
    <n v="1550866"/>
    <n v="78"/>
    <x v="23"/>
    <n v="7.1835017025464664E-3"/>
    <n v="59.146899141732284"/>
    <n v="96.303284500000004"/>
    <n v="61.417322834645674"/>
    <n v="4.8435236770939589"/>
    <x v="23"/>
    <n v="5"/>
  </r>
  <r>
    <s v="Online Behavior&gt;United States&gt;Intent&gt;Shopping&gt;CPG&gt;Home Care"/>
    <x v="0"/>
    <s v="Subscribe Today - 10% Discount"/>
    <s v="Tampa-St Petersburg (Sarasota)"/>
    <x v="1"/>
    <x v="12"/>
    <x v="2"/>
    <x v="0"/>
    <n v="210700"/>
    <n v="124"/>
    <n v="94625"/>
    <n v="180681"/>
    <n v="3"/>
    <x v="24"/>
    <n v="5.885144755576649E-2"/>
    <n v="51.144187911290324"/>
    <n v="2113.9597669999998"/>
    <n v="2.4193548387096775"/>
    <n v="35.099868281667689"/>
    <x v="24"/>
    <n v="6"/>
  </r>
  <r>
    <s v="Travel and Tourism&gt;Interest (Affinity)&gt;Products&gt;Hotels and Lodging"/>
    <x v="1"/>
    <s v="Sign up Today - 10% Off"/>
    <s v="Miami-Ft. Lauderdale"/>
    <x v="1"/>
    <x v="6"/>
    <x v="10"/>
    <x v="0"/>
    <n v="679098"/>
    <n v="121"/>
    <n v="467726"/>
    <n v="634589"/>
    <n v="9"/>
    <x v="25"/>
    <n v="1.7817752371528113E-2"/>
    <n v="12.210122776859505"/>
    <n v="164.15831733333334"/>
    <n v="7.4380165289256199"/>
    <n v="2.3281602044788046"/>
    <x v="25"/>
    <n v="4"/>
  </r>
  <r>
    <s v="Online Behavior&gt;United States&gt;Autos and Vehicles&gt;Electric and Plug-In Vehicles"/>
    <x v="0"/>
    <s v="10% Discount - Ends 6/1"/>
    <s v="San Francisco"/>
    <x v="4"/>
    <x v="4"/>
    <x v="5"/>
    <x v="0"/>
    <n v="1601933"/>
    <n v="113"/>
    <n v="1135085"/>
    <n v="1487426"/>
    <n v="29"/>
    <x v="26"/>
    <n v="7.0539779129339371E-3"/>
    <n v="60.050529115044249"/>
    <n v="233.98999275862067"/>
    <n v="25.663716814159294"/>
    <n v="4.5620486598997187"/>
    <x v="26"/>
    <n v="4"/>
  </r>
  <r>
    <s v="Online Behavior&gt;United States&gt;Validated Demographic&gt;Gender and Age Combined&gt;Females 25-64"/>
    <x v="1"/>
    <s v="Subscribe Today - 10% Discount"/>
    <s v="Ft. Myers-Naples"/>
    <x v="1"/>
    <x v="6"/>
    <x v="2"/>
    <x v="0"/>
    <n v="766674"/>
    <n v="103"/>
    <n v="344201"/>
    <n v="720606"/>
    <n v="17"/>
    <x v="27"/>
    <n v="1.3434654103308578E-2"/>
    <n v="56.468297271844662"/>
    <n v="342.1314481764706"/>
    <n v="16.50485436893204"/>
    <n v="8.0713102846770628"/>
    <x v="27"/>
    <n v="5"/>
  </r>
  <r>
    <s v="Online Behavior&gt;United States&gt;Autos and Vehicles&gt;Brands&gt;Bugatti"/>
    <x v="0"/>
    <s v="Sign up Today - 10% Off"/>
    <s v="Jacksonville"/>
    <x v="1"/>
    <x v="13"/>
    <x v="2"/>
    <x v="0"/>
    <n v="98509"/>
    <n v="103"/>
    <n v="30688"/>
    <n v="109518"/>
    <n v="19"/>
    <x v="28"/>
    <n v="0.1045589743069161"/>
    <n v="19.992915475728154"/>
    <n v="108.38264705263157"/>
    <n v="18.446601941747574"/>
    <n v="18.803030497269855"/>
    <x v="28"/>
    <n v="5"/>
  </r>
  <r>
    <s v="Online Behavior&gt;United States&gt;Life Event&gt;College Graduation"/>
    <x v="0"/>
    <s v="10% Discount - Ends 6/1"/>
    <s v="Los Angeles"/>
    <x v="4"/>
    <x v="4"/>
    <x v="2"/>
    <x v="0"/>
    <n v="1515751"/>
    <n v="98"/>
    <n v="1151776"/>
    <n v="1396230"/>
    <n v="49"/>
    <x v="29"/>
    <n v="6.4654418832644682E-3"/>
    <n v="80.108614734693873"/>
    <n v="160.21722946938775"/>
    <n v="50"/>
    <n v="5.6227442785214468"/>
    <x v="29"/>
    <n v="4"/>
  </r>
  <r>
    <s v="Online Behavior&gt;United States&gt;Finance&gt;Financial Planning and Management&gt;Financial Planning and Management"/>
    <x v="0"/>
    <s v="10% Discount - Ends 6/1"/>
    <s v="Chicago"/>
    <x v="2"/>
    <x v="6"/>
    <x v="7"/>
    <x v="0"/>
    <n v="1323451"/>
    <n v="97"/>
    <n v="737990"/>
    <n v="1177859"/>
    <n v="123"/>
    <x v="30"/>
    <n v="7.3293231105647279E-3"/>
    <n v="84.403242690721655"/>
    <n v="66.561906837398368"/>
    <n v="126.8041237113402"/>
    <n v="6.9508443209246602"/>
    <x v="30"/>
    <n v="5"/>
  </r>
  <r>
    <s v="Online Behavior&gt;United States&gt;Life Event&gt;Movers"/>
    <x v="1"/>
    <s v="Subscribe Today - 10% Discount"/>
    <s v="Grand Rapids-Kalamazoo"/>
    <x v="6"/>
    <x v="8"/>
    <x v="2"/>
    <x v="0"/>
    <n v="310255"/>
    <n v="97"/>
    <n v="105054"/>
    <n v="260998"/>
    <n v="14"/>
    <x v="31"/>
    <n v="3.1264604921757908E-2"/>
    <n v="62.452131154639183"/>
    <n v="432.70405157142858"/>
    <n v="14.432989690721648"/>
    <n v="23.21035686863501"/>
    <x v="31"/>
    <n v="4"/>
  </r>
  <r>
    <s v="Online Behavior&gt;United States&gt;Beauty and Fitness&gt;Weight Loss"/>
    <x v="2"/>
    <s v="Sign up Now - 10% Off"/>
    <s v="Chicago"/>
    <x v="2"/>
    <x v="6"/>
    <x v="4"/>
    <x v="0"/>
    <n v="1083050"/>
    <n v="96"/>
    <n v="590156"/>
    <n v="953556"/>
    <n v="19"/>
    <x v="32"/>
    <n v="8.8638567009833354E-3"/>
    <n v="78.080727572916672"/>
    <n v="394.51314984210529"/>
    <n v="19.791666666666664"/>
    <n v="7.8608386366401142"/>
    <x v="32"/>
    <n v="4"/>
  </r>
  <r>
    <s v="Online Behavior&gt;United States&gt;Beauty and Fitness&gt;Hair Care"/>
    <x v="0"/>
    <s v="Sign up Today - 10% Off"/>
    <s v="San Francisco"/>
    <x v="4"/>
    <x v="4"/>
    <x v="2"/>
    <x v="0"/>
    <n v="999915"/>
    <n v="95"/>
    <n v="618816"/>
    <n v="829942"/>
    <n v="23"/>
    <x v="33"/>
    <n v="9.5008075686433355E-3"/>
    <n v="82.940176705263156"/>
    <n v="342.5789907391304"/>
    <n v="24.210526315789473"/>
    <n v="9.4938161787209214"/>
    <x v="33"/>
    <n v="4"/>
  </r>
  <r>
    <s v="Online Behavior&gt;United States&gt;Sports&gt;Winter Sports&gt;Ice Skating"/>
    <x v="1"/>
    <s v="Sign up Now - 10% Off"/>
    <s v="Chicago"/>
    <x v="2"/>
    <x v="6"/>
    <x v="2"/>
    <x v="0"/>
    <n v="470192"/>
    <n v="94"/>
    <n v="336480"/>
    <n v="443202"/>
    <n v="3"/>
    <x v="34"/>
    <n v="1.9991833123489979E-2"/>
    <n v="52.808151606382978"/>
    <n v="1654.6554169999999"/>
    <n v="3.1914893617021276"/>
    <n v="11.200234319790974"/>
    <x v="34"/>
    <n v="5"/>
  </r>
  <r>
    <s v="Online Behavior&gt;United States&gt;Intent&gt;Auto Buyers&gt;Car Make&gt;Peugeot"/>
    <x v="1"/>
    <s v="Sign up Today - 10% Off"/>
    <s v="New York City"/>
    <x v="0"/>
    <x v="14"/>
    <x v="2"/>
    <x v="0"/>
    <n v="186404"/>
    <n v="94"/>
    <n v="30885"/>
    <n v="151358"/>
    <n v="3"/>
    <x v="35"/>
    <n v="5.0428102401236019E-2"/>
    <n v="50.021569202127658"/>
    <n v="1567.3425016666667"/>
    <n v="3.1914893617021276"/>
    <n v="31.065602776199473"/>
    <x v="35"/>
    <n v="6"/>
  </r>
  <r>
    <s v="Media and Entertainment&gt;Audio and Video Streaming&gt;Streaming Audio"/>
    <x v="1"/>
    <s v="Sign up Now - 10% Off"/>
    <s v="Chicago"/>
    <x v="2"/>
    <x v="15"/>
    <x v="2"/>
    <x v="0"/>
    <n v="42451"/>
    <n v="94"/>
    <n v="29142"/>
    <n v="41093"/>
    <n v="3"/>
    <x v="36"/>
    <n v="0.22143176839179288"/>
    <n v="16.282486021276597"/>
    <n v="510.18456199999997"/>
    <n v="3.1914893617021276"/>
    <n v="37.246092667850974"/>
    <x v="36"/>
    <n v="3"/>
  </r>
  <r>
    <s v="Online Behavior&gt;United States&gt;Validated Demographic&gt;Gender and Age Combined&gt;Females 18-64"/>
    <x v="0"/>
    <s v="Sign up Now - 10% Off"/>
    <s v="Chicago"/>
    <x v="2"/>
    <x v="6"/>
    <x v="9"/>
    <x v="0"/>
    <n v="742281"/>
    <n v="93"/>
    <n v="432673"/>
    <n v="642404"/>
    <n v="11"/>
    <x v="37"/>
    <n v="1.2528947932117352E-2"/>
    <n v="64.778736419354843"/>
    <n v="547.67477154545452"/>
    <n v="11.827956989247312"/>
    <n v="9.3779342703345563"/>
    <x v="37"/>
    <n v="5"/>
  </r>
  <r>
    <s v="Media and Entertainment"/>
    <x v="0"/>
    <s v="10% Discount - Ends 6/1"/>
    <s v="New York City"/>
    <x v="0"/>
    <x v="12"/>
    <x v="2"/>
    <x v="0"/>
    <n v="654902"/>
    <n v="92"/>
    <n v="40733"/>
    <n v="477114"/>
    <n v="4"/>
    <x v="38"/>
    <n v="1.404790335042495E-2"/>
    <n v="34.550112119565213"/>
    <n v="794.65257874999998"/>
    <n v="4.3478260869565215"/>
    <n v="6.6621610663279638"/>
    <x v="38"/>
    <n v="1"/>
  </r>
  <r>
    <s v="Online Behavior&gt;United States&gt;Beauty and Fitness&gt;Fitness"/>
    <x v="1"/>
    <s v="10% Discount - Ends 6/1"/>
    <s v="Chicago"/>
    <x v="2"/>
    <x v="6"/>
    <x v="1"/>
    <x v="0"/>
    <n v="728841"/>
    <n v="91"/>
    <n v="424340"/>
    <n v="634059"/>
    <n v="37"/>
    <x v="39"/>
    <n v="1.2485576415157766E-2"/>
    <n v="88.507047999999998"/>
    <n v="217.67949643243242"/>
    <n v="40.659340659340657"/>
    <n v="12.702510914599429"/>
    <x v="39"/>
    <n v="4"/>
  </r>
  <r>
    <s v="Online Behavior&gt;United States&gt;Finance&gt;Credit and Lending&gt;Credit Cards"/>
    <x v="0"/>
    <s v="Sign up Today - 10% Off"/>
    <s v="Nashville"/>
    <x v="5"/>
    <x v="5"/>
    <x v="7"/>
    <x v="0"/>
    <n v="183230"/>
    <n v="89"/>
    <n v="155260"/>
    <n v="169583"/>
    <n v="34"/>
    <x v="40"/>
    <n v="4.8572831959831905E-2"/>
    <n v="88.353592235955063"/>
    <n v="231.27852085294117"/>
    <n v="38.202247191011232"/>
    <n v="46.369445693259351"/>
    <x v="40"/>
    <n v="5"/>
  </r>
  <r>
    <s v="Travel and Tourism&gt;Interest (Affinity)&gt;Destinations&gt;Africa"/>
    <x v="1"/>
    <s v="Subscribe Today - 10% Discount"/>
    <s v="Miami-Ft. Lauderdale"/>
    <x v="1"/>
    <x v="12"/>
    <x v="10"/>
    <x v="0"/>
    <n v="253577"/>
    <n v="89"/>
    <n v="66972"/>
    <n v="191183"/>
    <n v="44"/>
    <x v="41"/>
    <n v="3.5097820385918278E-2"/>
    <n v="16.776117910112358"/>
    <n v="33.933511227272724"/>
    <n v="49.438202247191008"/>
    <n v="7.8096613924878255"/>
    <x v="41"/>
    <n v="4"/>
  </r>
  <r>
    <s v="Online Behavior&gt;United States&gt;Finance&gt;Investing&gt;Stocks and Bonds"/>
    <x v="0"/>
    <s v="Subscribe Today - 10% Discount"/>
    <s v="Miami-Ft. Lauderdale"/>
    <x v="1"/>
    <x v="11"/>
    <x v="9"/>
    <x v="0"/>
    <n v="680912"/>
    <n v="87"/>
    <n v="388915"/>
    <n v="648524"/>
    <n v="39"/>
    <x v="42"/>
    <n v="1.2776981460159315E-2"/>
    <n v="89.819109126436771"/>
    <n v="200.36570497435898"/>
    <n v="44.827586206896555"/>
    <n v="12.049303486069906"/>
    <x v="42"/>
    <n v="5"/>
  </r>
  <r>
    <s v="Online Behavior&gt;United States&gt;Life Event&gt;New Parent"/>
    <x v="1"/>
    <s v="10% Discount - Ends 6/1"/>
    <s v="Nashville"/>
    <x v="5"/>
    <x v="11"/>
    <x v="7"/>
    <x v="0"/>
    <n v="569171"/>
    <n v="86"/>
    <n v="343050"/>
    <n v="541133"/>
    <n v="78"/>
    <x v="43"/>
    <n v="1.5109694626043842E-2"/>
    <n v="82.902712639534883"/>
    <n v="91.405554961538456"/>
    <n v="90.697674418604649"/>
    <n v="13.175380704928363"/>
    <x v="43"/>
    <n v="4"/>
  </r>
  <r>
    <s v="OnAudience&gt;Interest&gt;News&gt;Local News"/>
    <x v="2"/>
    <s v="Sign up Now - 10% Off"/>
    <s v="West Palm Beach-Ft. Pierce"/>
    <x v="1"/>
    <x v="16"/>
    <x v="1"/>
    <x v="0"/>
    <n v="69722"/>
    <n v="85"/>
    <n v="40640"/>
    <n v="64819"/>
    <n v="10"/>
    <x v="44"/>
    <n v="0.12191273916410889"/>
    <n v="19.619481117647059"/>
    <n v="166.7655895"/>
    <n v="11.76470588235294"/>
    <n v="25.727886807880406"/>
    <x v="44"/>
    <n v="4"/>
  </r>
  <r>
    <s v="OnAudience&gt;Interest&gt;Shopping&gt;Luxurious Brands"/>
    <x v="0"/>
    <s v="10% Discount - Ends 6/1"/>
    <s v="Ft. Myers-Naples"/>
    <x v="1"/>
    <x v="1"/>
    <x v="2"/>
    <x v="0"/>
    <n v="97346"/>
    <n v="79"/>
    <n v="44118"/>
    <n v="91080"/>
    <n v="19"/>
    <x v="45"/>
    <n v="8.1153822447763646E-2"/>
    <n v="20.981833797468354"/>
    <n v="87.240256315789466"/>
    <n v="24.050632911392405"/>
    <n v="18.198999451032059"/>
    <x v="45"/>
    <n v="4"/>
  </r>
  <r>
    <s v="Online Behavior&gt;United States&gt;The Changing Consumer&gt;Happy at Home"/>
    <x v="1"/>
    <s v="Sign up Now - 10% Off"/>
    <s v="Los Angeles"/>
    <x v="4"/>
    <x v="4"/>
    <x v="8"/>
    <x v="0"/>
    <n v="1575592"/>
    <n v="78"/>
    <n v="1155869"/>
    <n v="1447900"/>
    <n v="88"/>
    <x v="46"/>
    <n v="4.9505201854287148E-3"/>
    <n v="100.23908073076923"/>
    <n v="88.84827610227272"/>
    <n v="112.82051282051282"/>
    <n v="5.399991917259479"/>
    <x v="46"/>
    <n v="4"/>
  </r>
  <r>
    <s v="US&gt;B2B&gt;B2B Decision Maker Responsibilities&gt;Purchasing Utilities"/>
    <x v="0"/>
    <s v="Sign up Today - 10% Off"/>
    <s v="Grand Rapids-Kalamazoo"/>
    <x v="6"/>
    <x v="17"/>
    <x v="3"/>
    <x v="0"/>
    <n v="49936"/>
    <n v="78"/>
    <n v="25461"/>
    <n v="44751"/>
    <n v="13"/>
    <x v="47"/>
    <n v="0.15619993591797501"/>
    <n v="25.971589987179488"/>
    <n v="155.82953992307691"/>
    <n v="16.666666666666664"/>
    <n v="45.267905052401062"/>
    <x v="47"/>
    <n v="4"/>
  </r>
  <r>
    <s v="OnAudience&gt;Interest&gt;Technology"/>
    <x v="2"/>
    <s v="Sign up Now - 10% Off"/>
    <s v="Chicago"/>
    <x v="2"/>
    <x v="10"/>
    <x v="2"/>
    <x v="0"/>
    <n v="84306"/>
    <n v="76"/>
    <n v="45376"/>
    <n v="79935"/>
    <n v="3"/>
    <x v="48"/>
    <n v="9.0147794937489617E-2"/>
    <n v="23.810407381578948"/>
    <n v="603.19698700000004"/>
    <n v="3.9473684210526314"/>
    <n v="22.638280615500097"/>
    <x v="48"/>
    <n v="3"/>
  </r>
  <r>
    <s v="Mobile - US&gt;Device Ownership&gt;Smartphones&gt;ZTE"/>
    <x v="1"/>
    <s v="10% Discount - Ends 6/1"/>
    <s v="Jacksonville"/>
    <x v="1"/>
    <x v="11"/>
    <x v="1"/>
    <x v="1"/>
    <n v="74436"/>
    <n v="76"/>
    <n v="30158"/>
    <n v="69150"/>
    <n v="21"/>
    <x v="49"/>
    <n v="0.10210113385996024"/>
    <n v="20.507225500000001"/>
    <n v="74.216625619047619"/>
    <n v="27.631578947368425"/>
    <n v="22.53867155459147"/>
    <x v="49"/>
    <n v="4"/>
  </r>
  <r>
    <s v="OnAudience&gt;Interest&gt;Arts &amp; Entertainment&gt;Music Lovers"/>
    <x v="1"/>
    <s v="Sign up Today - 10% Off"/>
    <s v="West Palm Beach-Ft. Pierce"/>
    <x v="1"/>
    <x v="16"/>
    <x v="3"/>
    <x v="1"/>
    <n v="76724"/>
    <n v="75"/>
    <n v="43209"/>
    <n v="69530"/>
    <n v="15"/>
    <x v="50"/>
    <n v="9.7752984724466918E-2"/>
    <n v="19.909393706666666"/>
    <n v="99.546968533333327"/>
    <n v="20"/>
    <n v="21.475687156623042"/>
    <x v="50"/>
    <n v="4"/>
  </r>
  <r>
    <s v="US&gt;AUTO&gt;Decision Maker for Auto Purchase&gt;I was the sole decision-maker"/>
    <x v="1"/>
    <s v="Subscribe Today - 10% Discount"/>
    <s v="New York City"/>
    <x v="0"/>
    <x v="8"/>
    <x v="2"/>
    <x v="0"/>
    <n v="1116343"/>
    <n v="74"/>
    <n v="550519"/>
    <n v="977978"/>
    <n v="9"/>
    <x v="51"/>
    <n v="6.6287870305094402E-3"/>
    <n v="33.705643189189189"/>
    <n v="277.13528844444443"/>
    <n v="12.162162162162163"/>
    <n v="2.5503821108450291"/>
    <x v="51"/>
    <n v="4"/>
  </r>
  <r>
    <s v="US&gt;Brand Propensities&gt;Health&gt;Beauty and Cosmetics&gt;SkinCareRx Buyer Propensity"/>
    <x v="1"/>
    <s v="10% Discount - Ends 6/1"/>
    <s v="Nashville"/>
    <x v="5"/>
    <x v="11"/>
    <x v="9"/>
    <x v="0"/>
    <n v="435848"/>
    <n v="70"/>
    <n v="274912"/>
    <n v="415601"/>
    <n v="15"/>
    <x v="52"/>
    <n v="1.6060644995503019E-2"/>
    <n v="22.20628512857143"/>
    <n v="103.6293306"/>
    <n v="21.428571428571427"/>
    <n v="3.7402218931138278"/>
    <x v="52"/>
    <n v="5"/>
  </r>
  <r>
    <s v="Online Behavior&gt;United States&gt;Travel&gt;Specialty Travel&gt;Adventure Travel"/>
    <x v="0"/>
    <s v="10% Discount - Ends 6/1"/>
    <s v="Chicago"/>
    <x v="2"/>
    <x v="18"/>
    <x v="2"/>
    <x v="0"/>
    <n v="108559"/>
    <n v="69"/>
    <n v="79254"/>
    <n v="100563"/>
    <n v="7"/>
    <x v="53"/>
    <n v="6.3559907515728778E-2"/>
    <n v="99.283717144927536"/>
    <n v="978.65378328571421"/>
    <n v="10.144927536231885"/>
    <n v="68.122236637729586"/>
    <x v="53"/>
    <n v="5"/>
  </r>
  <r>
    <s v="Online Behavior&gt;United States&gt;Intent&gt;Services&gt;Pets"/>
    <x v="1"/>
    <s v="Sign up Now - 10% Off"/>
    <s v="Memphis"/>
    <x v="5"/>
    <x v="8"/>
    <x v="4"/>
    <x v="0"/>
    <n v="818919"/>
    <n v="66"/>
    <n v="395852"/>
    <n v="699064"/>
    <n v="22"/>
    <x v="54"/>
    <n v="8.0594051426331539E-3"/>
    <n v="91.092461590909096"/>
    <n v="273.27738477272726"/>
    <n v="33.333333333333329"/>
    <n v="8.6002175265783958"/>
    <x v="54"/>
    <n v="5"/>
  </r>
  <r>
    <s v="Online Behavior&gt;United States&gt;Life Event&gt;University Graduation"/>
    <x v="1"/>
    <s v="Sign up Today - 10% Off"/>
    <s v="New York City"/>
    <x v="0"/>
    <x v="8"/>
    <x v="2"/>
    <x v="0"/>
    <n v="1221746"/>
    <n v="64"/>
    <n v="512107"/>
    <n v="1088748"/>
    <n v="19"/>
    <x v="55"/>
    <n v="5.2384047093258336E-3"/>
    <n v="116.935737296875"/>
    <n v="393.88879931578947"/>
    <n v="29.6875"/>
    <n v="6.8738470123481283"/>
    <x v="55"/>
    <n v="4"/>
  </r>
  <r>
    <s v="US&gt;Brand Propensities&gt;Media and Entertainment&gt;Steam Community Buyer Propensity"/>
    <x v="0"/>
    <s v="Sign up Today - 10% Off"/>
    <s v="San Francisco"/>
    <x v="4"/>
    <x v="6"/>
    <x v="2"/>
    <x v="0"/>
    <n v="780475"/>
    <n v="63"/>
    <n v="453974"/>
    <n v="691696"/>
    <n v="11"/>
    <x v="56"/>
    <n v="8.0720074313719217E-3"/>
    <n v="27.400785031746029"/>
    <n v="156.93176881818181"/>
    <n v="17.460317460317459"/>
    <n v="2.4956765067312805"/>
    <x v="56"/>
    <n v="4"/>
  </r>
  <r>
    <s v="Online Behavior&gt;United States&gt;Autos and Vehicles&gt;Brands&gt;Ford"/>
    <x v="2"/>
    <s v="Sign up Today - 10% Off"/>
    <s v="New York City"/>
    <x v="0"/>
    <x v="19"/>
    <x v="2"/>
    <x v="0"/>
    <n v="89744"/>
    <n v="62"/>
    <n v="48786"/>
    <n v="85900"/>
    <n v="3"/>
    <x v="57"/>
    <n v="6.9085398466749867E-2"/>
    <n v="102.73889074193548"/>
    <n v="2123.2704086666668"/>
    <n v="4.838709677419355"/>
    <n v="74.153797741559941"/>
    <x v="57"/>
    <n v="5"/>
  </r>
  <r>
    <s v="Mobile - US&gt;Automotive&gt;Vehicle Ownership&gt;yes"/>
    <x v="2"/>
    <s v="Sign up Today - 10% Off"/>
    <s v="Chicago"/>
    <x v="2"/>
    <x v="6"/>
    <x v="2"/>
    <x v="0"/>
    <n v="562103"/>
    <n v="62"/>
    <n v="340616"/>
    <n v="488921"/>
    <n v="8"/>
    <x v="58"/>
    <n v="1.1030006956020515E-2"/>
    <n v="27.965002774193547"/>
    <n v="216.72877149999999"/>
    <n v="12.903225806451612"/>
    <n v="3.5462378830117744"/>
    <x v="58"/>
    <n v="4"/>
  </r>
  <r>
    <s v="US&gt;B2B&gt;B2B Decision Maker Responsibilities&gt;Marketing or Market Research"/>
    <x v="0"/>
    <s v="Sign up Now - 10% Off"/>
    <s v="Jacksonville"/>
    <x v="1"/>
    <x v="20"/>
    <x v="2"/>
    <x v="0"/>
    <n v="54134"/>
    <n v="61"/>
    <n v="37418"/>
    <n v="51299"/>
    <n v="2"/>
    <x v="59"/>
    <n v="0.11268334133816085"/>
    <n v="24.623241803278688"/>
    <n v="751.00887499999999"/>
    <n v="3.278688524590164"/>
    <n v="29.279669194331273"/>
    <x v="59"/>
    <n v="4"/>
  </r>
  <r>
    <s v="Online Behavior&gt;United States&gt;Hobbies and Leisure&gt;Clubs and Organizations"/>
    <x v="2"/>
    <s v="Subscribe Today - 10% Discount"/>
    <s v="Chicago"/>
    <x v="2"/>
    <x v="12"/>
    <x v="2"/>
    <x v="0"/>
    <n v="207823"/>
    <n v="60"/>
    <n v="33602"/>
    <n v="167814"/>
    <n v="13"/>
    <x v="60"/>
    <n v="2.8870721719925128E-2"/>
    <n v="100.81592685000001"/>
    <n v="465.30427776923079"/>
    <n v="21.666666666666668"/>
    <n v="36.045595784618691"/>
    <x v="60"/>
    <n v="4"/>
  </r>
  <r>
    <s v="Online Behavior&gt;United States&gt;Sports&gt;Individual Sports&gt;Running and Walking"/>
    <x v="1"/>
    <s v="10% Discount - Ends 6/1"/>
    <s v="Nashville"/>
    <x v="5"/>
    <x v="0"/>
    <x v="1"/>
    <x v="0"/>
    <n v="7229"/>
    <n v="59"/>
    <n v="5668"/>
    <n v="6760"/>
    <n v="3"/>
    <x v="61"/>
    <n v="0.81615714483331026"/>
    <n v="115.46760511864407"/>
    <n v="2270.8629006666665"/>
    <n v="5.0847457627118651"/>
    <n v="1007.7793937869824"/>
    <x v="61"/>
    <n v="5"/>
  </r>
  <r>
    <s v="Online Behavior&gt;United States&gt;Autos and Vehicles&gt;Boats and Watercraft"/>
    <x v="0"/>
    <s v="Subscribe Today - 10% Discount"/>
    <s v="Chicago"/>
    <x v="2"/>
    <x v="21"/>
    <x v="3"/>
    <x v="0"/>
    <n v="111624"/>
    <n v="59"/>
    <n v="40343"/>
    <n v="101306"/>
    <n v="21"/>
    <x v="62"/>
    <n v="5.285601662724862E-2"/>
    <n v="110.34655349152543"/>
    <n v="310.02126933333335"/>
    <n v="35.593220338983052"/>
    <n v="64.265163524371715"/>
    <x v="62"/>
    <n v="4"/>
  </r>
  <r>
    <s v="US&gt;Brand Propensities&gt;Travel&gt;Choice Hotels Buyer Propensity"/>
    <x v="1"/>
    <s v="10% Discount - Ends 6/1"/>
    <s v="Chicago"/>
    <x v="2"/>
    <x v="18"/>
    <x v="4"/>
    <x v="0"/>
    <n v="210096"/>
    <n v="59"/>
    <n v="90928"/>
    <n v="184823"/>
    <n v="4"/>
    <x v="63"/>
    <n v="2.8082400426471709E-2"/>
    <n v="34.363243864406776"/>
    <n v="506.85784699999999"/>
    <n v="6.7796610169491522"/>
    <n v="10.969583807210142"/>
    <x v="63"/>
    <n v="4"/>
  </r>
  <r>
    <s v="Online Behavior&gt;United States&gt;Intent&gt;Travel&gt;Future Travel"/>
    <x v="1"/>
    <s v="Sign up Now - 10% Off"/>
    <s v="Chicago"/>
    <x v="2"/>
    <x v="12"/>
    <x v="2"/>
    <x v="0"/>
    <n v="100991"/>
    <n v="57"/>
    <n v="56138"/>
    <n v="88836"/>
    <n v="9"/>
    <x v="64"/>
    <n v="5.6440672931251296E-2"/>
    <n v="81.620484719298247"/>
    <n v="516.92973655555556"/>
    <n v="15.789473684210526"/>
    <n v="52.370296152460718"/>
    <x v="64"/>
    <n v="5"/>
  </r>
  <r>
    <s v="US&gt;Interest Propensities&gt;Insurance&gt;MassMutual"/>
    <x v="1"/>
    <s v="10% Discount - Ends 6/1"/>
    <s v="New York City"/>
    <x v="0"/>
    <x v="22"/>
    <x v="2"/>
    <x v="1"/>
    <n v="32845"/>
    <n v="53"/>
    <n v="16163"/>
    <n v="30368"/>
    <n v="1"/>
    <x v="65"/>
    <n v="0.16136398234130003"/>
    <n v="36.045975207547173"/>
    <n v="1910.436686"/>
    <n v="1.8867924528301887"/>
    <n v="62.909532600105372"/>
    <x v="65"/>
    <n v="4"/>
  </r>
  <r>
    <s v="Online Behavior&gt;United States&gt;Internet and Telecom&gt;Web Portals"/>
    <x v="0"/>
    <s v="10% Discount - Ends 6/1"/>
    <s v="Lansing"/>
    <x v="6"/>
    <x v="12"/>
    <x v="2"/>
    <x v="0"/>
    <n v="96508"/>
    <n v="52"/>
    <n v="47065"/>
    <n v="73640"/>
    <n v="4"/>
    <x v="66"/>
    <n v="5.3881543498984538E-2"/>
    <n v="102.13018407692309"/>
    <n v="1327.692393"/>
    <n v="7.6923076923076925"/>
    <n v="72.118000706137963"/>
    <x v="66"/>
    <n v="4"/>
  </r>
  <r>
    <s v="Online Behavior&gt;United States&gt;B2B&gt;Occupation&gt;ElectricalEngineer"/>
    <x v="0"/>
    <s v="Sign up Today - 10% Off"/>
    <s v="Chicago"/>
    <x v="2"/>
    <x v="23"/>
    <x v="2"/>
    <x v="0"/>
    <n v="38735"/>
    <n v="51"/>
    <n v="28719"/>
    <n v="36629"/>
    <n v="1"/>
    <x v="67"/>
    <n v="0.1316638698851168"/>
    <n v="41.722040509803925"/>
    <n v="2127.8240660000001"/>
    <n v="1.9607843137254901"/>
    <n v="58.091240983919853"/>
    <x v="67"/>
    <n v="5"/>
  </r>
  <r>
    <s v="Online Behavior&gt;United States&gt;Intent&gt;Shopping&gt;Auto Parts Stores"/>
    <x v="0"/>
    <s v="Subscribe Today - 10% Discount"/>
    <s v="West Palm Beach-Ft. Pierce"/>
    <x v="1"/>
    <x v="19"/>
    <x v="2"/>
    <x v="0"/>
    <n v="102905"/>
    <n v="50"/>
    <n v="45324"/>
    <n v="99065"/>
    <n v="1"/>
    <x v="68"/>
    <n v="4.8588503959963072E-2"/>
    <n v="128.15163656000001"/>
    <n v="6407.5818280000003"/>
    <n v="2"/>
    <n v="64.680581719073345"/>
    <x v="68"/>
    <n v="5"/>
  </r>
  <r>
    <s v="US&gt;Interest Propensities&gt;Music&gt;Classic Rock"/>
    <x v="1"/>
    <s v="10% Discount - Ends 6/1"/>
    <s v="Chicago"/>
    <x v="2"/>
    <x v="24"/>
    <x v="2"/>
    <x v="1"/>
    <n v="62040"/>
    <n v="50"/>
    <n v="43853"/>
    <n v="58642"/>
    <n v="15"/>
    <x v="69"/>
    <n v="8.0593165699548677E-2"/>
    <n v="42.781315860000007"/>
    <n v="142.60438620000002"/>
    <n v="30"/>
    <n v="36.476685532553461"/>
    <x v="69"/>
    <n v="4"/>
  </r>
  <r>
    <s v="Online Behavior&gt;United States&gt;Finance&gt;Banking&gt;Banking"/>
    <x v="0"/>
    <s v="10% Discount - Ends 6/1"/>
    <s v="Los Angeles"/>
    <x v="4"/>
    <x v="4"/>
    <x v="2"/>
    <x v="0"/>
    <n v="921791"/>
    <n v="49"/>
    <n v="668449"/>
    <n v="852442"/>
    <n v="69"/>
    <x v="70"/>
    <n v="5.3157386001816027E-3"/>
    <n v="164.14077446938776"/>
    <n v="116.56373839130435"/>
    <n v="140.81632653061226"/>
    <n v="9.4351263182715073"/>
    <x v="70"/>
    <n v="5"/>
  </r>
  <r>
    <s v="Online Behavior&gt;United States&gt;News&gt;Technology News"/>
    <x v="2"/>
    <s v="10% Discount - Ends 6/1"/>
    <s v="Miami-Ft. Lauderdale"/>
    <x v="1"/>
    <x v="25"/>
    <x v="1"/>
    <x v="0"/>
    <n v="115412"/>
    <n v="49"/>
    <n v="71564"/>
    <n v="81785"/>
    <n v="21"/>
    <x v="71"/>
    <n v="4.2456590302568188E-2"/>
    <n v="140.03135469387755"/>
    <n v="326.73982761904762"/>
    <n v="42.857142857142854"/>
    <n v="83.897247417008003"/>
    <x v="71"/>
    <n v="4"/>
  </r>
  <r>
    <s v="Transactional&gt;Q2 Graduation Gift Shoppers"/>
    <x v="1"/>
    <s v="Sign up Today - 10% Off"/>
    <s v="Los Angeles"/>
    <x v="4"/>
    <x v="11"/>
    <x v="8"/>
    <x v="0"/>
    <n v="144088"/>
    <n v="49"/>
    <n v="26416"/>
    <n v="137369"/>
    <n v="7"/>
    <x v="72"/>
    <n v="3.4006995724834822E-2"/>
    <n v="29.878861938775511"/>
    <n v="209.15203357142857"/>
    <n v="14.285714285714285"/>
    <n v="10.657893957151904"/>
    <x v="72"/>
    <n v="2"/>
  </r>
  <r>
    <s v="Online Behavior&gt;United States&gt;Intent&gt;Shopping&gt;Fashion"/>
    <x v="1"/>
    <s v="10% Discount - Ends 6/1"/>
    <s v="Los Angeles"/>
    <x v="4"/>
    <x v="5"/>
    <x v="2"/>
    <x v="1"/>
    <n v="102958"/>
    <n v="48"/>
    <n v="86884"/>
    <n v="94687"/>
    <n v="12"/>
    <x v="73"/>
    <n v="4.6620952232949361E-2"/>
    <n v="138.00460781249998"/>
    <n v="552.01843124999994"/>
    <n v="25"/>
    <n v="69.959140906354619"/>
    <x v="73"/>
    <n v="5"/>
  </r>
  <r>
    <s v="Online Behavior&gt;United States&gt;Arts and Entertainment&gt;Events and Listings&gt;Food and Beverage Events"/>
    <x v="1"/>
    <s v="Sign up Today - 10% Off"/>
    <s v="Los Angeles"/>
    <x v="4"/>
    <x v="26"/>
    <x v="2"/>
    <x v="0"/>
    <n v="224359"/>
    <n v="48"/>
    <n v="163149"/>
    <n v="200859"/>
    <n v="5"/>
    <x v="74"/>
    <n v="2.1394283269224768E-2"/>
    <n v="87.43618285416666"/>
    <n v="839.38735539999993"/>
    <n v="10.416666666666668"/>
    <n v="20.89494011719664"/>
    <x v="74"/>
    <n v="5"/>
  </r>
  <r>
    <s v="US&gt;Brand Propensities&gt;Health&gt;Beauty and Cosmetics&gt;ULTA Buyer Propensity"/>
    <x v="0"/>
    <s v="Sign up Now - 10% Off"/>
    <s v="Toledo"/>
    <x v="7"/>
    <x v="26"/>
    <x v="2"/>
    <x v="0"/>
    <n v="198754"/>
    <n v="48"/>
    <n v="137649"/>
    <n v="178415"/>
    <n v="4"/>
    <x v="75"/>
    <n v="2.4150457349286052E-2"/>
    <n v="37.564197854166665"/>
    <n v="450.77037424999997"/>
    <n v="8.3333333333333321"/>
    <n v="10.10610933497744"/>
    <x v="75"/>
    <n v="5"/>
  </r>
  <r>
    <s v="Online Behavior&gt;United States&gt;Travel&gt;Tourist Destinations&gt;Regional Parks and Gardens"/>
    <x v="1"/>
    <s v="Subscribe Today - 10% Discount"/>
    <s v="Los Angeles"/>
    <x v="4"/>
    <x v="0"/>
    <x v="2"/>
    <x v="1"/>
    <n v="48211"/>
    <n v="47"/>
    <n v="30157"/>
    <n v="43810"/>
    <n v="13"/>
    <x v="76"/>
    <n v="9.7488125116674623E-2"/>
    <n v="142.73326278723405"/>
    <n v="516.03564238461536"/>
    <n v="27.659574468085108"/>
    <n v="153.12630337822418"/>
    <x v="76"/>
    <n v="5"/>
  </r>
  <r>
    <s v="Online Behavior&gt;United States&gt;Beauty and Fitness&gt;Spas and Beauty Services&gt;Massage Therapy"/>
    <x v="1"/>
    <s v="10% Discount - Ends 6/1"/>
    <s v="San Francisco"/>
    <x v="4"/>
    <x v="4"/>
    <x v="2"/>
    <x v="0"/>
    <n v="109128"/>
    <n v="47"/>
    <n v="38487"/>
    <n v="90615"/>
    <n v="3"/>
    <x v="77"/>
    <n v="4.3068689978740561E-2"/>
    <n v="109.64079157446808"/>
    <n v="1717.7057346666668"/>
    <n v="6.3829787234042552"/>
    <n v="56.868258058820288"/>
    <x v="77"/>
    <n v="5"/>
  </r>
  <r>
    <s v="Online Behavior&gt;United States&gt;Validated Demographic&gt;Age&gt;25-34"/>
    <x v="0"/>
    <s v="10% Discount - Ends 6/1"/>
    <s v="Panama City"/>
    <x v="1"/>
    <x v="9"/>
    <x v="3"/>
    <x v="0"/>
    <n v="190592"/>
    <n v="47"/>
    <n v="28906"/>
    <n v="172515"/>
    <n v="30"/>
    <x v="78"/>
    <n v="2.466000671591672E-2"/>
    <n v="100.89463331914892"/>
    <n v="158.06825886666667"/>
    <n v="63.829787234042556"/>
    <n v="27.487741738399556"/>
    <x v="78"/>
    <n v="5"/>
  </r>
  <r>
    <s v="Real Estate&gt;Rent Amount&gt;Sensible Rentals ($1000-$3000)"/>
    <x v="1"/>
    <s v="10% Discount - Ends 6/1"/>
    <s v="Los Angeles"/>
    <x v="4"/>
    <x v="27"/>
    <x v="10"/>
    <x v="1"/>
    <n v="49415"/>
    <n v="47"/>
    <n v="24692"/>
    <n v="45565"/>
    <n v="3"/>
    <x v="79"/>
    <n v="9.5112819993928968E-2"/>
    <n v="31.30161123404255"/>
    <n v="490.39190933333333"/>
    <n v="6.3829787234042552"/>
    <n v="32.287407615494345"/>
    <x v="79"/>
    <n v="3"/>
  </r>
  <r>
    <s v="Online Behavior&gt;United States&gt;Games&gt;Educational Games"/>
    <x v="2"/>
    <s v="Sign up Today - 10% Off"/>
    <s v="Miami-Ft. Lauderdale"/>
    <x v="1"/>
    <x v="28"/>
    <x v="2"/>
    <x v="0"/>
    <n v="119280"/>
    <n v="46"/>
    <n v="55665"/>
    <n v="112913"/>
    <n v="23"/>
    <x v="80"/>
    <n v="3.8564721663313213E-2"/>
    <n v="141.14513789130436"/>
    <n v="282.29027578260872"/>
    <n v="50"/>
    <n v="57.501583900879439"/>
    <x v="80"/>
    <n v="4"/>
  </r>
  <r>
    <s v="Online Behavior&gt;United States&gt;Validated Demographic&gt;Gender and Age Combined&gt;Females 55-64"/>
    <x v="1"/>
    <s v="Subscribe Today - 10% Discount"/>
    <s v="Los Angeles"/>
    <x v="4"/>
    <x v="29"/>
    <x v="2"/>
    <x v="0"/>
    <n v="52006"/>
    <n v="45"/>
    <n v="24711"/>
    <n v="48019"/>
    <n v="8"/>
    <x v="81"/>
    <n v="8.6528477483367311E-2"/>
    <n v="115.5557804"/>
    <n v="650.00126475000002"/>
    <n v="17.777777777777779"/>
    <n v="108.29067906453696"/>
    <x v="81"/>
    <n v="5"/>
  </r>
  <r>
    <s v="US Interest&gt;Computers"/>
    <x v="1"/>
    <s v="Subscribe Today - 10% Discount"/>
    <s v="West Palm Beach-Ft. Pierce"/>
    <x v="1"/>
    <x v="7"/>
    <x v="5"/>
    <x v="2"/>
    <n v="73567"/>
    <n v="45"/>
    <n v="28800"/>
    <n v="68566"/>
    <n v="2"/>
    <x v="82"/>
    <n v="6.116873054494542E-2"/>
    <n v="34.83035713333333"/>
    <n v="783.68303549999996"/>
    <n v="4.4444444444444446"/>
    <n v="22.859231557914999"/>
    <x v="82"/>
    <n v="2"/>
  </r>
  <r>
    <s v="Online Behavior&gt;United States&gt;Intent&gt;Auto Buyers&gt;Category&gt;Sport Cars"/>
    <x v="0"/>
    <s v="Sign up Today - 10% Off"/>
    <s v="Augusta"/>
    <x v="8"/>
    <x v="30"/>
    <x v="2"/>
    <x v="0"/>
    <n v="81567"/>
    <n v="44"/>
    <n v="53264"/>
    <n v="68123"/>
    <n v="4"/>
    <x v="83"/>
    <n v="5.3943383966555104E-2"/>
    <n v="145.28345352272729"/>
    <n v="1598.11798875"/>
    <n v="9.0909090909090917"/>
    <n v="93.837205569337826"/>
    <x v="83"/>
    <n v="6"/>
  </r>
  <r>
    <s v="US&gt;Green Consumer Audience"/>
    <x v="0"/>
    <s v="Subscribe Today - 10% Discount"/>
    <s v="Miami-Ft. Lauderdale"/>
    <x v="1"/>
    <x v="0"/>
    <x v="10"/>
    <x v="0"/>
    <n v="69540"/>
    <n v="44"/>
    <n v="28713"/>
    <n v="62829"/>
    <n v="15"/>
    <x v="84"/>
    <n v="6.3272936439459304E-2"/>
    <n v="41.795175681818186"/>
    <n v="122.599182"/>
    <n v="34.090909090909086"/>
    <n v="29.269727832688726"/>
    <x v="84"/>
    <n v="2"/>
  </r>
  <r>
    <s v="US Travel&gt;Likely Business Travel&gt;Number of Nights Stayed&gt;0 Nights"/>
    <x v="2"/>
    <s v="Sign up Today - 10% Off"/>
    <s v="Ft. Myers-Naples"/>
    <x v="1"/>
    <x v="24"/>
    <x v="2"/>
    <x v="0"/>
    <n v="81054"/>
    <n v="44"/>
    <n v="56762"/>
    <n v="76198"/>
    <n v="16"/>
    <x v="85"/>
    <n v="5.4284797789128231E-2"/>
    <n v="34.826314568181822"/>
    <n v="95.7723650625"/>
    <n v="36.363636363636367"/>
    <n v="20.110210779810494"/>
    <x v="85"/>
    <n v="4"/>
  </r>
  <r>
    <s v="Online Behavior&gt;United States&gt;Finance&gt;Investing&gt;Investing"/>
    <x v="0"/>
    <s v="Subscribe Today - 10% Discount"/>
    <s v="Miami-Ft. Lauderdale"/>
    <x v="1"/>
    <x v="4"/>
    <x v="2"/>
    <x v="0"/>
    <n v="1222302"/>
    <n v="42"/>
    <n v="553773"/>
    <n v="1120128"/>
    <n v="42"/>
    <x v="86"/>
    <n v="3.4361393501769612E-3"/>
    <n v="187.63739061904761"/>
    <n v="187.63739061904761"/>
    <n v="100"/>
    <n v="7.035598079862301"/>
    <x v="86"/>
    <n v="5"/>
  </r>
  <r>
    <s v="Online Behavior&gt;United States&gt;Home and Garden&gt;Home Furnishings"/>
    <x v="0"/>
    <s v="Sign up Now - 10% Off"/>
    <s v="Chicago"/>
    <x v="2"/>
    <x v="7"/>
    <x v="2"/>
    <x v="0"/>
    <n v="25377"/>
    <n v="42"/>
    <n v="16698"/>
    <n v="23798"/>
    <n v="2"/>
    <x v="87"/>
    <n v="0.16550419671355954"/>
    <n v="123.21768854761905"/>
    <n v="2587.5714594999999"/>
    <n v="4.7619047619047619"/>
    <n v="217.46125384486089"/>
    <x v="87"/>
    <n v="4"/>
  </r>
  <r>
    <s v="Online Behavior&gt;United States&gt;Finance&gt;Financial Planning and Management&gt;Inheritance and Estate Planning"/>
    <x v="0"/>
    <s v="Sign up Today - 10% Off"/>
    <s v="Chicago"/>
    <x v="2"/>
    <x v="31"/>
    <x v="8"/>
    <x v="0"/>
    <n v="115673"/>
    <n v="41"/>
    <n v="52475"/>
    <n v="97166"/>
    <n v="22"/>
    <x v="88"/>
    <n v="3.5444745100412366E-2"/>
    <n v="123.07165682926829"/>
    <n v="229.360815"/>
    <n v="53.658536585365859"/>
    <n v="51.931106868657764"/>
    <x v="88"/>
    <n v="5"/>
  </r>
  <r>
    <s v="Online Behavior&gt;United States&gt;Intent&gt;Auto Buyers&gt;Car Make&gt;Dodge"/>
    <x v="0"/>
    <s v="Subscribe Today - 10% Discount"/>
    <s v="Champaign &amp; Springfield-Decatur"/>
    <x v="9"/>
    <x v="32"/>
    <x v="2"/>
    <x v="0"/>
    <n v="138904"/>
    <n v="41"/>
    <n v="98952"/>
    <n v="120688"/>
    <n v="25"/>
    <x v="89"/>
    <n v="2.9516788573403212E-2"/>
    <n v="122.89377375609756"/>
    <n v="201.54578895999998"/>
    <n v="60.975609756097562"/>
    <n v="41.749343132705818"/>
    <x v="89"/>
    <n v="6"/>
  </r>
  <r>
    <s v="OnAudience&gt;Demography"/>
    <x v="1"/>
    <s v="10% Discount - Ends 6/1"/>
    <s v="Nashville"/>
    <x v="5"/>
    <x v="33"/>
    <x v="2"/>
    <x v="2"/>
    <n v="6363"/>
    <n v="41"/>
    <n v="4274"/>
    <n v="5919"/>
    <n v="1"/>
    <x v="90"/>
    <n v="0.64435014930064438"/>
    <n v="50.151352195121959"/>
    <n v="2056.2054400000002"/>
    <n v="2.4390243902439024"/>
    <n v="347.39068085825306"/>
    <x v="90"/>
    <n v="2"/>
  </r>
  <r>
    <s v="Media and Entertainment&gt;Connected TV and Over-the-Top (CTV and OTT)"/>
    <x v="1"/>
    <s v="Sign up Today - 10% Off"/>
    <s v="Chicago"/>
    <x v="2"/>
    <x v="34"/>
    <x v="2"/>
    <x v="0"/>
    <n v="756687"/>
    <n v="40"/>
    <n v="442979"/>
    <n v="611813"/>
    <n v="4"/>
    <x v="91"/>
    <n v="5.2862015602223901E-3"/>
    <n v="61.324937599999998"/>
    <n v="613.24937599999998"/>
    <n v="10"/>
    <n v="4.0093909478876721"/>
    <x v="91"/>
    <n v="2"/>
  </r>
  <r>
    <s v="Real Estate&gt;Lot Size&gt;Cozy Outdoor Living Space (Less than an Acre)"/>
    <x v="1"/>
    <s v="Sign up Now - 10% Off"/>
    <s v="New York City"/>
    <x v="0"/>
    <x v="12"/>
    <x v="4"/>
    <x v="0"/>
    <n v="232635"/>
    <n v="40"/>
    <n v="34008"/>
    <n v="195803"/>
    <n v="39"/>
    <x v="92"/>
    <n v="1.7194317278139575E-2"/>
    <n v="44.349797049999999"/>
    <n v="45.486971333333337"/>
    <n v="97.5"/>
    <n v="9.0600853000209387"/>
    <x v="92"/>
    <n v="3"/>
  </r>
  <r>
    <s v="Online Behavior&gt;United States&gt;Finance&gt;Insurance&gt;Home Insurance"/>
    <x v="1"/>
    <s v="Sign up Today - 10% Off"/>
    <s v="West Palm Beach-Ft. Pierce"/>
    <x v="1"/>
    <x v="22"/>
    <x v="2"/>
    <x v="0"/>
    <n v="53464"/>
    <n v="39"/>
    <n v="22151"/>
    <n v="49058"/>
    <n v="4"/>
    <x v="93"/>
    <n v="7.2946281610055369E-2"/>
    <n v="147.20764217948718"/>
    <n v="1435.2745112499999"/>
    <n v="10.256410256410255"/>
    <n v="117.02674477149495"/>
    <x v="93"/>
    <n v="5"/>
  </r>
  <r>
    <s v="US&gt;Brand Propensities&gt;Automotive&gt;Tirerack.com Buyer Propensity"/>
    <x v="1"/>
    <s v="Sign up Today - 10% Off"/>
    <s v="Nashville"/>
    <x v="5"/>
    <x v="6"/>
    <x v="2"/>
    <x v="0"/>
    <n v="482834"/>
    <n v="39"/>
    <n v="292059"/>
    <n v="428761"/>
    <n v="7"/>
    <x v="94"/>
    <n v="8.0773102142765417E-3"/>
    <n v="40.883676846153847"/>
    <n v="227.78048528571429"/>
    <n v="17.948717948717949"/>
    <n v="3.7187696572216224"/>
    <x v="94"/>
    <n v="4"/>
  </r>
  <r>
    <s v="Online Behavior&gt;United States&gt;The Changing Consumer&gt;Trending TV Shows"/>
    <x v="0"/>
    <s v="10% Discount - Ends 6/1"/>
    <s v="Jacksonville"/>
    <x v="1"/>
    <x v="5"/>
    <x v="8"/>
    <x v="0"/>
    <n v="113262"/>
    <n v="38"/>
    <n v="95762"/>
    <n v="104612"/>
    <n v="4"/>
    <x v="95"/>
    <n v="3.3550528862283907E-2"/>
    <n v="195.8811377105263"/>
    <n v="1860.87080825"/>
    <n v="10.526315789473683"/>
    <n v="71.153244685122175"/>
    <x v="95"/>
    <n v="4"/>
  </r>
  <r>
    <s v="Mobile - US&gt;Demographics&gt;Education&gt;High Education Achievement"/>
    <x v="1"/>
    <s v="Sign up Today - 10% Off"/>
    <s v="Los Angeles"/>
    <x v="4"/>
    <x v="8"/>
    <x v="2"/>
    <x v="1"/>
    <n v="74164"/>
    <n v="38"/>
    <n v="25104"/>
    <n v="61242"/>
    <n v="19"/>
    <x v="96"/>
    <n v="5.123779731406073E-2"/>
    <n v="50.060564289473689"/>
    <n v="100.12112857894738"/>
    <n v="50"/>
    <n v="31.062039825609876"/>
    <x v="96"/>
    <n v="4"/>
  </r>
  <r>
    <s v="US&gt;Interest Propensities&gt;TV and Movies&gt;Drama"/>
    <x v="1"/>
    <s v="10% Discount - Ends 6/1"/>
    <s v="Los Angeles"/>
    <x v="4"/>
    <x v="8"/>
    <x v="5"/>
    <x v="0"/>
    <n v="556152"/>
    <n v="38"/>
    <n v="221833"/>
    <n v="480882"/>
    <n v="7"/>
    <x v="97"/>
    <n v="6.8326644514449296E-3"/>
    <n v="47.844738"/>
    <n v="259.72857771428573"/>
    <n v="18.421052631578945"/>
    <n v="3.7807612761550651"/>
    <x v="97"/>
    <n v="4"/>
  </r>
  <r>
    <s v="OnAudience&gt;Interest&gt;Social life"/>
    <x v="1"/>
    <s v="10% Discount - Ends 6/1"/>
    <s v="New York City"/>
    <x v="0"/>
    <x v="24"/>
    <x v="1"/>
    <x v="0"/>
    <n v="83537"/>
    <n v="38"/>
    <n v="67987"/>
    <n v="79409"/>
    <n v="3"/>
    <x v="98"/>
    <n v="4.5488825310940062E-2"/>
    <n v="46.344192710526315"/>
    <n v="587.02644099999998"/>
    <n v="7.8947368421052628"/>
    <n v="22.177326537294263"/>
    <x v="98"/>
    <n v="3"/>
  </r>
  <r>
    <s v="Online Behavior&gt;United States&gt;Intent&gt;Services&gt;Photography"/>
    <x v="2"/>
    <s v="10% Discount - Ends 6/1"/>
    <s v="Chicago"/>
    <x v="2"/>
    <x v="26"/>
    <x v="2"/>
    <x v="0"/>
    <n v="100058"/>
    <n v="37"/>
    <n v="73422"/>
    <n v="91976"/>
    <n v="2"/>
    <x v="99"/>
    <n v="3.697855243958504E-2"/>
    <n v="157.60069710810811"/>
    <n v="2915.6128964999998"/>
    <n v="5.4054054054054053"/>
    <n v="63.399428035574495"/>
    <x v="99"/>
    <n v="5"/>
  </r>
  <r>
    <s v="Online Behavior&gt;United States&gt;Autos and Vehicles&gt;Brands&gt;BMW"/>
    <x v="2"/>
    <s v="Sign up Now - 10% Off"/>
    <s v="West Palm Beach-Ft. Pierce"/>
    <x v="1"/>
    <x v="28"/>
    <x v="0"/>
    <x v="0"/>
    <n v="88022"/>
    <n v="37"/>
    <n v="45972"/>
    <n v="83922"/>
    <n v="11"/>
    <x v="100"/>
    <n v="4.2034945809002293E-2"/>
    <n v="153.22012864864865"/>
    <n v="515.37679636363634"/>
    <n v="29.72972972972973"/>
    <n v="67.552545935511546"/>
    <x v="100"/>
    <n v="5"/>
  </r>
  <r>
    <s v="US&gt;Brand Propensities&gt;Apparel&gt;Bare Necessities Buyer Propensity"/>
    <x v="0"/>
    <s v="Subscribe Today - 10% Discount"/>
    <s v="San Francisco"/>
    <x v="4"/>
    <x v="26"/>
    <x v="1"/>
    <x v="0"/>
    <n v="186702"/>
    <n v="37"/>
    <n v="132038"/>
    <n v="167406"/>
    <n v="4"/>
    <x v="101"/>
    <n v="1.9817677368212445E-2"/>
    <n v="42.398270810810814"/>
    <n v="392.18400500000001"/>
    <n v="10.810810810810811"/>
    <n v="9.3708470425193831"/>
    <x v="101"/>
    <n v="4"/>
  </r>
  <r>
    <s v="Online Behavior&gt;United States&gt;News&gt;Business News"/>
    <x v="0"/>
    <s v="Subscribe Today - 10% Discount"/>
    <s v="Knoxville"/>
    <x v="5"/>
    <x v="35"/>
    <x v="3"/>
    <x v="0"/>
    <n v="44505"/>
    <n v="36"/>
    <n v="18993"/>
    <n v="39522"/>
    <n v="1"/>
    <x v="102"/>
    <n v="8.0889787664307378E-2"/>
    <n v="187.95764911111112"/>
    <n v="6766.4753680000003"/>
    <n v="2.7777777777777777"/>
    <n v="171.20781762056578"/>
    <x v="102"/>
    <n v="4"/>
  </r>
  <r>
    <s v="Online Behavior&gt;United States&gt;Validated Demographic&gt;Gender and Age Combined&gt;Males 25-64"/>
    <x v="1"/>
    <s v="10% Discount - Ends 6/1"/>
    <s v="Chicago"/>
    <x v="2"/>
    <x v="1"/>
    <x v="8"/>
    <x v="2"/>
    <n v="48707"/>
    <n v="36"/>
    <n v="25182"/>
    <n v="44696"/>
    <n v="13"/>
    <x v="103"/>
    <n v="7.3911347444925779E-2"/>
    <n v="155.56543452777777"/>
    <n v="430.79658792307691"/>
    <n v="36.111111111111107"/>
    <n v="125.29881069894397"/>
    <x v="103"/>
    <n v="5"/>
  </r>
  <r>
    <s v="Mobile - US&gt;Food&gt;Restaurant&gt;Brand&gt;Chilis"/>
    <x v="1"/>
    <s v="Sign up Now - 10% Off"/>
    <s v="San Francisco"/>
    <x v="4"/>
    <x v="5"/>
    <x v="1"/>
    <x v="2"/>
    <n v="87245"/>
    <n v="35"/>
    <n v="71903"/>
    <n v="80390"/>
    <n v="2"/>
    <x v="104"/>
    <n v="4.0116912143962402E-2"/>
    <n v="42.881107742857139"/>
    <n v="750.41938549999998"/>
    <n v="5.7142857142857144"/>
    <n v="18.669470966538125"/>
    <x v="104"/>
    <n v="5"/>
  </r>
  <r>
    <s v="Online Behavior&gt;United States&gt;Arts and Entertainment&gt;Events and Listings&gt;Film Festivals"/>
    <x v="0"/>
    <s v="Sign up Now - 10% Off"/>
    <s v="Los Angeles"/>
    <x v="4"/>
    <x v="11"/>
    <x v="2"/>
    <x v="0"/>
    <n v="405957"/>
    <n v="34"/>
    <n v="204189"/>
    <n v="385654"/>
    <n v="16"/>
    <x v="105"/>
    <n v="8.3752712725732037E-3"/>
    <n v="172.47430861764704"/>
    <n v="366.50790581249998"/>
    <n v="47.058823529411761"/>
    <n v="15.205667497290317"/>
    <x v="105"/>
    <n v="5"/>
  </r>
  <r>
    <s v="US&gt;B2B&gt;Purchase DM&gt;Technology Services, Hardware and&gt;or Software&gt;I am the sole decision maker"/>
    <x v="0"/>
    <s v="Subscribe Today - 10% Discount"/>
    <s v="Chicago"/>
    <x v="2"/>
    <x v="36"/>
    <x v="11"/>
    <x v="0"/>
    <n v="56927"/>
    <n v="34"/>
    <n v="20980"/>
    <n v="55050"/>
    <n v="2"/>
    <x v="106"/>
    <n v="5.9725613505015193E-2"/>
    <n v="72.4653505"/>
    <n v="1231.9109585000001"/>
    <n v="5.8823529411764701"/>
    <n v="44.756074786557683"/>
    <x v="106"/>
    <n v="6"/>
  </r>
  <r>
    <s v="Lotame&gt;Personal Finance&gt;Estate Planning"/>
    <x v="0"/>
    <s v="Subscribe Today - 10% Discount"/>
    <s v="Los Angeles"/>
    <x v="4"/>
    <x v="37"/>
    <x v="2"/>
    <x v="0"/>
    <n v="59782"/>
    <n v="34"/>
    <n v="28235"/>
    <n v="57543"/>
    <n v="13"/>
    <x v="107"/>
    <n v="5.6873306346391886E-2"/>
    <n v="42.814810411764704"/>
    <n v="111.97719646153845"/>
    <n v="38.235294117647058"/>
    <n v="25.297665293780302"/>
    <x v="107"/>
    <n v="3"/>
  </r>
  <r>
    <s v="Online Behavior&gt;United States&gt;Intent&gt;Auto Buyers&gt;Type&gt;Luxury"/>
    <x v="0"/>
    <s v="Sign up Now - 10% Off"/>
    <s v="Los Angeles"/>
    <x v="4"/>
    <x v="38"/>
    <x v="5"/>
    <x v="0"/>
    <n v="14489"/>
    <n v="33"/>
    <n v="12453"/>
    <n v="13873"/>
    <n v="1"/>
    <x v="108"/>
    <n v="0.22775898957830076"/>
    <n v="187.75274951515152"/>
    <n v="6195.8407340000003"/>
    <n v="3.0303030303030303"/>
    <n v="446.61145635406905"/>
    <x v="108"/>
    <n v="6"/>
  </r>
  <r>
    <s v="Online Behavior&gt;United States&gt;Beauty and Fitness&gt;Spas and Beauty Services"/>
    <x v="0"/>
    <s v="Sign up Today - 10% Off"/>
    <s v="Chicago"/>
    <x v="2"/>
    <x v="8"/>
    <x v="5"/>
    <x v="0"/>
    <n v="888037"/>
    <n v="32"/>
    <n v="370429"/>
    <n v="820340"/>
    <n v="42"/>
    <x v="109"/>
    <n v="3.6034534597094493E-3"/>
    <n v="254.19845387500001"/>
    <n v="193.67501247619049"/>
    <n v="131.25"/>
    <n v="9.9158282224443521"/>
    <x v="109"/>
    <n v="4"/>
  </r>
  <r>
    <s v="Online Behavior&gt;United States&gt;B2B&gt;Occupation&gt;Student"/>
    <x v="1"/>
    <s v="10% Discount - Ends 6/1"/>
    <s v="San Francisco"/>
    <x v="4"/>
    <x v="11"/>
    <x v="2"/>
    <x v="1"/>
    <n v="39163"/>
    <n v="32"/>
    <n v="16254"/>
    <n v="36526"/>
    <n v="15"/>
    <x v="110"/>
    <n v="8.1709777085514385E-2"/>
    <n v="177.89893165625"/>
    <n v="379.51772086666665"/>
    <n v="46.875"/>
    <n v="155.8551665389038"/>
    <x v="110"/>
    <n v="5"/>
  </r>
  <r>
    <s v="Media and Entertainment&gt;Television (TV)&gt;Viewership&gt;TV Genres&gt;Drama"/>
    <x v="1"/>
    <s v="Sign up Today - 10% Off"/>
    <s v="Orlando-Daytona Beach"/>
    <x v="1"/>
    <x v="39"/>
    <x v="3"/>
    <x v="1"/>
    <n v="16325"/>
    <n v="32"/>
    <n v="9558"/>
    <n v="15426"/>
    <n v="21"/>
    <x v="111"/>
    <n v="0.19601837672281774"/>
    <n v="56.690580656249999"/>
    <n v="86.385646714285713"/>
    <n v="65.625"/>
    <n v="117.60006359393232"/>
    <x v="111"/>
    <n v="5"/>
  </r>
  <r>
    <s v="Lotame&gt;Social Media"/>
    <x v="1"/>
    <s v="Sign up Now - 10% Off"/>
    <s v="Chicago"/>
    <x v="2"/>
    <x v="4"/>
    <x v="2"/>
    <x v="0"/>
    <n v="554980"/>
    <n v="32"/>
    <n v="323498"/>
    <n v="467646"/>
    <n v="8"/>
    <x v="112"/>
    <n v="5.7659735485963461E-3"/>
    <n v="50.024049625000004"/>
    <n v="200.09619850000001"/>
    <n v="25"/>
    <n v="3.4230370579455403"/>
    <x v="112"/>
    <n v="2"/>
  </r>
  <r>
    <s v="Online Behavior&gt;United States&gt;Travel&gt;Travel"/>
    <x v="0"/>
    <s v="Subscribe Today - 10% Discount"/>
    <s v="New York City"/>
    <x v="0"/>
    <x v="10"/>
    <x v="2"/>
    <x v="0"/>
    <n v="272509"/>
    <n v="31"/>
    <n v="89526"/>
    <n v="237859"/>
    <n v="69"/>
    <x v="113"/>
    <n v="1.1375771075450718E-2"/>
    <n v="263.49506700000001"/>
    <n v="118.38184169565218"/>
    <n v="222.58064516129031"/>
    <n v="34.341130993571824"/>
    <x v="113"/>
    <n v="4"/>
  </r>
  <r>
    <s v="Online Behavior&gt;United States&gt;Beauty and Fitness&gt;Face and Body Care&gt;Skin and Nail Care"/>
    <x v="2"/>
    <s v="10% Discount - Ends 6/1"/>
    <s v="Los Angeles"/>
    <x v="4"/>
    <x v="40"/>
    <x v="1"/>
    <x v="0"/>
    <n v="100800"/>
    <n v="29"/>
    <n v="14473"/>
    <n v="85424"/>
    <n v="3"/>
    <x v="114"/>
    <n v="2.8769841269841268E-2"/>
    <n v="241.54243044827587"/>
    <n v="2334.9101610000002"/>
    <n v="10.344827586206897"/>
    <n v="81.999560814291058"/>
    <x v="114"/>
    <n v="5"/>
  </r>
  <r>
    <s v="US&gt;Interest Propensities&gt;Activities and Interests&gt;National News"/>
    <x v="0"/>
    <s v="10% Discount - Ends 6/1"/>
    <s v="New York City"/>
    <x v="0"/>
    <x v="3"/>
    <x v="1"/>
    <x v="0"/>
    <n v="20486"/>
    <n v="29"/>
    <n v="14583"/>
    <n v="19860"/>
    <n v="1"/>
    <x v="115"/>
    <n v="0.14156008981743629"/>
    <n v="59.259095241379313"/>
    <n v="1718.513762"/>
    <n v="3.4482758620689653"/>
    <n v="86.531407955689843"/>
    <x v="115"/>
    <n v="4"/>
  </r>
  <r>
    <s v="Media &amp; Entertainment"/>
    <x v="1"/>
    <s v="Subscribe Today - 10% Discount"/>
    <s v="Chicago"/>
    <x v="2"/>
    <x v="8"/>
    <x v="2"/>
    <x v="0"/>
    <n v="421110"/>
    <n v="29"/>
    <n v="212140"/>
    <n v="389474"/>
    <n v="4"/>
    <x v="116"/>
    <n v="6.8865617059675624E-3"/>
    <n v="56.411041931034482"/>
    <n v="408.980054"/>
    <n v="13.793103448275861"/>
    <n v="4.2003322840549044"/>
    <x v="116"/>
    <n v="1"/>
  </r>
  <r>
    <s v="US&gt;Multibuyer Behaviors&gt;Club&gt;Continuity Buyers"/>
    <x v="0"/>
    <s v="Subscribe Today - 10% Discount"/>
    <s v="Miami-Ft. Lauderdale"/>
    <x v="1"/>
    <x v="41"/>
    <x v="8"/>
    <x v="0"/>
    <n v="12692"/>
    <n v="29"/>
    <n v="9048"/>
    <n v="12326"/>
    <n v="14"/>
    <x v="117"/>
    <n v="0.2284903876457611"/>
    <n v="53.16274475862069"/>
    <n v="110.12282842857142"/>
    <n v="48.275862068965516"/>
    <n v="125.07866282654551"/>
    <x v="117"/>
    <n v="4"/>
  </r>
  <r>
    <s v="Mobile - US&gt;Demographics&gt;Finance&gt;Rent Value&gt;Lowest Rent Value"/>
    <x v="0"/>
    <s v="10% Discount - Ends 6/1"/>
    <s v="Charleston"/>
    <x v="10"/>
    <x v="5"/>
    <x v="2"/>
    <x v="0"/>
    <n v="55274"/>
    <n v="29"/>
    <n v="47583"/>
    <n v="51275"/>
    <n v="3"/>
    <x v="118"/>
    <n v="5.2465897166841552E-2"/>
    <n v="52.853720862068961"/>
    <n v="510.91930166666663"/>
    <n v="10.344827586206897"/>
    <n v="29.892889419795221"/>
    <x v="118"/>
    <n v="5"/>
  </r>
  <r>
    <s v="Online Behavior&gt;United States&gt;Sports&gt;Individual Sports&gt;Skate Sports"/>
    <x v="0"/>
    <s v="Sign up Today - 10% Off"/>
    <s v="Charleston"/>
    <x v="10"/>
    <x v="42"/>
    <x v="9"/>
    <x v="0"/>
    <n v="117879"/>
    <n v="28"/>
    <n v="52098"/>
    <n v="86127"/>
    <n v="1"/>
    <x v="119"/>
    <n v="2.3753170624114559E-2"/>
    <n v="182.23952603571431"/>
    <n v="5102.7067290000005"/>
    <n v="3.5714285714285712"/>
    <n v="59.246307534222723"/>
    <x v="119"/>
    <n v="5"/>
  </r>
  <r>
    <s v="Online Behavior&gt;United States&gt;Finance&gt;Insurance&gt;Travel Insurance"/>
    <x v="1"/>
    <s v="10% Discount - Ends 6/1"/>
    <s v="Nashville"/>
    <x v="5"/>
    <x v="12"/>
    <x v="4"/>
    <x v="0"/>
    <n v="61574"/>
    <n v="28"/>
    <n v="18717"/>
    <n v="46367"/>
    <n v="4"/>
    <x v="120"/>
    <n v="4.5473738915776142E-2"/>
    <n v="178.55947160714285"/>
    <n v="1249.9163012500001"/>
    <n v="14.285714285714285"/>
    <n v="107.82809336381479"/>
    <x v="120"/>
    <n v="5"/>
  </r>
  <r>
    <s v="Tech Enthusiasts"/>
    <x v="0"/>
    <s v="Sign up Today - 10% Off"/>
    <s v="Miami-Ft. Lauderdale"/>
    <x v="1"/>
    <x v="7"/>
    <x v="2"/>
    <x v="0"/>
    <n v="29092"/>
    <n v="28"/>
    <n v="16986"/>
    <n v="26606"/>
    <n v="15"/>
    <x v="121"/>
    <n v="9.6246390760346495E-2"/>
    <n v="64.32350396428572"/>
    <n v="120.07054073333333"/>
    <n v="53.571428571428569"/>
    <n v="67.693682289709102"/>
    <x v="121"/>
    <n v="1"/>
  </r>
  <r>
    <s v="OnAudience&gt;Intent&gt;Animals &amp; Pet"/>
    <x v="1"/>
    <s v="Subscribe Today - 10% Discount"/>
    <s v="New York City"/>
    <x v="0"/>
    <x v="43"/>
    <x v="3"/>
    <x v="0"/>
    <n v="75161"/>
    <n v="28"/>
    <n v="40385"/>
    <n v="70325"/>
    <n v="3"/>
    <x v="122"/>
    <n v="3.7253362781229628E-2"/>
    <n v="53.802182428571427"/>
    <n v="502.15370266666667"/>
    <n v="10.714285714285714"/>
    <n v="21.421416395307499"/>
    <x v="122"/>
    <n v="3"/>
  </r>
  <r>
    <s v="Online Behavior&gt;United States&gt;Sports&gt;Team Sports&gt;American Football"/>
    <x v="0"/>
    <s v="Sign up Today - 10% Off"/>
    <s v="Nashville"/>
    <x v="5"/>
    <x v="4"/>
    <x v="5"/>
    <x v="0"/>
    <n v="458931"/>
    <n v="27"/>
    <n v="264325"/>
    <n v="378011"/>
    <n v="30"/>
    <x v="123"/>
    <n v="5.8832373494054659E-3"/>
    <n v="276.39547907407405"/>
    <n v="248.75593116666667"/>
    <n v="111.11111111111111"/>
    <n v="19.741959718103441"/>
    <x v="123"/>
    <n v="5"/>
  </r>
  <r>
    <s v="Online Behavior&gt;United States&gt;Autos and Vehicles&gt;Brands&gt;Mercedes-Benz"/>
    <x v="0"/>
    <s v="Subscribe Today - 10% Discount"/>
    <s v="Nashville"/>
    <x v="5"/>
    <x v="17"/>
    <x v="5"/>
    <x v="0"/>
    <n v="23965"/>
    <n v="27"/>
    <n v="13608"/>
    <n v="21704"/>
    <n v="1"/>
    <x v="124"/>
    <n v="0.11266430210723971"/>
    <n v="211.36534877777777"/>
    <n v="5706.8644169999998"/>
    <n v="3.7037037037037033"/>
    <n v="262.94067531330626"/>
    <x v="124"/>
    <n v="5"/>
  </r>
  <r>
    <s v="Online Behavior&gt;United States&gt;The Changing Consumer&gt;Delivery Services and Quick Service Restaurants"/>
    <x v="1"/>
    <s v="Subscribe Today - 10% Discount"/>
    <s v="Los Angeles"/>
    <x v="4"/>
    <x v="26"/>
    <x v="5"/>
    <x v="0"/>
    <n v="103665"/>
    <n v="27"/>
    <n v="77283"/>
    <n v="94019"/>
    <n v="4"/>
    <x v="125"/>
    <n v="2.6045434814064534E-2"/>
    <n v="195.729095"/>
    <n v="1321.1713912499999"/>
    <n v="14.814814814814813"/>
    <n v="56.208697869579552"/>
    <x v="125"/>
    <n v="4"/>
  </r>
  <r>
    <s v="US&gt;Interest Propensities&gt;Brands&gt;Quick Service Restaurants"/>
    <x v="0"/>
    <s v="Sign up Now - 10% Off"/>
    <s v="Ft. Myers-Naples"/>
    <x v="1"/>
    <x v="17"/>
    <x v="1"/>
    <x v="0"/>
    <n v="213699"/>
    <n v="27"/>
    <n v="18395"/>
    <n v="164487"/>
    <n v="4"/>
    <x v="126"/>
    <n v="1.2634593517049682E-2"/>
    <n v="81.295819444444447"/>
    <n v="548.74678125000003"/>
    <n v="14.814814814814813"/>
    <n v="13.344441354027978"/>
    <x v="126"/>
    <n v="4"/>
  </r>
  <r>
    <s v="Media and Entertainment&gt;Events and Attractions"/>
    <x v="1"/>
    <s v="10% Discount - Ends 6/1"/>
    <s v="Flint-Saginaw-Bay City"/>
    <x v="6"/>
    <x v="44"/>
    <x v="5"/>
    <x v="1"/>
    <n v="70506"/>
    <n v="27"/>
    <n v="26779"/>
    <n v="48902"/>
    <n v="2"/>
    <x v="127"/>
    <n v="3.8294613224406436E-2"/>
    <n v="70.85062525925926"/>
    <n v="956.48344099999997"/>
    <n v="7.4074074074074066"/>
    <n v="39.118377203386366"/>
    <x v="127"/>
    <n v="2"/>
  </r>
  <r>
    <s v="US&gt;Brand Propensities&gt;Kids Products&gt;Disney Buyer Propensity"/>
    <x v="1"/>
    <s v="Subscribe Today - 10% Discount"/>
    <s v="New York City"/>
    <x v="0"/>
    <x v="45"/>
    <x v="2"/>
    <x v="2"/>
    <n v="50517"/>
    <n v="27"/>
    <n v="17179"/>
    <n v="48389"/>
    <n v="2"/>
    <x v="128"/>
    <n v="5.3447354355959376E-2"/>
    <n v="63.647076925925923"/>
    <n v="859.23553849999996"/>
    <n v="7.4074074074074066"/>
    <n v="35.513672053565891"/>
    <x v="128"/>
    <n v="4"/>
  </r>
  <r>
    <s v="US&gt;Interest Propensities&gt;Music&gt;Hip Hop and Rap"/>
    <x v="0"/>
    <s v="Sign up Today - 10% Off"/>
    <s v="Knoxville"/>
    <x v="5"/>
    <x v="12"/>
    <x v="2"/>
    <x v="0"/>
    <n v="254780"/>
    <n v="27"/>
    <n v="19169"/>
    <n v="182583"/>
    <n v="4"/>
    <x v="129"/>
    <n v="1.0597378130151503E-2"/>
    <n v="57.81562648148148"/>
    <n v="390.25547875000001"/>
    <n v="14.814814814814813"/>
    <n v="8.5496564028414461"/>
    <x v="129"/>
    <n v="4"/>
  </r>
  <r>
    <s v="Online Behavior&gt;United States&gt;Autos and Vehicles&gt;Vehicle Shopping&gt;Fuel Economy and Gas Prices"/>
    <x v="0"/>
    <s v="Sign up Today - 10% Off"/>
    <s v="New York City"/>
    <x v="0"/>
    <x v="3"/>
    <x v="2"/>
    <x v="0"/>
    <n v="92764"/>
    <n v="26"/>
    <n v="19625"/>
    <n v="76531"/>
    <n v="1"/>
    <x v="130"/>
    <n v="2.8028114354706569E-2"/>
    <n v="258.84663649999999"/>
    <n v="6730.012549"/>
    <n v="3.8461538461538463"/>
    <n v="87.93838508578223"/>
    <x v="130"/>
    <n v="5"/>
  </r>
  <r>
    <s v="Online Behavior&gt;United States&gt;Sports&gt;Sports League&gt;NBA"/>
    <x v="0"/>
    <s v="10% Discount - Ends 6/1"/>
    <s v="Jacksonville"/>
    <x v="1"/>
    <x v="18"/>
    <x v="4"/>
    <x v="0"/>
    <n v="149618"/>
    <n v="26"/>
    <n v="126031"/>
    <n v="140596"/>
    <n v="26"/>
    <x v="131"/>
    <n v="1.7377588258097289E-2"/>
    <n v="254.06100607692309"/>
    <n v="254.06100607692309"/>
    <n v="100"/>
    <n v="46.982746009843808"/>
    <x v="131"/>
    <n v="5"/>
  </r>
  <r>
    <s v="Online Behavior&gt;United States&gt;The Changing Consumer&gt;Virtual Events"/>
    <x v="0"/>
    <s v="10% Discount - Ends 6/1"/>
    <s v="Miami-Ft. Lauderdale"/>
    <x v="1"/>
    <x v="8"/>
    <x v="2"/>
    <x v="0"/>
    <n v="571090"/>
    <n v="26"/>
    <n v="246243"/>
    <n v="532325"/>
    <n v="11"/>
    <x v="132"/>
    <n v="4.5526974732529027E-3"/>
    <n v="182.06226088461537"/>
    <n v="430.32898027272728"/>
    <n v="42.307692307692307"/>
    <n v="8.8923473122622454"/>
    <x v="132"/>
    <n v="4"/>
  </r>
  <r>
    <s v="Online Behavior&gt;United States&gt;Finance&gt;Banking&gt;ATMs and Branch Locations"/>
    <x v="0"/>
    <s v="Subscribe Today - 10% Discount"/>
    <s v="Los Angeles"/>
    <x v="4"/>
    <x v="46"/>
    <x v="7"/>
    <x v="0"/>
    <n v="39212"/>
    <n v="26"/>
    <n v="31317"/>
    <n v="37660"/>
    <n v="1"/>
    <x v="133"/>
    <n v="6.6306232785881866E-2"/>
    <n v="139.28529626923077"/>
    <n v="3621.4177030000001"/>
    <n v="3.8461538461538463"/>
    <n v="96.160852442910254"/>
    <x v="133"/>
    <n v="5"/>
  </r>
  <r>
    <s v="Mobile - US&gt;Travel&gt;Activity&gt;Ski Travelers"/>
    <x v="0"/>
    <s v="Subscribe Today - 10% Discount"/>
    <s v="Miami-Ft. Lauderdale"/>
    <x v="1"/>
    <x v="47"/>
    <x v="2"/>
    <x v="0"/>
    <n v="16580"/>
    <n v="26"/>
    <n v="11928"/>
    <n v="14527"/>
    <n v="6"/>
    <x v="134"/>
    <n v="0.15681544028950542"/>
    <n v="75.605344115384611"/>
    <n v="327.62315783333332"/>
    <n v="23.076923076923077"/>
    <n v="135.31623507950712"/>
    <x v="134"/>
    <n v="4"/>
  </r>
  <r>
    <s v="Online Behavior&gt;United States&gt;Travel&gt;Air Travel&gt;Airport Parking and Transportation"/>
    <x v="1"/>
    <s v="Subscribe Today - 10% Discount"/>
    <s v="Miami-Ft. Lauderdale"/>
    <x v="1"/>
    <x v="26"/>
    <x v="2"/>
    <x v="1"/>
    <n v="141165"/>
    <n v="25"/>
    <n v="102776"/>
    <n v="128004"/>
    <n v="28"/>
    <x v="135"/>
    <n v="1.7709772252328837E-2"/>
    <n v="288.88845631999999"/>
    <n v="257.93612171428572"/>
    <n v="112.00000000000001"/>
    <n v="56.421763444892342"/>
    <x v="135"/>
    <n v="5"/>
  </r>
  <r>
    <s v="Online Behavior&gt;United States&gt;Autos and Vehicles&gt;Hybrid and Alternative Vehicles"/>
    <x v="2"/>
    <s v="Sign up Now - 10% Off"/>
    <s v="New York City"/>
    <x v="0"/>
    <x v="47"/>
    <x v="2"/>
    <x v="0"/>
    <n v="17518"/>
    <n v="25"/>
    <n v="11513"/>
    <n v="16192"/>
    <n v="1"/>
    <x v="136"/>
    <n v="0.14271035506336341"/>
    <n v="270.60001599999998"/>
    <n v="6765.0003999999999"/>
    <n v="4"/>
    <n v="417.79893774703561"/>
    <x v="136"/>
    <n v="4"/>
  </r>
  <r>
    <s v="Online Behavior&gt;United States&gt;Life Event&gt;Engagement"/>
    <x v="0"/>
    <s v="Sign up Today - 10% Off"/>
    <s v="Miami-Ft. Lauderdale"/>
    <x v="1"/>
    <x v="37"/>
    <x v="2"/>
    <x v="0"/>
    <n v="35163"/>
    <n v="25"/>
    <n v="21222"/>
    <n v="33671"/>
    <n v="8"/>
    <x v="137"/>
    <n v="7.1097460398714563E-2"/>
    <n v="253.46872400000001"/>
    <n v="792.08976250000001"/>
    <n v="32"/>
    <n v="188.19512636987318"/>
    <x v="137"/>
    <n v="4"/>
  </r>
  <r>
    <s v="US&gt;Interest Propensities&gt;Brands&gt;Big Box Retail"/>
    <x v="0"/>
    <s v="Sign up Today - 10% Off"/>
    <s v="Jacksonville"/>
    <x v="1"/>
    <x v="48"/>
    <x v="2"/>
    <x v="0"/>
    <n v="61474"/>
    <n v="25"/>
    <n v="31245"/>
    <n v="49089"/>
    <n v="15"/>
    <x v="138"/>
    <n v="4.0667599310277518E-2"/>
    <n v="87.573653959999987"/>
    <n v="145.95608993333332"/>
    <n v="60"/>
    <n v="44.599428568518405"/>
    <x v="138"/>
    <n v="4"/>
  </r>
  <r>
    <s v="US&gt;Reach&gt;Propensity Models&gt;Hobbies and Interest&gt;Pets&gt;Pet Enthusiast"/>
    <x v="1"/>
    <s v="Sign up Now - 10% Off"/>
    <s v="Los Angeles"/>
    <x v="4"/>
    <x v="4"/>
    <x v="2"/>
    <x v="0"/>
    <n v="321263"/>
    <n v="25"/>
    <n v="172887"/>
    <n v="263424"/>
    <n v="6"/>
    <x v="139"/>
    <n v="7.7817862623458037E-3"/>
    <n v="63.042057360000001"/>
    <n v="262.67523899999998"/>
    <n v="24"/>
    <n v="5.982945494715743"/>
    <x v="139"/>
    <n v="6"/>
  </r>
  <r>
    <s v="OnAudience&gt;Intent&gt;Sporting Goods&gt;Team Sports"/>
    <x v="1"/>
    <s v="10% Discount - Ends 6/1"/>
    <s v="Charleston"/>
    <x v="10"/>
    <x v="49"/>
    <x v="4"/>
    <x v="2"/>
    <n v="94340"/>
    <n v="25"/>
    <n v="16955"/>
    <n v="76971"/>
    <n v="13"/>
    <x v="140"/>
    <n v="2.6499894000423997E-2"/>
    <n v="60.689775079999997"/>
    <n v="116.71110592307693"/>
    <n v="52"/>
    <n v="19.71189638954931"/>
    <x v="140"/>
    <n v="4"/>
  </r>
  <r>
    <s v="US&gt;Reach&gt;Propensity Models&gt;Hobbies and Interest&gt;Food and Drinks&gt;Coffee Connoisseurs"/>
    <x v="0"/>
    <s v="10% Discount - Ends 6/1"/>
    <s v="Miami-Ft. Lauderdale"/>
    <x v="1"/>
    <x v="8"/>
    <x v="2"/>
    <x v="0"/>
    <n v="263752"/>
    <n v="25"/>
    <n v="127042"/>
    <n v="225121"/>
    <n v="4"/>
    <x v="141"/>
    <n v="9.4786011101337612E-3"/>
    <n v="58.620588399999995"/>
    <n v="366.37867749999998"/>
    <n v="16"/>
    <n v="6.5098978327210695"/>
    <x v="141"/>
    <n v="6"/>
  </r>
  <r>
    <s v="Online Behavior&gt;United States&gt;The Changing Consumer&gt;CPG"/>
    <x v="1"/>
    <s v="Subscribe Today - 10% Discount"/>
    <s v="Nashville"/>
    <x v="5"/>
    <x v="50"/>
    <x v="2"/>
    <x v="0"/>
    <n v="224877"/>
    <n v="24"/>
    <n v="121175"/>
    <n v="213280"/>
    <n v="11"/>
    <x v="142"/>
    <n v="1.06725009671954E-2"/>
    <n v="306.708040375"/>
    <n v="669.18117900000004"/>
    <n v="45.833333333333329"/>
    <n v="34.513282862903225"/>
    <x v="142"/>
    <n v="4"/>
  </r>
  <r>
    <s v="Online Behavior&gt;United States&gt;Intent&gt;Auto Buyers&gt;Car Make&gt;Ford"/>
    <x v="1"/>
    <s v="10% Discount - Ends 6/1"/>
    <s v="Nashville"/>
    <x v="5"/>
    <x v="16"/>
    <x v="1"/>
    <x v="2"/>
    <n v="29323"/>
    <n v="24"/>
    <n v="13822"/>
    <n v="26934"/>
    <n v="9"/>
    <x v="143"/>
    <n v="8.1847014289124581E-2"/>
    <n v="254.00189670833333"/>
    <n v="677.33839122222219"/>
    <n v="37.5"/>
    <n v="226.3327215044182"/>
    <x v="143"/>
    <n v="6"/>
  </r>
  <r>
    <s v="Online Behavior&gt;United States&gt;Life Event&gt;Wedding Planning"/>
    <x v="1"/>
    <s v="Sign up Now - 10% Off"/>
    <s v="Chicago"/>
    <x v="2"/>
    <x v="29"/>
    <x v="1"/>
    <x v="0"/>
    <n v="16503"/>
    <n v="24"/>
    <n v="8595"/>
    <n v="14466"/>
    <n v="7"/>
    <x v="144"/>
    <n v="0.14542810398109435"/>
    <n v="238.105161125"/>
    <n v="816.3605524285714"/>
    <n v="29.166666666666668"/>
    <n v="395.03137474077141"/>
    <x v="144"/>
    <n v="4"/>
  </r>
  <r>
    <s v="Online Behavior&gt;United States&gt;Beauty and Fitness&gt;Fitness&gt;Yoga and Pilates"/>
    <x v="1"/>
    <s v="10% Discount - Ends 6/1"/>
    <s v="New York City"/>
    <x v="0"/>
    <x v="21"/>
    <x v="5"/>
    <x v="1"/>
    <n v="95644"/>
    <n v="24"/>
    <n v="13294"/>
    <n v="86775"/>
    <n v="1"/>
    <x v="145"/>
    <n v="2.5093053406381998E-2"/>
    <n v="232.82348645833335"/>
    <n v="5587.7636750000001"/>
    <n v="4.1666666666666661"/>
    <n v="64.393704119850199"/>
    <x v="145"/>
    <n v="5"/>
  </r>
  <r>
    <s v="Online Behavior&gt;United States&gt;Hobbies and Leisure&gt;Special Occasions&gt;Holidays and Seasonal Events"/>
    <x v="0"/>
    <s v="Subscribe Today - 10% Discount"/>
    <s v="New York City"/>
    <x v="0"/>
    <x v="8"/>
    <x v="11"/>
    <x v="0"/>
    <n v="760502"/>
    <n v="24"/>
    <n v="326721"/>
    <n v="700814"/>
    <n v="17"/>
    <x v="146"/>
    <n v="3.1558102411302007E-3"/>
    <n v="215.79339716666667"/>
    <n v="304.64950188235298"/>
    <n v="70.833333333333343"/>
    <n v="7.3900372024531471"/>
    <x v="146"/>
    <n v="5"/>
  </r>
  <r>
    <s v="US&gt;Reach&gt;Propensity Models&gt;Hobbies and Interest&gt;Sports&gt;Fitness Enthusiasts"/>
    <x v="1"/>
    <s v="10% Discount - Ends 6/1"/>
    <s v="Chicago"/>
    <x v="2"/>
    <x v="21"/>
    <x v="2"/>
    <x v="1"/>
    <n v="65238"/>
    <n v="24"/>
    <n v="23741"/>
    <n v="59893"/>
    <n v="15"/>
    <x v="147"/>
    <n v="3.6788374873539961E-2"/>
    <n v="130.52163370833333"/>
    <n v="208.83461393333334"/>
    <n v="62.5"/>
    <n v="52.301925250029221"/>
    <x v="147"/>
    <n v="6"/>
  </r>
  <r>
    <s v="US&gt;Sociodemographic&gt;P$YCLE Premier Lifestage&gt;F4 Working-Class USA"/>
    <x v="0"/>
    <s v="10% Discount - Ends 6/1"/>
    <s v="San Francisco"/>
    <x v="4"/>
    <x v="50"/>
    <x v="1"/>
    <x v="0"/>
    <n v="64577"/>
    <n v="24"/>
    <n v="37732"/>
    <n v="60357"/>
    <n v="11"/>
    <x v="148"/>
    <n v="3.7164934883937004E-2"/>
    <n v="75.056213791666664"/>
    <n v="163.7590119090909"/>
    <n v="45.833333333333329"/>
    <n v="29.844908312209022"/>
    <x v="148"/>
    <n v="4"/>
  </r>
  <r>
    <s v="US&gt;Brand Propensities&gt;Apparel&gt;TOMS Buyer Propensity"/>
    <x v="1"/>
    <s v="10% Discount - Ends 6/1"/>
    <s v="New York City"/>
    <x v="0"/>
    <x v="5"/>
    <x v="2"/>
    <x v="2"/>
    <n v="50183"/>
    <n v="24"/>
    <n v="41506"/>
    <n v="46163"/>
    <n v="15"/>
    <x v="149"/>
    <n v="4.7824960644042805E-2"/>
    <n v="67.870117208333326"/>
    <n v="108.59218753333333"/>
    <n v="62.5"/>
    <n v="35.285462664904792"/>
    <x v="149"/>
    <n v="4"/>
  </r>
  <r>
    <s v="US&gt;Brand Propensities&gt;Travel&gt;Hotel Tonight Buyer Propensity"/>
    <x v="1"/>
    <s v="10% Discount - Ends 6/1"/>
    <s v="Jacksonville"/>
    <x v="1"/>
    <x v="18"/>
    <x v="4"/>
    <x v="0"/>
    <n v="188170"/>
    <n v="24"/>
    <n v="155266"/>
    <n v="176562"/>
    <n v="6"/>
    <x v="150"/>
    <n v="1.2754424190891215E-2"/>
    <n v="66.654794541666675"/>
    <n v="266.6191781666667"/>
    <n v="25"/>
    <n v="9.0603587918125097"/>
    <x v="150"/>
    <n v="4"/>
  </r>
  <r>
    <s v="Online Behavior&gt;United States&gt;Intent&gt;Auto Buyers&gt;Type&gt;SUV"/>
    <x v="1"/>
    <s v="Sign up Today - 10% Off"/>
    <s v="New York City"/>
    <x v="0"/>
    <x v="51"/>
    <x v="1"/>
    <x v="1"/>
    <n v="99205"/>
    <n v="23"/>
    <n v="49240"/>
    <n v="72687"/>
    <n v="21"/>
    <x v="151"/>
    <n v="2.3184315306688172E-2"/>
    <n v="268.91315156521739"/>
    <n v="294.52392790476193"/>
    <n v="91.304347826086953"/>
    <n v="85.090903270185862"/>
    <x v="151"/>
    <n v="6"/>
  </r>
  <r>
    <s v="Online Behavior&gt;United States&gt;Validated Demographic&gt;Gender and Age Combined&gt;Males 25 or older"/>
    <x v="0"/>
    <s v="Subscribe Today - 10% Discount"/>
    <s v="Chicago"/>
    <x v="2"/>
    <x v="14"/>
    <x v="3"/>
    <x v="0"/>
    <n v="47016"/>
    <n v="23"/>
    <n v="12210"/>
    <n v="38039"/>
    <n v="13"/>
    <x v="152"/>
    <n v="4.8919516760251837E-2"/>
    <n v="259.77717739130435"/>
    <n v="459.60577538461536"/>
    <n v="56.521739130434781"/>
    <n v="157.0723489050711"/>
    <x v="152"/>
    <n v="5"/>
  </r>
  <r>
    <s v="Online Behavior&gt;United States&gt;Validated Demographic&gt;Gender&gt;Male"/>
    <x v="0"/>
    <s v="Sign up Today - 10% Off"/>
    <s v="San Francisco"/>
    <x v="4"/>
    <x v="52"/>
    <x v="2"/>
    <x v="0"/>
    <n v="48947"/>
    <n v="23"/>
    <n v="32089"/>
    <n v="45597"/>
    <n v="21"/>
    <x v="153"/>
    <n v="4.6989600996996755E-2"/>
    <n v="247.92566369565216"/>
    <n v="271.53763166666664"/>
    <n v="91.304347826086953"/>
    <n v="125.05845263942803"/>
    <x v="153"/>
    <n v="5"/>
  </r>
  <r>
    <s v="Online Behavior&gt;United States&gt;Validated Demographic&gt;Age&gt;25-54"/>
    <x v="1"/>
    <s v="Subscribe Today - 10% Discount"/>
    <s v="New York City"/>
    <x v="0"/>
    <x v="12"/>
    <x v="2"/>
    <x v="0"/>
    <n v="198163"/>
    <n v="23"/>
    <n v="76695"/>
    <n v="183585"/>
    <n v="31"/>
    <x v="154"/>
    <n v="1.1606606682377637E-2"/>
    <n v="226.27451165217391"/>
    <n v="167.88108929032259"/>
    <n v="134.78260869565219"/>
    <n v="28.348251589182119"/>
    <x v="154"/>
    <n v="5"/>
  </r>
  <r>
    <s v="Online Behavior&gt;United States&gt;Validated Demographic&gt;Gender and Age Combined&gt;Females 35-44"/>
    <x v="1"/>
    <s v="Sign up Now - 10% Off"/>
    <s v="Jacksonville"/>
    <x v="1"/>
    <x v="53"/>
    <x v="5"/>
    <x v="0"/>
    <n v="121991"/>
    <n v="23"/>
    <n v="43079"/>
    <n v="99312"/>
    <n v="4"/>
    <x v="155"/>
    <n v="1.8853849874171043E-2"/>
    <n v="173.61802543478262"/>
    <n v="998.30364625000004"/>
    <n v="17.391304347826086"/>
    <n v="40.208782272031577"/>
    <x v="155"/>
    <n v="5"/>
  </r>
  <r>
    <s v="US&gt;Brand Propensities&gt;Big Box Dollar General Buyer Propensity"/>
    <x v="0"/>
    <s v="Sign up Today - 10% Off"/>
    <s v="Chicago"/>
    <x v="2"/>
    <x v="12"/>
    <x v="8"/>
    <x v="0"/>
    <n v="194833"/>
    <n v="23"/>
    <n v="29091"/>
    <n v="143813"/>
    <n v="4"/>
    <x v="156"/>
    <n v="1.1804981702278361E-2"/>
    <n v="68.970196478260874"/>
    <n v="396.57862975"/>
    <n v="17.391304347826086"/>
    <n v="11.03039724503348"/>
    <x v="156"/>
    <n v="3"/>
  </r>
  <r>
    <s v="US Demographic&gt;Preferred Language&gt;Non-Hispanic"/>
    <x v="1"/>
    <s v="Subscribe Today - 10% Discount"/>
    <s v="Nashville"/>
    <x v="5"/>
    <x v="54"/>
    <x v="1"/>
    <x v="0"/>
    <n v="37355"/>
    <n v="23"/>
    <n v="17138"/>
    <n v="35689"/>
    <n v="3"/>
    <x v="157"/>
    <n v="6.1571409449872848E-2"/>
    <n v="68.581134173913043"/>
    <n v="525.78869533333329"/>
    <n v="13.043478260869565"/>
    <n v="44.197542267925691"/>
    <x v="157"/>
    <n v="3"/>
  </r>
  <r>
    <s v="Online Behavior&gt;United States&gt;The Changing Consumer&gt;Streaming Services"/>
    <x v="0"/>
    <s v="Sign up Today - 10% Off"/>
    <s v="Jacksonville"/>
    <x v="1"/>
    <x v="55"/>
    <x v="2"/>
    <x v="0"/>
    <n v="9709"/>
    <n v="22"/>
    <n v="3339"/>
    <n v="7891"/>
    <n v="3"/>
    <x v="158"/>
    <n v="0.22659388196518693"/>
    <n v="317.91297059090908"/>
    <n v="2331.3617843333336"/>
    <n v="13.636363636363635"/>
    <n v="886.33701089849205"/>
    <x v="158"/>
    <n v="4"/>
  </r>
  <r>
    <s v="Real Estate&gt;Sale Activity&gt;Just Sold"/>
    <x v="0"/>
    <s v="Sign up Now - 10% Off"/>
    <s v="Lafayette"/>
    <x v="3"/>
    <x v="28"/>
    <x v="2"/>
    <x v="0"/>
    <n v="111884"/>
    <n v="22"/>
    <n v="53017"/>
    <n v="106432"/>
    <n v="7"/>
    <x v="159"/>
    <n v="1.9663222623431412E-2"/>
    <n v="81.186596454545452"/>
    <n v="255.15787457142855"/>
    <n v="31.818181818181817"/>
    <n v="16.781655160102222"/>
    <x v="159"/>
    <n v="3"/>
  </r>
  <r>
    <s v="Real Estate&gt;Occupancy&gt;Owner Occupied"/>
    <x v="1"/>
    <s v="Sign up Now - 10% Off"/>
    <s v="Chicago"/>
    <x v="2"/>
    <x v="17"/>
    <x v="2"/>
    <x v="1"/>
    <n v="49250"/>
    <n v="22"/>
    <n v="9205"/>
    <n v="43535"/>
    <n v="15"/>
    <x v="160"/>
    <n v="4.4670050761421318E-2"/>
    <n v="77.02140804545455"/>
    <n v="112.9647318"/>
    <n v="68.181818181818173"/>
    <n v="38.922039209831169"/>
    <x v="160"/>
    <n v="3"/>
  </r>
  <r>
    <s v="US&gt;Connected Impulse-Shopper Audience"/>
    <x v="1"/>
    <s v="10% Discount - Ends 6/1"/>
    <s v="West Palm Beach-Ft. Pierce"/>
    <x v="1"/>
    <x v="56"/>
    <x v="10"/>
    <x v="0"/>
    <n v="35034"/>
    <n v="21"/>
    <n v="13904"/>
    <n v="34123"/>
    <n v="3"/>
    <x v="161"/>
    <n v="5.9941770851173144E-2"/>
    <n v="101.97473076190475"/>
    <n v="713.82311533333325"/>
    <n v="14.285714285714285"/>
    <n v="62.757358555812786"/>
    <x v="161"/>
    <n v="2"/>
  </r>
  <r>
    <s v="Online Behavior&gt;United States&gt;Travel&gt;Hotels and Accommodations"/>
    <x v="1"/>
    <s v="Sign up Now - 10% Off"/>
    <s v="San Francisco"/>
    <x v="4"/>
    <x v="5"/>
    <x v="2"/>
    <x v="0"/>
    <n v="75531"/>
    <n v="20"/>
    <n v="63816"/>
    <n v="70011"/>
    <n v="7"/>
    <x v="162"/>
    <n v="2.6479193973335452E-2"/>
    <n v="363.09325200000001"/>
    <n v="1037.4092914285714"/>
    <n v="35"/>
    <n v="103.72462955821229"/>
    <x v="162"/>
    <n v="4"/>
  </r>
  <r>
    <s v="Online Behavior&gt;United States&gt;Jobs and Education&gt;Education"/>
    <x v="1"/>
    <s v="Sign up Now - 10% Off"/>
    <s v="Chicago"/>
    <x v="2"/>
    <x v="18"/>
    <x v="2"/>
    <x v="1"/>
    <n v="113420"/>
    <n v="20"/>
    <n v="33557"/>
    <n v="104929"/>
    <n v="11"/>
    <x v="163"/>
    <n v="1.763357432551578E-2"/>
    <n v="256.22179670000003"/>
    <n v="465.85781218181819"/>
    <n v="55.000000000000007"/>
    <n v="48.837174984989851"/>
    <x v="163"/>
    <n v="4"/>
  </r>
  <r>
    <s v="US&gt;B2B&gt;B2B Decision Maker Responsibilities&gt;Internet Services"/>
    <x v="1"/>
    <s v="Sign up Today - 10% Off"/>
    <s v="Los Angeles"/>
    <x v="4"/>
    <x v="30"/>
    <x v="2"/>
    <x v="1"/>
    <n v="31625"/>
    <n v="20"/>
    <n v="23764"/>
    <n v="29364"/>
    <n v="1"/>
    <x v="164"/>
    <n v="6.3241106719367585E-2"/>
    <n v="118.02776220000001"/>
    <n v="2360.5552440000001"/>
    <n v="5"/>
    <n v="80.389430731507971"/>
    <x v="164"/>
    <n v="4"/>
  </r>
  <r>
    <s v="Lotame&gt;Offline CPG Purchasers&gt;Product Segment"/>
    <x v="1"/>
    <s v="Subscribe Today - 10% Discount"/>
    <s v="New York City"/>
    <x v="0"/>
    <x v="26"/>
    <x v="2"/>
    <x v="0"/>
    <n v="92806"/>
    <n v="20"/>
    <n v="67534"/>
    <n v="85013"/>
    <n v="11"/>
    <x v="165"/>
    <n v="2.1550330797577743E-2"/>
    <n v="78.968980099999996"/>
    <n v="143.57996381818182"/>
    <n v="55.000000000000007"/>
    <n v="18.578095138390601"/>
    <x v="165"/>
    <n v="3"/>
  </r>
  <r>
    <s v="Lotame&gt;Travel&gt;Thanksgiving Travel"/>
    <x v="0"/>
    <s v="Sign up Now - 10% Off"/>
    <s v="Cincinnati"/>
    <x v="7"/>
    <x v="12"/>
    <x v="2"/>
    <x v="0"/>
    <n v="36543"/>
    <n v="20"/>
    <n v="18046"/>
    <n v="27358"/>
    <n v="1"/>
    <x v="166"/>
    <n v="5.4730044057685466E-2"/>
    <n v="75.654436399999994"/>
    <n v="1513.0887279999999"/>
    <n v="5"/>
    <n v="55.306993493676437"/>
    <x v="166"/>
    <n v="3"/>
  </r>
  <r>
    <s v="Travel and Tourism&gt;Interest (Affinity)&gt;Destinations&gt;Europe"/>
    <x v="0"/>
    <s v="Sign up Today - 10% Off"/>
    <s v="Orlando-Daytona Beach"/>
    <x v="1"/>
    <x v="26"/>
    <x v="4"/>
    <x v="0"/>
    <n v="88819"/>
    <n v="20"/>
    <n v="65488"/>
    <n v="80451"/>
    <n v="6"/>
    <x v="167"/>
    <n v="2.2517704545198663E-2"/>
    <n v="72.111399500000005"/>
    <n v="240.37133166666669"/>
    <n v="30"/>
    <n v="17.926787609849477"/>
    <x v="167"/>
    <n v="4"/>
  </r>
  <r>
    <s v="US&gt;Demographic&gt;Family&gt;Households with 2 Adults"/>
    <x v="0"/>
    <s v="10% Discount - Ends 6/1"/>
    <s v="Lafayette"/>
    <x v="3"/>
    <x v="8"/>
    <x v="1"/>
    <x v="0"/>
    <n v="507889"/>
    <n v="20"/>
    <n v="176329"/>
    <n v="450103"/>
    <n v="78"/>
    <x v="168"/>
    <n v="3.9378683137457201E-3"/>
    <n v="72.037268100000006"/>
    <n v="18.471094384615387"/>
    <n v="390"/>
    <n v="3.2009237041299436"/>
    <x v="168"/>
    <n v="4"/>
  </r>
  <r>
    <s v="US&gt;Reach&gt;Propensity Models&gt;Real Estate&gt;Mortgage Amount&gt;$120,000-$159,999"/>
    <x v="1"/>
    <s v="Sign up Today - 10% Off"/>
    <s v="Ft. Myers-Naples"/>
    <x v="1"/>
    <x v="57"/>
    <x v="12"/>
    <x v="1"/>
    <n v="15904"/>
    <n v="19"/>
    <n v="7523"/>
    <n v="14815"/>
    <n v="2"/>
    <x v="169"/>
    <n v="0.11946680080482898"/>
    <n v="96.090826736842104"/>
    <n v="912.86285399999997"/>
    <n v="10.526315789473683"/>
    <n v="123.23494485318933"/>
    <x v="169"/>
    <n v="6"/>
  </r>
  <r>
    <s v="US&gt;Interest Propensities&gt;Activities and Interests&gt;Fashion"/>
    <x v="1"/>
    <s v="Sign up Now - 10% Off"/>
    <s v="West Palm Beach-Ft. Pierce"/>
    <x v="1"/>
    <x v="11"/>
    <x v="5"/>
    <x v="1"/>
    <n v="61442"/>
    <n v="19"/>
    <n v="17048"/>
    <n v="54166"/>
    <n v="1"/>
    <x v="170"/>
    <n v="3.0923472543211487E-2"/>
    <n v="84.692101736842105"/>
    <n v="1609.1499329999999"/>
    <n v="5.2631578947368416"/>
    <n v="29.707749012295533"/>
    <x v="170"/>
    <n v="4"/>
  </r>
  <r>
    <s v="Mobile - US&gt;Travel&gt;Destination&gt;International Travelers&gt;yes"/>
    <x v="0"/>
    <s v="Sign up Today - 10% Off"/>
    <s v="San Francisco"/>
    <x v="4"/>
    <x v="26"/>
    <x v="1"/>
    <x v="0"/>
    <n v="69136"/>
    <n v="19"/>
    <n v="40571"/>
    <n v="63614"/>
    <n v="3"/>
    <x v="171"/>
    <n v="2.7482064336959034E-2"/>
    <n v="79.365623736842096"/>
    <n v="502.64895033333329"/>
    <n v="15.789473684210526"/>
    <n v="23.704638145691199"/>
    <x v="171"/>
    <n v="5"/>
  </r>
  <r>
    <s v="Lotame&gt;Technology&gt;Mobile Phones"/>
    <x v="1"/>
    <s v="Sign up Today - 10% Off"/>
    <s v="Champaign &amp; Springfield-Decatur"/>
    <x v="9"/>
    <x v="19"/>
    <x v="5"/>
    <x v="0"/>
    <n v="39705"/>
    <n v="19"/>
    <n v="12950"/>
    <n v="38030"/>
    <n v="3"/>
    <x v="172"/>
    <n v="4.7852915249968521E-2"/>
    <n v="77.706289947368418"/>
    <n v="492.13983633333334"/>
    <n v="15.789473684210526"/>
    <n v="38.822495635024985"/>
    <x v="172"/>
    <n v="3"/>
  </r>
  <r>
    <s v="Online Behavior&gt;United States&gt;Travel&gt;Travel Agencies and Services"/>
    <x v="2"/>
    <s v="Subscribe Today - 10% Discount"/>
    <s v="New York City"/>
    <x v="0"/>
    <x v="6"/>
    <x v="2"/>
    <x v="0"/>
    <n v="184622"/>
    <n v="18"/>
    <n v="98938"/>
    <n v="161848"/>
    <n v="13"/>
    <x v="173"/>
    <n v="9.7496506375188211E-3"/>
    <n v="397.21200416666665"/>
    <n v="549.98585192307689"/>
    <n v="72.222222222222214"/>
    <n v="44.176116325194002"/>
    <x v="173"/>
    <n v="4"/>
  </r>
  <r>
    <s v="Online Behavior&gt;United States&gt;Internet and Telecom&gt;Web Apps and Online Tools"/>
    <x v="1"/>
    <s v="Sign up Today - 10% Off"/>
    <s v="New York City"/>
    <x v="0"/>
    <x v="50"/>
    <x v="1"/>
    <x v="1"/>
    <n v="109372"/>
    <n v="18"/>
    <n v="58336"/>
    <n v="103569"/>
    <n v="21"/>
    <x v="174"/>
    <n v="1.6457594265442708E-2"/>
    <n v="384.88923344444441"/>
    <n v="329.9050572380952"/>
    <n v="116.66666666666667"/>
    <n v="66.892662881750326"/>
    <x v="174"/>
    <n v="4"/>
  </r>
  <r>
    <s v="Online Behavior&gt;United States&gt;Hobbies and Leisure&gt;Crafts"/>
    <x v="0"/>
    <s v="Subscribe Today - 10% Discount"/>
    <s v="Grand Rapids-Kalamazoo"/>
    <x v="6"/>
    <x v="29"/>
    <x v="0"/>
    <x v="0"/>
    <n v="41513"/>
    <n v="18"/>
    <n v="20872"/>
    <n v="39250"/>
    <n v="1"/>
    <x v="175"/>
    <n v="4.3359911353070123E-2"/>
    <n v="377.19630005555553"/>
    <n v="6789.5334009999997"/>
    <n v="5.5555555555555554"/>
    <n v="172.98174270063694"/>
    <x v="175"/>
    <n v="4"/>
  </r>
  <r>
    <s v="Online Behavior&gt;United States&gt;Travel&gt;Tourist Destinations&gt;Zoos-Aquariums-Preserves"/>
    <x v="0"/>
    <s v="10% Discount - Ends 6/1"/>
    <s v="Chicago"/>
    <x v="2"/>
    <x v="18"/>
    <x v="8"/>
    <x v="0"/>
    <n v="106151"/>
    <n v="18"/>
    <n v="75304"/>
    <n v="99311"/>
    <n v="9"/>
    <x v="176"/>
    <n v="1.6956976382700117E-2"/>
    <n v="367.60448111111111"/>
    <n v="735.20896222222223"/>
    <n v="50"/>
    <n v="66.627872642506873"/>
    <x v="176"/>
    <n v="5"/>
  </r>
  <r>
    <s v="Online Behavior&gt;United States&gt;Intent&gt;Shopping&gt;Consumer Electronics&gt;Televisions/TVs"/>
    <x v="0"/>
    <s v="Subscribe Today - 10% Discount"/>
    <s v="Chicago"/>
    <x v="2"/>
    <x v="4"/>
    <x v="5"/>
    <x v="0"/>
    <n v="192201"/>
    <n v="18"/>
    <n v="113707"/>
    <n v="157940"/>
    <n v="3"/>
    <x v="177"/>
    <n v="9.3651958106357406E-3"/>
    <n v="343.11134188888889"/>
    <n v="2058.6680513333336"/>
    <n v="16.666666666666664"/>
    <n v="39.103483310117767"/>
    <x v="177"/>
    <n v="6"/>
  </r>
  <r>
    <s v="Online Behavior&gt;United States&gt;Autos and Vehicles&gt;Brands&gt;Mitsubishi"/>
    <x v="1"/>
    <s v="Sign up Today - 10% Off"/>
    <s v="San Francisco"/>
    <x v="4"/>
    <x v="4"/>
    <x v="10"/>
    <x v="0"/>
    <n v="335461"/>
    <n v="18"/>
    <n v="171464"/>
    <n v="247450"/>
    <n v="5"/>
    <x v="178"/>
    <n v="5.365750415100414E-3"/>
    <n v="246.99303494444445"/>
    <n v="889.17492579999998"/>
    <n v="27.777777777777779"/>
    <n v="17.966759462517679"/>
    <x v="178"/>
    <n v="5"/>
  </r>
  <r>
    <s v="Online Behavior&gt;United States&gt;Sports&gt;College Sports"/>
    <x v="1"/>
    <s v="Sign up Now - 10% Off"/>
    <s v="Los Angeles"/>
    <x v="4"/>
    <x v="12"/>
    <x v="4"/>
    <x v="0"/>
    <n v="1109184"/>
    <n v="17"/>
    <n v="83035"/>
    <n v="782482"/>
    <n v="25"/>
    <x v="179"/>
    <n v="1.5326582424557153E-3"/>
    <n v="440.63886935294113"/>
    <n v="299.63443115999996"/>
    <n v="147.05882352941177"/>
    <n v="9.5732052353919954"/>
    <x v="179"/>
    <n v="4"/>
  </r>
  <r>
    <s v="Online Behavior&gt;United States&gt;Intent&gt;Shopping&gt;Office Supplies"/>
    <x v="0"/>
    <s v="Subscribe Today - 10% Discount"/>
    <s v="New York City"/>
    <x v="0"/>
    <x v="52"/>
    <x v="4"/>
    <x v="0"/>
    <n v="96728"/>
    <n v="17"/>
    <n v="69700"/>
    <n v="91910"/>
    <n v="9"/>
    <x v="180"/>
    <n v="1.7575055826647919E-2"/>
    <n v="387.48490182352941"/>
    <n v="731.91592566666668"/>
    <n v="52.941176470588239"/>
    <n v="71.670583516483518"/>
    <x v="180"/>
    <n v="5"/>
  </r>
  <r>
    <s v="Online Behavior&gt;United States&gt;The Changing Consumer&gt;Natural Disasters"/>
    <x v="1"/>
    <s v="Sign up Today - 10% Off"/>
    <s v="Chicago"/>
    <x v="2"/>
    <x v="5"/>
    <x v="9"/>
    <x v="2"/>
    <n v="42755"/>
    <n v="17"/>
    <n v="36503"/>
    <n v="40051"/>
    <n v="12"/>
    <x v="181"/>
    <n v="3.9761431411530816E-2"/>
    <n v="385.31193941176468"/>
    <n v="545.85858083333335"/>
    <n v="70.588235294117652"/>
    <n v="163.54904921225437"/>
    <x v="181"/>
    <n v="4"/>
  </r>
  <r>
    <s v="US&gt;Reach&gt;Propensity Models&gt;Hobbies and Interest&gt;Sports&gt;NFL Enthusiast"/>
    <x v="1"/>
    <s v="Sign up Now - 10% Off"/>
    <s v="Grand Rapids-Kalamazoo"/>
    <x v="6"/>
    <x v="58"/>
    <x v="2"/>
    <x v="0"/>
    <n v="22444"/>
    <n v="17"/>
    <n v="12672"/>
    <n v="21345"/>
    <n v="3"/>
    <x v="182"/>
    <n v="7.5744074140081982E-2"/>
    <n v="149.36473899999999"/>
    <n v="846.40018766666662"/>
    <n v="17.647058823529413"/>
    <n v="118.95997015694542"/>
    <x v="182"/>
    <n v="6"/>
  </r>
  <r>
    <s v="US&gt;Reach&gt;Propensity Models&gt;Household Consumer Expenditures&gt;Lawn and Garden"/>
    <x v="1"/>
    <s v="Sign up Today - 10% Off"/>
    <s v="New York City"/>
    <x v="0"/>
    <x v="0"/>
    <x v="2"/>
    <x v="1"/>
    <n v="65983"/>
    <n v="17"/>
    <n v="8536"/>
    <n v="57434"/>
    <n v="1"/>
    <x v="183"/>
    <n v="2.5764211993998452E-2"/>
    <n v="94.06330876470588"/>
    <n v="1599.076249"/>
    <n v="5.8823529411764701"/>
    <n v="27.841979472089704"/>
    <x v="183"/>
    <n v="5"/>
  </r>
  <r>
    <s v="OnAudience&gt;Interest&gt;News&gt;International News"/>
    <x v="1"/>
    <s v="Sign up Now - 10% Off"/>
    <s v="Tallahassee"/>
    <x v="11"/>
    <x v="12"/>
    <x v="8"/>
    <x v="0"/>
    <n v="197192"/>
    <n v="17"/>
    <n v="80623"/>
    <n v="181763"/>
    <n v="5"/>
    <x v="184"/>
    <n v="8.6210393930788269E-3"/>
    <n v="93.219515117647063"/>
    <n v="316.94635140000003"/>
    <n v="29.411764705882355"/>
    <n v="8.7186707800817551"/>
    <x v="184"/>
    <n v="4"/>
  </r>
  <r>
    <s v="US&gt;Rural Improvement Fanatic"/>
    <x v="0"/>
    <s v="Subscribe Today - 10% Discount"/>
    <s v="New York City"/>
    <x v="0"/>
    <x v="15"/>
    <x v="8"/>
    <x v="0"/>
    <n v="10677"/>
    <n v="17"/>
    <n v="7247"/>
    <n v="10338"/>
    <n v="1"/>
    <x v="185"/>
    <n v="0.15922075489369672"/>
    <n v="87.261923882352946"/>
    <n v="1483.452706"/>
    <n v="5.8823529411764701"/>
    <n v="143.49513503579027"/>
    <x v="185"/>
    <n v="2"/>
  </r>
  <r>
    <s v="Online Behavior&gt;United States&gt;Food and Drink&gt;Cooking and Recipes"/>
    <x v="2"/>
    <s v="Sign up Today - 10% Off"/>
    <s v="Chicago"/>
    <x v="2"/>
    <x v="12"/>
    <x v="1"/>
    <x v="0"/>
    <n v="40929"/>
    <n v="16"/>
    <n v="9249"/>
    <n v="31564"/>
    <n v="1"/>
    <x v="186"/>
    <n v="3.9092086295780502E-2"/>
    <n v="422.78253981249998"/>
    <n v="6764.5206369999996"/>
    <n v="6.25"/>
    <n v="214.31126083512862"/>
    <x v="186"/>
    <n v="4"/>
  </r>
  <r>
    <s v="US&gt;Reach&gt;Sociodemographic&gt;Age&gt;45-49"/>
    <x v="1"/>
    <s v="Subscribe Today - 10% Discount"/>
    <s v="Nashville"/>
    <x v="5"/>
    <x v="28"/>
    <x v="2"/>
    <x v="1"/>
    <n v="69239"/>
    <n v="16"/>
    <n v="23112"/>
    <n v="65390"/>
    <n v="1"/>
    <x v="187"/>
    <n v="2.3108363783416859E-2"/>
    <n v="282.18454524999999"/>
    <n v="4514.9527239999998"/>
    <n v="6.25"/>
    <n v="69.04653194678086"/>
    <x v="187"/>
    <n v="5"/>
  </r>
  <r>
    <s v="US&gt;Reach&gt;Propensity Models&gt;Hobbies and Interest&gt;Sports&gt;Fishing"/>
    <x v="1"/>
    <s v="Subscribe Today - 10% Discount"/>
    <s v="Knoxville"/>
    <x v="5"/>
    <x v="50"/>
    <x v="5"/>
    <x v="2"/>
    <n v="65043"/>
    <n v="16"/>
    <n v="25871"/>
    <n v="53969"/>
    <n v="2"/>
    <x v="188"/>
    <n v="2.4599111357102226E-2"/>
    <n v="146.74490818749999"/>
    <n v="1173.9592654999999"/>
    <n v="12.5"/>
    <n v="43.504947858956058"/>
    <x v="188"/>
    <n v="6"/>
  </r>
  <r>
    <s v="US&gt;Sociodemographic&gt;P$YCLE Premier Lifestage&gt;Y3 Fiscal Fledglings"/>
    <x v="0"/>
    <s v="Sign up Now - 10% Off"/>
    <s v="Chicago"/>
    <x v="2"/>
    <x v="4"/>
    <x v="2"/>
    <x v="0"/>
    <n v="297347"/>
    <n v="16"/>
    <n v="166412"/>
    <n v="251319"/>
    <n v="4"/>
    <x v="189"/>
    <n v="5.3809185900648062E-3"/>
    <n v="140.97015056250001"/>
    <n v="563.88060225000004"/>
    <n v="25"/>
    <n v="8.9747389134924145"/>
    <x v="189"/>
    <n v="4"/>
  </r>
  <r>
    <s v="US&gt;Interest Propensities&gt;TV and Movies&gt;Network TV"/>
    <x v="0"/>
    <s v="Subscribe Today - 10% Discount"/>
    <s v="Miami-Ft. Lauderdale"/>
    <x v="1"/>
    <x v="50"/>
    <x v="2"/>
    <x v="0"/>
    <n v="104814"/>
    <n v="16"/>
    <n v="55984"/>
    <n v="99432"/>
    <n v="5"/>
    <x v="190"/>
    <n v="1.5265136336748909E-2"/>
    <n v="121.4279695625"/>
    <n v="388.56950259999996"/>
    <n v="31.25"/>
    <n v="19.539459258588785"/>
    <x v="190"/>
    <n v="4"/>
  </r>
  <r>
    <s v="US&gt;Financially in Charge&gt;Performance Score: Top 25%"/>
    <x v="1"/>
    <s v="Sign up Today - 10% Off"/>
    <s v="Tri-Cities"/>
    <x v="12"/>
    <x v="4"/>
    <x v="2"/>
    <x v="0"/>
    <n v="311753"/>
    <n v="16"/>
    <n v="170122"/>
    <n v="256841"/>
    <n v="6"/>
    <x v="191"/>
    <n v="5.1322681738427542E-3"/>
    <n v="96.475790937499994"/>
    <n v="257.26877583333334"/>
    <n v="37.5"/>
    <n v="6.0099931669787923"/>
    <x v="191"/>
    <n v="3"/>
  </r>
  <r>
    <s v="Online Behavior&gt;United States&gt;Autos and Vehicles&gt;Brands&gt;Kia"/>
    <x v="2"/>
    <s v="Subscribe Today - 10% Discount"/>
    <s v="San Francisco"/>
    <x v="4"/>
    <x v="12"/>
    <x v="2"/>
    <x v="0"/>
    <n v="257862"/>
    <n v="15"/>
    <n v="105048"/>
    <n v="238629"/>
    <n v="21"/>
    <x v="192"/>
    <n v="5.8170649417130091E-3"/>
    <n v="393.29529886666666"/>
    <n v="280.92521347619049"/>
    <n v="140"/>
    <n v="24.722181641795423"/>
    <x v="192"/>
    <n v="5"/>
  </r>
  <r>
    <s v="Online Behavior&gt;United States&gt;Autos and Vehicles&gt;Brands&gt;Maybach"/>
    <x v="0"/>
    <s v="Sign up Today - 10% Off"/>
    <s v="Miami-Ft. Lauderdale"/>
    <x v="1"/>
    <x v="59"/>
    <x v="4"/>
    <x v="0"/>
    <n v="23941"/>
    <n v="15"/>
    <n v="13054"/>
    <n v="22276"/>
    <n v="1"/>
    <x v="193"/>
    <n v="6.265402447683889E-2"/>
    <n v="190.41102833333335"/>
    <n v="2856.1654250000001"/>
    <n v="6.666666666666667"/>
    <n v="128.21715860118513"/>
    <x v="193"/>
    <n v="5"/>
  </r>
  <r>
    <s v="US&gt;Reach&gt;Propensity Models&gt;Hobbies and Interest&gt;Sports&gt;Boating"/>
    <x v="1"/>
    <s v="Subscribe Today - 10% Discount"/>
    <s v="Chicago"/>
    <x v="2"/>
    <x v="12"/>
    <x v="4"/>
    <x v="0"/>
    <n v="564387"/>
    <n v="15"/>
    <n v="78234"/>
    <n v="438695"/>
    <n v="6"/>
    <x v="194"/>
    <n v="2.657750798654115E-3"/>
    <n v="180.82531186666665"/>
    <n v="452.06327966666663"/>
    <n v="40"/>
    <n v="6.1828370006496538"/>
    <x v="194"/>
    <n v="6"/>
  </r>
  <r>
    <s v="Media and Entertainment&gt;Movies&gt;Enthusiasts"/>
    <x v="0"/>
    <s v="Subscribe Today - 10% Discount"/>
    <s v="Jacksonville"/>
    <x v="1"/>
    <x v="60"/>
    <x v="1"/>
    <x v="0"/>
    <n v="13466"/>
    <n v="15"/>
    <n v="8684"/>
    <n v="11766"/>
    <n v="1"/>
    <x v="195"/>
    <n v="0.11139165305213131"/>
    <n v="101.81175159999999"/>
    <n v="1527.1762739999999"/>
    <n v="6.666666666666667"/>
    <n v="129.79570576236614"/>
    <x v="195"/>
    <n v="3"/>
  </r>
  <r>
    <s v="Online Behavior&gt;United States&gt;Intent&gt;Auto Buyers&gt;Car Make&gt;Hyundai"/>
    <x v="0"/>
    <s v="10% Discount - Ends 6/1"/>
    <s v="New York City"/>
    <x v="0"/>
    <x v="61"/>
    <x v="3"/>
    <x v="0"/>
    <n v="25532"/>
    <n v="14"/>
    <n v="15219"/>
    <n v="21497"/>
    <n v="9"/>
    <x v="196"/>
    <n v="5.4833150556164806E-2"/>
    <n v="431.94100778571425"/>
    <n v="671.90823433333333"/>
    <n v="64.285714285714292"/>
    <n v="281.30316365074191"/>
    <x v="196"/>
    <n v="6"/>
  </r>
  <r>
    <s v="Online Behavior&gt;United States&gt;Food and Drink&gt;Food and Grocery Retailers"/>
    <x v="0"/>
    <s v="Subscribe Today - 10% Discount"/>
    <s v="Ft. Wayne"/>
    <x v="3"/>
    <x v="27"/>
    <x v="2"/>
    <x v="0"/>
    <n v="18412"/>
    <n v="14"/>
    <n v="5668"/>
    <n v="16711"/>
    <n v="2"/>
    <x v="197"/>
    <n v="7.6037366934607858E-2"/>
    <n v="374.59583857142854"/>
    <n v="2622.1708699999999"/>
    <n v="14.285714285714285"/>
    <n v="313.82572796361677"/>
    <x v="197"/>
    <n v="4"/>
  </r>
  <r>
    <s v="Mobile - US&gt;Device Ownership&gt;Smartphones&gt;iOS (Apple)&gt;yes"/>
    <x v="0"/>
    <s v="Sign up Now - 10% Off"/>
    <s v="Jacksonville"/>
    <x v="1"/>
    <x v="30"/>
    <x v="13"/>
    <x v="0"/>
    <n v="22175"/>
    <n v="14"/>
    <n v="14910"/>
    <n v="20074"/>
    <n v="2"/>
    <x v="198"/>
    <n v="6.3134160090191654E-2"/>
    <n v="136.37696307142858"/>
    <n v="954.63874150000004"/>
    <n v="14.285714285714285"/>
    <n v="95.111959898376014"/>
    <x v="198"/>
    <n v="5"/>
  </r>
  <r>
    <s v="US Demographic&gt;Age&gt;Specialty Age Range&gt;21+"/>
    <x v="1"/>
    <s v="Subscribe Today - 10% Discount"/>
    <s v="Chicago"/>
    <x v="2"/>
    <x v="12"/>
    <x v="5"/>
    <x v="0"/>
    <n v="180353"/>
    <n v="14"/>
    <n v="67637"/>
    <n v="145416"/>
    <n v="8"/>
    <x v="199"/>
    <n v="7.7625545458073894E-3"/>
    <n v="122.92014178571428"/>
    <n v="215.110248125"/>
    <n v="57.142857142857139"/>
    <n v="11.834199709798098"/>
    <x v="199"/>
    <n v="4"/>
  </r>
  <r>
    <s v="Mobile - US&gt;Demographics&gt;Education&gt;Lowest Education Achievement"/>
    <x v="0"/>
    <s v="10% Discount - Ends 6/1"/>
    <s v="Miami-Ft. Lauderdale"/>
    <x v="1"/>
    <x v="62"/>
    <x v="1"/>
    <x v="0"/>
    <n v="82916"/>
    <n v="14"/>
    <n v="24951"/>
    <n v="77333"/>
    <n v="17"/>
    <x v="200"/>
    <n v="1.6884557865791884E-2"/>
    <n v="113.20151764285716"/>
    <n v="93.224779235294122"/>
    <n v="121.42857142857142"/>
    <n v="20.493466527872965"/>
    <x v="200"/>
    <n v="4"/>
  </r>
  <r>
    <s v="US&gt;Price-Driven Traditionalist Audience"/>
    <x v="1"/>
    <s v="10% Discount - Ends 6/1"/>
    <s v="Knoxville"/>
    <x v="5"/>
    <x v="24"/>
    <x v="12"/>
    <x v="1"/>
    <n v="35043"/>
    <n v="14"/>
    <n v="20942"/>
    <n v="33479"/>
    <n v="24"/>
    <x v="201"/>
    <n v="3.9950917444282738E-2"/>
    <n v="109.14116285714286"/>
    <n v="63.665678333333339"/>
    <n v="171.42857142857142"/>
    <n v="45.639842289196217"/>
    <x v="201"/>
    <n v="2"/>
  </r>
  <r>
    <s v="Online Behavior&gt;United States&gt;Sports&gt;Sporting Goods"/>
    <x v="0"/>
    <s v="Sign up Now - 10% Off"/>
    <s v="Nashville"/>
    <x v="5"/>
    <x v="63"/>
    <x v="2"/>
    <x v="0"/>
    <n v="18633"/>
    <n v="13"/>
    <n v="9424"/>
    <n v="18087"/>
    <n v="21"/>
    <x v="202"/>
    <n v="6.9768689958675467E-2"/>
    <n v="521.9279456153846"/>
    <n v="323.09825204761904"/>
    <n v="161.53846153846155"/>
    <n v="375.13480914468954"/>
    <x v="202"/>
    <n v="4"/>
  </r>
  <r>
    <s v="Online Behavior&gt;United States&gt;Autos and Vehicles&gt;Brands&gt;Acura"/>
    <x v="1"/>
    <s v="Subscribe Today - 10% Discount"/>
    <s v="New York City"/>
    <x v="0"/>
    <x v="26"/>
    <x v="2"/>
    <x v="1"/>
    <n v="83854"/>
    <n v="13"/>
    <n v="60626"/>
    <n v="76071"/>
    <n v="21"/>
    <x v="203"/>
    <n v="1.5503136403749373E-2"/>
    <n v="444.91105830769231"/>
    <n v="275.42113133333334"/>
    <n v="161.53846153846155"/>
    <n v="76.032177281749952"/>
    <x v="203"/>
    <n v="5"/>
  </r>
  <r>
    <s v="Online Behavior&gt;United States&gt;The Changing Consumer&gt;Pet Adoption"/>
    <x v="1"/>
    <s v="Subscribe Today - 10% Discount"/>
    <s v="Tampa-St Petersburg (Sarasota)"/>
    <x v="1"/>
    <x v="12"/>
    <x v="2"/>
    <x v="2"/>
    <n v="45668"/>
    <n v="13"/>
    <n v="16872"/>
    <n v="32085"/>
    <n v="9"/>
    <x v="204"/>
    <n v="2.8466322151178069E-2"/>
    <n v="264.93868815384616"/>
    <n v="382.68921622222223"/>
    <n v="69.230769230769226"/>
    <n v="107.34620370889823"/>
    <x v="204"/>
    <n v="4"/>
  </r>
  <r>
    <s v="US&gt;Reach&gt;Propensity Models&gt;Young Adult Clothing Shoppers"/>
    <x v="0"/>
    <s v="Sign up Now - 10% Off"/>
    <s v="New York City"/>
    <x v="0"/>
    <x v="64"/>
    <x v="3"/>
    <x v="0"/>
    <n v="20885"/>
    <n v="13"/>
    <n v="9901"/>
    <n v="16266"/>
    <n v="15"/>
    <x v="205"/>
    <n v="6.2245630835527886E-2"/>
    <n v="192.06041815384617"/>
    <n v="166.4523624"/>
    <n v="115.38461538461537"/>
    <n v="153.49719881962375"/>
    <x v="205"/>
    <n v="4"/>
  </r>
  <r>
    <s v="OnAudience&gt;Interest&gt;Personal Finance"/>
    <x v="0"/>
    <s v="Subscribe Today - 10% Discount"/>
    <s v="Chicago"/>
    <x v="2"/>
    <x v="62"/>
    <x v="2"/>
    <x v="0"/>
    <n v="80408"/>
    <n v="13"/>
    <n v="13127"/>
    <n v="67027"/>
    <n v="9"/>
    <x v="206"/>
    <n v="1.6167545517858921E-2"/>
    <n v="137.54704753846153"/>
    <n v="198.67906866666667"/>
    <n v="69.230769230769226"/>
    <n v="26.677482477210678"/>
    <x v="206"/>
    <n v="3"/>
  </r>
  <r>
    <s v="Travel and Tourism&gt;Interest (Affinity)&gt;Products&gt;Air Travel"/>
    <x v="1"/>
    <s v="10% Discount - Ends 6/1"/>
    <s v="Lafayette"/>
    <x v="3"/>
    <x v="8"/>
    <x v="1"/>
    <x v="1"/>
    <n v="307888"/>
    <n v="13"/>
    <n v="134959"/>
    <n v="274790"/>
    <n v="11"/>
    <x v="207"/>
    <n v="4.22231460790937E-3"/>
    <n v="119.972605"/>
    <n v="141.7858059090909"/>
    <n v="84.615384615384613"/>
    <n v="5.6757664580224905"/>
    <x v="207"/>
    <n v="4"/>
  </r>
  <r>
    <s v="Online Behavior&gt;United States&gt;Travel&gt;Tourist Destinations"/>
    <x v="1"/>
    <s v="Sign up Now - 10% Off"/>
    <s v="New York City"/>
    <x v="0"/>
    <x v="11"/>
    <x v="2"/>
    <x v="0"/>
    <n v="325152"/>
    <n v="12"/>
    <n v="138319"/>
    <n v="300133"/>
    <n v="55"/>
    <x v="208"/>
    <n v="3.6905816356657809E-3"/>
    <n v="657.30105516666663"/>
    <n v="143.41113930909091"/>
    <n v="458.33333333333331"/>
    <n v="26.280391233219937"/>
    <x v="208"/>
    <n v="4"/>
  </r>
  <r>
    <s v="Online Behavior&gt;United States&gt;Beauty and Fitness&gt;Face and Body Care&gt;Unwanted Body and Facial Hair Removal"/>
    <x v="1"/>
    <s v="Subscribe Today - 10% Discount"/>
    <s v="New York City"/>
    <x v="0"/>
    <x v="10"/>
    <x v="2"/>
    <x v="0"/>
    <n v="106392"/>
    <n v="12"/>
    <n v="39599"/>
    <n v="94941"/>
    <n v="3"/>
    <x v="209"/>
    <n v="1.1279043537108053E-2"/>
    <n v="545.21770233333336"/>
    <n v="2180.8708093333335"/>
    <n v="25"/>
    <n v="68.912402734329746"/>
    <x v="209"/>
    <n v="5"/>
  </r>
  <r>
    <s v="Online Behavior&gt;United States&gt;B2B&gt;Occupation&gt;Broker"/>
    <x v="0"/>
    <s v="Sign up Now - 10% Off"/>
    <s v="Champaign &amp; Springfield-Decatur"/>
    <x v="9"/>
    <x v="65"/>
    <x v="1"/>
    <x v="0"/>
    <n v="21962"/>
    <n v="12"/>
    <n v="10702"/>
    <n v="21034"/>
    <n v="11"/>
    <x v="210"/>
    <n v="5.4639832437847188E-2"/>
    <n v="533.66692733333332"/>
    <n v="582.18210254545454"/>
    <n v="91.666666666666657"/>
    <n v="304.45959532185987"/>
    <x v="210"/>
    <n v="5"/>
  </r>
  <r>
    <s v="US&gt;Reach&gt;Propensity Models&gt;Hobbies and Interest&gt;Sports&gt;Hunting Enthusiasts"/>
    <x v="1"/>
    <s v="Sign up Today - 10% Off"/>
    <s v="Los Angeles"/>
    <x v="4"/>
    <x v="66"/>
    <x v="1"/>
    <x v="1"/>
    <n v="65243"/>
    <n v="12"/>
    <n v="39543"/>
    <n v="54290"/>
    <n v="1"/>
    <x v="211"/>
    <n v="1.8392777769262604E-2"/>
    <n v="312.89043724999999"/>
    <n v="3754.6852469999999"/>
    <n v="8.3333333333333321"/>
    <n v="69.159794566218451"/>
    <x v="211"/>
    <n v="6"/>
  </r>
  <r>
    <s v="Retail"/>
    <x v="0"/>
    <s v="Sign up Today - 10% Off"/>
    <s v="South Bend-Elkhart"/>
    <x v="3"/>
    <x v="12"/>
    <x v="5"/>
    <x v="0"/>
    <n v="239164"/>
    <n v="12"/>
    <n v="86250"/>
    <n v="198209"/>
    <n v="41"/>
    <x v="212"/>
    <n v="5.017477546787978E-3"/>
    <n v="234.99460550000001"/>
    <n v="68.778908926829274"/>
    <n v="341.66666666666663"/>
    <n v="14.227079829876544"/>
    <x v="212"/>
    <n v="1"/>
  </r>
  <r>
    <s v="OnAudience&gt;Interest&gt;News"/>
    <x v="0"/>
    <s v="10% Discount - Ends 6/1"/>
    <s v="Grand Rapids-Kalamazoo"/>
    <x v="6"/>
    <x v="5"/>
    <x v="2"/>
    <x v="0"/>
    <n v="42833"/>
    <n v="12"/>
    <n v="37438"/>
    <n v="40447"/>
    <n v="9"/>
    <x v="213"/>
    <n v="2.8015782223986176E-2"/>
    <n v="170.07790158333333"/>
    <n v="226.77053544444445"/>
    <n v="75"/>
    <n v="50.459485722056023"/>
    <x v="213"/>
    <n v="3"/>
  </r>
  <r>
    <s v="US&gt;B2B&gt;B2B Decision Maker Responsibilities&gt;Computer Software"/>
    <x v="1"/>
    <s v="Subscribe Today - 10% Discount"/>
    <s v="Los Angeles"/>
    <x v="4"/>
    <x v="26"/>
    <x v="1"/>
    <x v="0"/>
    <n v="136733"/>
    <n v="12"/>
    <n v="102728"/>
    <n v="127130"/>
    <n v="4"/>
    <x v="214"/>
    <n v="8.7762281234230223E-3"/>
    <n v="162.17087058333334"/>
    <n v="486.51261175000002"/>
    <n v="33.333333333333329"/>
    <n v="15.3075627074648"/>
    <x v="214"/>
    <n v="4"/>
  </r>
  <r>
    <s v="Online Behavior&gt;United States&gt;Autos and Vehicles&gt;Brands&gt;Mini"/>
    <x v="0"/>
    <s v="Subscribe Today - 10% Discount"/>
    <s v="Flint-Saginaw-Bay City"/>
    <x v="6"/>
    <x v="67"/>
    <x v="5"/>
    <x v="0"/>
    <n v="24100"/>
    <n v="11"/>
    <n v="11355"/>
    <n v="21740"/>
    <n v="1"/>
    <x v="215"/>
    <n v="4.5643153526970959E-2"/>
    <n v="537.47827045454551"/>
    <n v="5912.2609750000001"/>
    <n v="9.0909090909090917"/>
    <n v="271.953126724931"/>
    <x v="215"/>
    <n v="5"/>
  </r>
  <r>
    <s v="Online Behavior&gt;United States&gt;The Changing Consumer&gt;Direct to Consumer"/>
    <x v="0"/>
    <s v="Sign up Today - 10% Off"/>
    <s v="Chicago"/>
    <x v="2"/>
    <x v="68"/>
    <x v="5"/>
    <x v="0"/>
    <n v="27032"/>
    <n v="11"/>
    <n v="21893"/>
    <n v="26127"/>
    <n v="1"/>
    <x v="216"/>
    <n v="4.0692512577685705E-2"/>
    <n v="481.17244663636359"/>
    <n v="5292.8969129999996"/>
    <n v="9.0909090909090917"/>
    <n v="202.58341612125386"/>
    <x v="216"/>
    <n v="4"/>
  </r>
  <r>
    <s v="Online Behavior&gt;United States&gt;Law and Government&gt;Public Safety"/>
    <x v="0"/>
    <s v="Subscribe Today - 10% Discount"/>
    <s v="Augusta"/>
    <x v="8"/>
    <x v="18"/>
    <x v="6"/>
    <x v="0"/>
    <n v="43367"/>
    <n v="11"/>
    <n v="14306"/>
    <n v="39750"/>
    <n v="1"/>
    <x v="217"/>
    <n v="2.5364908801623356E-2"/>
    <n v="474.02715390909088"/>
    <n v="5214.2986929999997"/>
    <n v="9.0909090909090917"/>
    <n v="131.17732561006287"/>
    <x v="217"/>
    <n v="4"/>
  </r>
  <r>
    <s v="Online Behavior&gt;United States&gt;Autos and Vehicles&gt;Brands&gt;Ferrari"/>
    <x v="1"/>
    <s v="Sign up Today - 10% Off"/>
    <s v="Miami-Ft. Lauderdale"/>
    <x v="1"/>
    <x v="18"/>
    <x v="2"/>
    <x v="1"/>
    <n v="88293"/>
    <n v="11"/>
    <n v="24101"/>
    <n v="75557"/>
    <n v="21"/>
    <x v="218"/>
    <n v="1.245851879537449E-2"/>
    <n v="459.49832554545452"/>
    <n v="240.68959909523809"/>
    <n v="190.90909090909091"/>
    <n v="66.896271437457813"/>
    <x v="218"/>
    <n v="5"/>
  </r>
  <r>
    <s v="Online Behavior&gt;United States&gt;Intent&gt;Auto Buyers&gt;Type&gt;Sedan"/>
    <x v="1"/>
    <s v="Sign up Today - 10% Off"/>
    <s v="Chicago"/>
    <x v="2"/>
    <x v="26"/>
    <x v="8"/>
    <x v="1"/>
    <n v="25889"/>
    <n v="11"/>
    <n v="18382"/>
    <n v="23328"/>
    <n v="15"/>
    <x v="219"/>
    <n v="4.2489088029665112E-2"/>
    <n v="452.52589036363639"/>
    <n v="331.85231959999999"/>
    <n v="136.36363636363635"/>
    <n v="213.38240715020575"/>
    <x v="219"/>
    <n v="6"/>
  </r>
  <r>
    <s v="US&gt;Reach&gt;Propensity Models&gt;Lifestyle&gt;Charities&gt;Contributes by Volunteering"/>
    <x v="2"/>
    <s v="Subscribe Today - 10% Discount"/>
    <s v="San Francisco"/>
    <x v="4"/>
    <x v="69"/>
    <x v="5"/>
    <x v="0"/>
    <n v="15475"/>
    <n v="11"/>
    <n v="6019"/>
    <n v="10952"/>
    <n v="9"/>
    <x v="220"/>
    <n v="7.1082390953150235E-2"/>
    <n v="377.88303481818184"/>
    <n v="461.85704255555561"/>
    <n v="81.818181818181827"/>
    <n v="379.53920589846609"/>
    <x v="220"/>
    <n v="6"/>
  </r>
  <r>
    <s v="US&gt;Reach&gt;Propensity Models&gt;Hobbies and Interest&gt;Sports&gt;NHL Enthusiast"/>
    <x v="1"/>
    <s v="Sign up Now - 10% Off"/>
    <s v="New York City"/>
    <x v="0"/>
    <x v="50"/>
    <x v="12"/>
    <x v="0"/>
    <n v="114267"/>
    <n v="11"/>
    <n v="60964"/>
    <n v="108301"/>
    <n v="5"/>
    <x v="221"/>
    <n v="9.6265763518776203E-3"/>
    <n v="243.55946072727272"/>
    <n v="535.83081359999994"/>
    <n v="45.454545454545453"/>
    <n v="24.738036287753573"/>
    <x v="221"/>
    <n v="6"/>
  </r>
  <r>
    <s v="US&gt;B2B&gt;B2B Decision Maker Responsibilities&gt;Financial Services"/>
    <x v="1"/>
    <s v="Sign up Now - 10% Off"/>
    <s v="New York City"/>
    <x v="0"/>
    <x v="70"/>
    <x v="6"/>
    <x v="2"/>
    <n v="11668"/>
    <n v="11"/>
    <n v="7860"/>
    <n v="11009"/>
    <n v="1"/>
    <x v="222"/>
    <n v="9.427494000685635E-2"/>
    <n v="241.27105263636361"/>
    <n v="2653.9815789999998"/>
    <n v="9.0909090909090917"/>
    <n v="241.07381042783175"/>
    <x v="222"/>
    <n v="4"/>
  </r>
  <r>
    <s v="US&gt;Response Performance&gt;Direct Marketing Responders"/>
    <x v="1"/>
    <s v="10% Discount - Ends 6/1"/>
    <s v="Chicago"/>
    <x v="2"/>
    <x v="71"/>
    <x v="7"/>
    <x v="0"/>
    <n v="117713"/>
    <n v="11"/>
    <n v="16357"/>
    <n v="100222"/>
    <n v="5"/>
    <x v="223"/>
    <n v="9.3447622607528476E-3"/>
    <n v="227.76395845454545"/>
    <n v="501.08070859999998"/>
    <n v="45.454545454545453"/>
    <n v="24.998538674143401"/>
    <x v="223"/>
    <n v="3"/>
  </r>
  <r>
    <s v="US&gt;B2B&gt;Purchase DM&gt;Technology Services, Hardware and&gt;or Software&gt;I have no input into the final decision"/>
    <x v="1"/>
    <s v="10% Discount - Ends 6/1"/>
    <s v="Los Angeles"/>
    <x v="4"/>
    <x v="18"/>
    <x v="2"/>
    <x v="0"/>
    <n v="130796"/>
    <n v="11"/>
    <n v="109118"/>
    <n v="122937"/>
    <n v="6"/>
    <x v="224"/>
    <n v="8.410043120584727E-3"/>
    <n v="199.69647563636363"/>
    <n v="366.11020533333334"/>
    <n v="54.54545454545454"/>
    <n v="17.868186404418523"/>
    <x v="224"/>
    <n v="6"/>
  </r>
  <r>
    <s v="Travel and Tourism&gt;In-Market"/>
    <x v="1"/>
    <s v="Sign up Now - 10% Off"/>
    <s v="Chicago"/>
    <x v="2"/>
    <x v="50"/>
    <x v="2"/>
    <x v="2"/>
    <n v="48892"/>
    <n v="11"/>
    <n v="32060"/>
    <n v="45251"/>
    <n v="9"/>
    <x v="225"/>
    <n v="2.2498568272928086E-2"/>
    <n v="179.87360554545455"/>
    <n v="219.84551788888888"/>
    <n v="81.818181818181827"/>
    <n v="43.725214050518218"/>
    <x v="225"/>
    <n v="2"/>
  </r>
  <r>
    <s v="US&gt;Interest Propensities&gt;Insurance&gt;Transamerica"/>
    <x v="1"/>
    <s v="Sign up Now - 10% Off"/>
    <s v="Chicago"/>
    <x v="2"/>
    <x v="8"/>
    <x v="2"/>
    <x v="2"/>
    <n v="598460"/>
    <n v="11"/>
    <n v="201153"/>
    <n v="557263"/>
    <n v="13"/>
    <x v="226"/>
    <n v="1.8380509975604051E-3"/>
    <n v="153.61313700000002"/>
    <n v="129.98034669230771"/>
    <n v="118.18181818181819"/>
    <n v="3.0322208849322494"/>
    <x v="226"/>
    <n v="4"/>
  </r>
  <r>
    <s v="US&gt;Interest Propensities&gt;Activities and Interests&gt;College Life"/>
    <x v="0"/>
    <s v="Subscribe Today - 10% Discount"/>
    <s v="Jackson"/>
    <x v="13"/>
    <x v="4"/>
    <x v="7"/>
    <x v="0"/>
    <n v="171575"/>
    <n v="11"/>
    <n v="101487"/>
    <n v="136036"/>
    <n v="8"/>
    <x v="227"/>
    <n v="6.4111904414978875E-3"/>
    <n v="150.75749327272726"/>
    <n v="207.29155324999999"/>
    <n v="72.727272727272734"/>
    <n v="12.190393910435473"/>
    <x v="227"/>
    <n v="4"/>
  </r>
  <r>
    <s v="US&gt;Brand Propensities&gt;Restaurants and Dining&gt;Seamless Buyer Propensity"/>
    <x v="1"/>
    <s v="Sign up Now - 10% Off"/>
    <s v="Miami-Ft. Lauderdale"/>
    <x v="1"/>
    <x v="8"/>
    <x v="1"/>
    <x v="0"/>
    <n v="335664"/>
    <n v="11"/>
    <n v="148742"/>
    <n v="313071"/>
    <n v="70"/>
    <x v="228"/>
    <n v="3.277086610419944E-3"/>
    <n v="140.22729236363637"/>
    <n v="22.035717371428571"/>
    <n v="636.36363636363637"/>
    <n v="4.9269980803076621"/>
    <x v="228"/>
    <n v="4"/>
  </r>
  <r>
    <s v="US Financial&gt;Likely Bank Account and Services&gt;Saving Account&gt;Personal or Join (Financial)"/>
    <x v="1"/>
    <s v="Sign up Today - 10% Off"/>
    <s v="Shreveport"/>
    <x v="14"/>
    <x v="4"/>
    <x v="4"/>
    <x v="0"/>
    <n v="177632"/>
    <n v="11"/>
    <n v="70865"/>
    <n v="95871"/>
    <n v="5"/>
    <x v="229"/>
    <n v="6.192577913889389E-3"/>
    <n v="134.85312763636364"/>
    <n v="296.67688079999999"/>
    <n v="45.454545454545453"/>
    <n v="15.472712332196387"/>
    <x v="229"/>
    <n v="4"/>
  </r>
  <r>
    <s v="Online Behavior&gt;United States&gt;Finance&gt;Insurance&gt;Insurance"/>
    <x v="0"/>
    <s v="Sign up Now - 10% Off"/>
    <s v="Chicago"/>
    <x v="2"/>
    <x v="16"/>
    <x v="4"/>
    <x v="0"/>
    <n v="122086"/>
    <n v="10"/>
    <n v="82898"/>
    <n v="116235"/>
    <n v="16"/>
    <x v="230"/>
    <n v="8.1909473649722335E-3"/>
    <n v="766.36952940000003"/>
    <n v="478.98095587500001"/>
    <n v="160"/>
    <n v="65.932768047490001"/>
    <x v="230"/>
    <n v="5"/>
  </r>
  <r>
    <s v="Online Behavior&gt;United States&gt;Arts and Entertainment&gt;Events and Listings&gt;Bars, Clubs and Nightlife"/>
    <x v="1"/>
    <s v="10% Discount - Ends 6/1"/>
    <s v="Chicago"/>
    <x v="2"/>
    <x v="72"/>
    <x v="4"/>
    <x v="1"/>
    <n v="81905"/>
    <n v="10"/>
    <n v="61995"/>
    <n v="71110"/>
    <n v="24"/>
    <x v="231"/>
    <n v="1.2209266833526647E-2"/>
    <n v="706.56692799999996"/>
    <n v="294.40288666666669"/>
    <n v="240"/>
    <n v="99.36252678948108"/>
    <x v="231"/>
    <n v="5"/>
  </r>
  <r>
    <s v="Online Behavior&gt;United States&gt;News&gt;Newspapers"/>
    <x v="0"/>
    <s v="10% Discount - Ends 6/1"/>
    <s v="New York City"/>
    <x v="0"/>
    <x v="63"/>
    <x v="5"/>
    <x v="0"/>
    <n v="37176"/>
    <n v="10"/>
    <n v="31829"/>
    <n v="35639"/>
    <n v="6"/>
    <x v="232"/>
    <n v="2.6899074671831287E-2"/>
    <n v="675.35952420000001"/>
    <n v="1125.599207"/>
    <n v="60"/>
    <n v="189.50013305648309"/>
    <x v="232"/>
    <n v="4"/>
  </r>
  <r>
    <s v="Online Behavior&gt;United States&gt;Finance&gt;Investing&gt;Derivatives"/>
    <x v="0"/>
    <s v="10% Discount - Ends 6/1"/>
    <s v="Chicago"/>
    <x v="2"/>
    <x v="18"/>
    <x v="8"/>
    <x v="0"/>
    <n v="114384"/>
    <n v="10"/>
    <n v="61524"/>
    <n v="105104"/>
    <n v="12"/>
    <x v="233"/>
    <n v="8.7424814659392922E-3"/>
    <n v="580.33314540000003"/>
    <n v="483.61095449999999"/>
    <n v="120"/>
    <n v="55.215134095752781"/>
    <x v="233"/>
    <n v="5"/>
  </r>
  <r>
    <s v="Online Behavior&gt;United States&gt;Autos and Vehicles&gt;Brands&gt;Vauxhall-Opel"/>
    <x v="2"/>
    <s v="Sign up Today - 10% Off"/>
    <s v="Los Angeles"/>
    <x v="4"/>
    <x v="73"/>
    <x v="2"/>
    <x v="0"/>
    <n v="17382"/>
    <n v="10"/>
    <n v="7411"/>
    <n v="16576"/>
    <n v="1"/>
    <x v="234"/>
    <n v="5.7530778966747208E-2"/>
    <n v="579.72199769999997"/>
    <n v="5797.2199769999997"/>
    <n v="10"/>
    <n v="349.73576116071428"/>
    <x v="234"/>
    <n v="5"/>
  </r>
  <r>
    <s v="Online Behavior&gt;United States&gt;Intent&gt;Shopping&gt;Consumer Electronics&gt;Video Game Consoles"/>
    <x v="1"/>
    <s v="10% Discount - Ends 6/1"/>
    <s v="Chicago"/>
    <x v="2"/>
    <x v="74"/>
    <x v="4"/>
    <x v="2"/>
    <n v="39314"/>
    <n v="10"/>
    <n v="27671"/>
    <n v="35488"/>
    <n v="2"/>
    <x v="235"/>
    <n v="2.5436231367960523E-2"/>
    <n v="553.08004579999999"/>
    <n v="2765.4002289999999"/>
    <n v="20"/>
    <n v="155.84987764878269"/>
    <x v="235"/>
    <n v="6"/>
  </r>
  <r>
    <s v="Online Behavior&gt;United States&gt;Validated Demographic&gt;Gender and Age Combined&gt;Females 45-54"/>
    <x v="0"/>
    <s v="Subscribe Today - 10% Discount"/>
    <s v="Los Angeles"/>
    <x v="4"/>
    <x v="0"/>
    <x v="2"/>
    <x v="0"/>
    <n v="43117"/>
    <n v="10"/>
    <n v="6478"/>
    <n v="27405"/>
    <n v="8"/>
    <x v="236"/>
    <n v="2.319270821253798E-2"/>
    <n v="425.04304389999999"/>
    <n v="531.30380487499997"/>
    <n v="80"/>
    <n v="155.09689615033753"/>
    <x v="236"/>
    <n v="5"/>
  </r>
  <r>
    <s v="US&gt;Reach&gt;Propensity Models&gt;Hobbies and Interest&gt;Sports&gt;Plays Tennis"/>
    <x v="1"/>
    <s v="Sign up Now - 10% Off"/>
    <s v="New York City"/>
    <x v="0"/>
    <x v="75"/>
    <x v="2"/>
    <x v="1"/>
    <n v="33650"/>
    <n v="10"/>
    <n v="15621"/>
    <n v="32539"/>
    <n v="1"/>
    <x v="237"/>
    <n v="2.9717682020802376E-2"/>
    <n v="384.49911650000001"/>
    <n v="3844.9911649999999"/>
    <n v="10"/>
    <n v="118.16562171547989"/>
    <x v="237"/>
    <n v="6"/>
  </r>
  <r>
    <s v="US&gt;AUTO&gt;Primary Vehicle&gt;New or Used&gt;Pre-owned"/>
    <x v="0"/>
    <s v="Subscribe Today - 10% Discount"/>
    <s v="Miami-Ft. Lauderdale"/>
    <x v="1"/>
    <x v="76"/>
    <x v="2"/>
    <x v="0"/>
    <n v="11325"/>
    <n v="10"/>
    <n v="6186"/>
    <n v="10612"/>
    <n v="2"/>
    <x v="238"/>
    <n v="8.8300220750551883E-2"/>
    <n v="157.32540899999998"/>
    <n v="786.62704499999995"/>
    <n v="20"/>
    <n v="148.25236430456087"/>
    <x v="238"/>
    <n v="5"/>
  </r>
  <r>
    <s v="OnAudience&gt;Intent&gt;Software&gt;Video Game Software"/>
    <x v="1"/>
    <s v="Sign up Today - 10% Off"/>
    <s v="San Francisco"/>
    <x v="4"/>
    <x v="72"/>
    <x v="2"/>
    <x v="1"/>
    <n v="76439"/>
    <n v="10"/>
    <n v="58269"/>
    <n v="66924"/>
    <n v="15"/>
    <x v="239"/>
    <n v="1.3082327084341762E-2"/>
    <n v="152.4810224"/>
    <n v="101.65401493333334"/>
    <n v="150"/>
    <n v="22.78420632359094"/>
    <x v="239"/>
    <n v="4"/>
  </r>
  <r>
    <s v="Travel and Tourism&gt;Interest (Affinity)&gt;Destinations&gt;Latin America"/>
    <x v="0"/>
    <s v="10% Discount - Ends 6/1"/>
    <s v="Orlando-Daytona Beach"/>
    <x v="1"/>
    <x v="77"/>
    <x v="4"/>
    <x v="0"/>
    <n v="31243"/>
    <n v="10"/>
    <n v="16326"/>
    <n v="25991"/>
    <n v="21"/>
    <x v="240"/>
    <n v="3.2007169605991745E-2"/>
    <n v="145.25905600000002"/>
    <n v="69.170979047619056"/>
    <n v="210"/>
    <n v="55.8882136124043"/>
    <x v="240"/>
    <n v="4"/>
  </r>
  <r>
    <s v="Online Behavior&gt;United States&gt;Beauty and Fitness&gt;Fashion and Style"/>
    <x v="0"/>
    <s v="10% Discount - Ends 6/1"/>
    <s v="Miami-Ft. Lauderdale"/>
    <x v="1"/>
    <x v="23"/>
    <x v="7"/>
    <x v="0"/>
    <n v="7320"/>
    <n v="9"/>
    <n v="4020"/>
    <n v="6692"/>
    <n v="54"/>
    <x v="241"/>
    <n v="0.12295081967213116"/>
    <n v="886.88962399999991"/>
    <n v="147.81493733333332"/>
    <n v="600"/>
    <n v="1192.7684722056188"/>
    <x v="241"/>
    <n v="4"/>
  </r>
  <r>
    <s v="Online Behavior&gt;United States&gt;Intent&gt;Auto Buyers&gt;Car Make&gt;Audi Q"/>
    <x v="1"/>
    <s v="Sign up Now - 10% Off"/>
    <s v="Grand Rapids-Kalamazoo"/>
    <x v="6"/>
    <x v="17"/>
    <x v="7"/>
    <x v="0"/>
    <n v="10501"/>
    <n v="9"/>
    <n v="4126"/>
    <n v="7654"/>
    <n v="8"/>
    <x v="242"/>
    <n v="8.5706123226359399E-2"/>
    <n v="693.83532455555553"/>
    <n v="780.56474012499996"/>
    <n v="88.888888888888886"/>
    <n v="815.85026404494374"/>
    <x v="242"/>
    <n v="6"/>
  </r>
  <r>
    <s v="Online Behavior&gt;United States&gt;Validated Demographic&gt;Gender and Age Combined&gt;Females 18-54"/>
    <x v="0"/>
    <s v="Sign up Now - 10% Off"/>
    <s v="Chicago"/>
    <x v="2"/>
    <x v="61"/>
    <x v="5"/>
    <x v="0"/>
    <n v="28553"/>
    <n v="9"/>
    <n v="11390"/>
    <n v="23355"/>
    <n v="13"/>
    <x v="243"/>
    <n v="3.1520330613245544E-2"/>
    <n v="619.23471066666673"/>
    <n v="428.70095353846159"/>
    <n v="144.44444444444443"/>
    <n v="238.62609274245344"/>
    <x v="243"/>
    <n v="5"/>
  </r>
  <r>
    <s v="Online Behavior&gt;United States&gt;Intent&gt;Travel&gt;Luxury Travel"/>
    <x v="0"/>
    <s v="Sign up Today - 10% Off"/>
    <s v="Huntsville-Decatur (Florence)"/>
    <x v="15"/>
    <x v="78"/>
    <x v="2"/>
    <x v="0"/>
    <n v="14509"/>
    <n v="9"/>
    <n v="866"/>
    <n v="13268"/>
    <n v="1"/>
    <x v="244"/>
    <n v="6.2030463850024121E-2"/>
    <n v="613.46545888888886"/>
    <n v="5521.1891299999997"/>
    <n v="11.111111111111111"/>
    <n v="416.12821299366897"/>
    <x v="244"/>
    <n v="5"/>
  </r>
  <r>
    <s v="Online Behavior&gt;United States&gt;Sports&gt;Fantasy Sports"/>
    <x v="0"/>
    <s v="Sign up Now - 10% Off"/>
    <s v="Tallahassee"/>
    <x v="11"/>
    <x v="79"/>
    <x v="8"/>
    <x v="0"/>
    <n v="45285"/>
    <n v="9"/>
    <n v="30225"/>
    <n v="43298"/>
    <n v="1"/>
    <x v="245"/>
    <n v="1.9874130506790329E-2"/>
    <n v="525.33471177777778"/>
    <n v="4728.0124059999998"/>
    <n v="11.111111111111111"/>
    <n v="109.19701616702849"/>
    <x v="245"/>
    <n v="4"/>
  </r>
  <r>
    <s v="Online Behavior&gt;United States&gt;Travel&gt;Business Travel"/>
    <x v="0"/>
    <s v="Sign up Today - 10% Off"/>
    <s v="Chicago"/>
    <x v="2"/>
    <x v="80"/>
    <x v="2"/>
    <x v="0"/>
    <n v="45965"/>
    <n v="9"/>
    <n v="10028"/>
    <n v="37295"/>
    <n v="1"/>
    <x v="246"/>
    <n v="1.9580115305123463E-2"/>
    <n v="524.31512377777779"/>
    <n v="4718.8361139999997"/>
    <n v="11.111111111111111"/>
    <n v="126.52731234749967"/>
    <x v="246"/>
    <n v="4"/>
  </r>
  <r>
    <s v="Online Behavior&gt;United States&gt;Validated Demographic&gt;Gender and Age Combined&gt;Males 25-44"/>
    <x v="1"/>
    <s v="Sign up Now - 10% Off"/>
    <s v="Nashville"/>
    <x v="5"/>
    <x v="81"/>
    <x v="2"/>
    <x v="2"/>
    <n v="47394"/>
    <n v="9"/>
    <n v="22712"/>
    <n v="41918"/>
    <n v="24"/>
    <x v="247"/>
    <n v="1.89897455374098E-2"/>
    <n v="522.3884707777778"/>
    <n v="195.89567654166669"/>
    <n v="266.66666666666663"/>
    <n v="112.15936440192759"/>
    <x v="247"/>
    <n v="5"/>
  </r>
  <r>
    <s v="Online Behavior&gt;United States&gt;Autos and Vehicles&gt;Brands&gt;GM-Daewoo"/>
    <x v="0"/>
    <s v="Sign up Now - 10% Off"/>
    <s v="Rockford"/>
    <x v="2"/>
    <x v="4"/>
    <x v="2"/>
    <x v="0"/>
    <n v="48436"/>
    <n v="9"/>
    <n v="16543"/>
    <n v="42427"/>
    <n v="4"/>
    <x v="248"/>
    <n v="1.8581220579734083E-2"/>
    <n v="487.40535722222222"/>
    <n v="1096.66205375"/>
    <n v="44.444444444444443"/>
    <n v="103.3928445329625"/>
    <x v="248"/>
    <n v="5"/>
  </r>
  <r>
    <s v="Online Behavior&gt;United States&gt;Travel&gt;Travel Guides and Travelogues"/>
    <x v="0"/>
    <s v="Subscribe Today - 10% Discount"/>
    <s v="San Francisco"/>
    <x v="4"/>
    <x v="12"/>
    <x v="2"/>
    <x v="0"/>
    <n v="212009"/>
    <n v="9"/>
    <n v="16903"/>
    <n v="149653"/>
    <n v="15"/>
    <x v="249"/>
    <n v="4.2451028022395271E-3"/>
    <n v="442.62464411111108"/>
    <n v="265.57478646666664"/>
    <n v="166.66666666666669"/>
    <n v="26.619057399450728"/>
    <x v="249"/>
    <n v="4"/>
  </r>
  <r>
    <s v="Telecommunications (Telco)"/>
    <x v="0"/>
    <s v="Sign up Now - 10% Off"/>
    <s v="Birmingham"/>
    <x v="15"/>
    <x v="18"/>
    <x v="2"/>
    <x v="0"/>
    <n v="65380"/>
    <n v="9"/>
    <n v="30039"/>
    <n v="60482"/>
    <n v="5"/>
    <x v="250"/>
    <n v="1.3765677577240747E-2"/>
    <n v="322.87601799999999"/>
    <n v="581.17683239999997"/>
    <n v="55.555555555555557"/>
    <n v="48.045437683939021"/>
    <x v="250"/>
    <n v="1"/>
  </r>
  <r>
    <s v="US&gt;Reach&gt;Propensity Models&gt;Hobbies and Interest&gt;Food and Drinks&gt;Eats at Family Restaurants"/>
    <x v="0"/>
    <s v="Subscribe Today - 10% Discount"/>
    <s v="Flint-Saginaw-Bay City"/>
    <x v="6"/>
    <x v="82"/>
    <x v="2"/>
    <x v="0"/>
    <n v="268811"/>
    <n v="9"/>
    <n v="95989"/>
    <n v="173923"/>
    <n v="4"/>
    <x v="251"/>
    <n v="3.3480772736234751E-3"/>
    <n v="283.23501755555554"/>
    <n v="637.27878950000002"/>
    <n v="44.444444444444443"/>
    <n v="14.65657306969176"/>
    <x v="251"/>
    <n v="6"/>
  </r>
  <r>
    <s v="US&gt;Interest Propensities&gt;Food and Drink&gt;American Cuisine"/>
    <x v="0"/>
    <s v="Sign up Today - 10% Off"/>
    <s v="Chicago"/>
    <x v="2"/>
    <x v="50"/>
    <x v="2"/>
    <x v="0"/>
    <n v="85280"/>
    <n v="9"/>
    <n v="35860"/>
    <n v="79837"/>
    <n v="5"/>
    <x v="252"/>
    <n v="1.0553470919324577E-2"/>
    <n v="246.4368991111111"/>
    <n v="443.58641840000001"/>
    <n v="55.555555555555557"/>
    <n v="27.780754437165726"/>
    <x v="252"/>
    <n v="4"/>
  </r>
  <r>
    <s v="US&gt;Reach&gt;Propensity Models&gt;Hobbies and Interest&gt;Music&gt;Listens to Country Music"/>
    <x v="1"/>
    <s v="10% Discount - Ends 6/1"/>
    <s v="San Francisco"/>
    <x v="4"/>
    <x v="83"/>
    <x v="14"/>
    <x v="0"/>
    <n v="292578"/>
    <n v="9"/>
    <n v="6474"/>
    <n v="12323"/>
    <n v="4"/>
    <x v="253"/>
    <n v="3.0761027828476507E-3"/>
    <n v="202.92430422222222"/>
    <n v="456.57968449999998"/>
    <n v="44.444444444444443"/>
    <n v="148.20406865211393"/>
    <x v="253"/>
    <n v="6"/>
  </r>
  <r>
    <s v="US&gt;Interest Propensities&gt;Insurance&gt;New York Life"/>
    <x v="1"/>
    <s v="Subscribe Today - 10% Discount"/>
    <s v="Chicago"/>
    <x v="2"/>
    <x v="84"/>
    <x v="4"/>
    <x v="0"/>
    <n v="14932"/>
    <n v="9"/>
    <n v="8947"/>
    <n v="14256"/>
    <n v="1"/>
    <x v="254"/>
    <n v="6.0273238682025186E-2"/>
    <n v="191.60196711111109"/>
    <n v="1724.417704"/>
    <n v="11.111111111111111"/>
    <n v="120.96083782267115"/>
    <x v="254"/>
    <n v="4"/>
  </r>
  <r>
    <s v="Mobile - US&gt;Gamers&gt;Online&gt;Users"/>
    <x v="0"/>
    <s v="Subscribe Today - 10% Discount"/>
    <s v="Rockford"/>
    <x v="2"/>
    <x v="1"/>
    <x v="4"/>
    <x v="0"/>
    <n v="16372"/>
    <n v="9"/>
    <n v="4731"/>
    <n v="15332"/>
    <n v="6"/>
    <x v="255"/>
    <n v="5.4971903249450282E-2"/>
    <n v="189.39012477777777"/>
    <n v="284.08518716666669"/>
    <n v="66.666666666666657"/>
    <n v="111.17343614662146"/>
    <x v="255"/>
    <n v="4"/>
  </r>
  <r>
    <s v="OnAudience&gt;Interest&gt;Pets"/>
    <x v="0"/>
    <s v="Sign up Today - 10% Off"/>
    <s v="West Palm Beach-Ft. Pierce"/>
    <x v="1"/>
    <x v="85"/>
    <x v="2"/>
    <x v="0"/>
    <n v="20572"/>
    <n v="9"/>
    <n v="2226"/>
    <n v="16510"/>
    <n v="10"/>
    <x v="256"/>
    <n v="4.3748784755979001E-2"/>
    <n v="169.92302544444445"/>
    <n v="152.93072290000001"/>
    <n v="111.11111111111111"/>
    <n v="92.629147728649301"/>
    <x v="256"/>
    <n v="3"/>
  </r>
  <r>
    <s v="US&gt;Interest Propensities&gt;Insurance&gt;Northwestern Mutual"/>
    <x v="1"/>
    <s v="Sign up Today - 10% Off"/>
    <s v="Chicago"/>
    <x v="2"/>
    <x v="11"/>
    <x v="11"/>
    <x v="0"/>
    <n v="229908"/>
    <n v="9"/>
    <n v="98259"/>
    <n v="212073"/>
    <n v="4"/>
    <x v="257"/>
    <n v="3.9146093219896653E-3"/>
    <n v="162.70543822222223"/>
    <n v="366.08723600000002"/>
    <n v="44.444444444444443"/>
    <n v="6.9049286990800338"/>
    <x v="257"/>
    <n v="4"/>
  </r>
  <r>
    <s v="Purchase-Based&gt;Categories&gt;Office Supplies Buyers"/>
    <x v="1"/>
    <s v="Subscribe Today - 10% Discount"/>
    <s v="Chicago"/>
    <x v="2"/>
    <x v="12"/>
    <x v="15"/>
    <x v="0"/>
    <n v="12280"/>
    <n v="9"/>
    <n v="7633"/>
    <n v="11053"/>
    <n v="1"/>
    <x v="258"/>
    <n v="7.3289902280130298E-2"/>
    <n v="161.35637344444444"/>
    <n v="1452.207361"/>
    <n v="11.111111111111111"/>
    <n v="131.38581027775265"/>
    <x v="258"/>
    <n v="3"/>
  </r>
  <r>
    <s v="Online Behavior&gt;United States&gt;Home and Garden&gt;Home Appliances"/>
    <x v="1"/>
    <s v="10% Discount - Ends 6/1"/>
    <s v="Tampa-St Petersburg (Sarasota)"/>
    <x v="1"/>
    <x v="29"/>
    <x v="1"/>
    <x v="0"/>
    <n v="8420"/>
    <n v="8"/>
    <n v="4430"/>
    <n v="7869"/>
    <n v="8"/>
    <x v="259"/>
    <n v="9.5011876484560567E-2"/>
    <n v="648.07317799999998"/>
    <n v="648.07317799999998"/>
    <n v="100"/>
    <n v="658.86204397000893"/>
    <x v="259"/>
    <n v="4"/>
  </r>
  <r>
    <s v="Online Behavior&gt;United States&gt;Hobbies and Leisure&gt;Water Activities"/>
    <x v="0"/>
    <s v="Sign up Now - 10% Off"/>
    <s v="Charleston"/>
    <x v="10"/>
    <x v="12"/>
    <x v="2"/>
    <x v="0"/>
    <n v="156427"/>
    <n v="8"/>
    <n v="61821"/>
    <n v="145505"/>
    <n v="3"/>
    <x v="260"/>
    <n v="5.114206626733237E-3"/>
    <n v="644.96843675000002"/>
    <n v="1719.9158313333335"/>
    <n v="37.5"/>
    <n v="35.460963499536099"/>
    <x v="260"/>
    <n v="4"/>
  </r>
  <r>
    <s v="Online Behavior&gt;United States&gt;Validated Demographic&gt;Gender and Age Combined&gt;Males 25-54"/>
    <x v="1"/>
    <s v="Subscribe Today - 10% Discount"/>
    <s v="Chicago"/>
    <x v="2"/>
    <x v="80"/>
    <x v="15"/>
    <x v="0"/>
    <n v="9725"/>
    <n v="8"/>
    <n v="6616"/>
    <n v="8778"/>
    <n v="1"/>
    <x v="261"/>
    <n v="8.2262210796915175E-2"/>
    <n v="617.78549837499997"/>
    <n v="4942.2839869999998"/>
    <n v="12.5"/>
    <n v="563.03075723399411"/>
    <x v="261"/>
    <n v="5"/>
  </r>
  <r>
    <s v="US&gt;Reach&gt;Propensity Models&gt;Travel&gt;High Frequency Travel&gt;Foreign Vacationer"/>
    <x v="0"/>
    <s v="10% Discount - Ends 6/1"/>
    <s v="New York City"/>
    <x v="0"/>
    <x v="86"/>
    <x v="5"/>
    <x v="0"/>
    <n v="15588"/>
    <n v="8"/>
    <n v="2089"/>
    <n v="14526"/>
    <n v="9"/>
    <x v="262"/>
    <n v="5.1321529381575574E-2"/>
    <n v="439.81668524999998"/>
    <n v="390.94816466666663"/>
    <n v="112.5"/>
    <n v="242.22315035109457"/>
    <x v="262"/>
    <n v="6"/>
  </r>
  <r>
    <s v="US&gt;Reach&gt;Propensity Models&gt;Finance&gt;Credit&gt;Debit Card&gt;Major Credit Card User"/>
    <x v="0"/>
    <s v="Sign up Today - 10% Off"/>
    <s v="Chicago"/>
    <x v="2"/>
    <x v="57"/>
    <x v="1"/>
    <x v="0"/>
    <n v="12868"/>
    <n v="8"/>
    <n v="6472"/>
    <n v="11922"/>
    <n v="1"/>
    <x v="263"/>
    <n v="6.2169723344731115E-2"/>
    <n v="392.142880375"/>
    <n v="3137.143043"/>
    <n v="12.5"/>
    <n v="263.13899035396747"/>
    <x v="263"/>
    <n v="7"/>
  </r>
  <r>
    <s v="OnAudience&gt;Interest&gt;Careers"/>
    <x v="0"/>
    <s v="Subscribe Today - 10% Discount"/>
    <s v="Flint-Saginaw-Bay City"/>
    <x v="6"/>
    <x v="18"/>
    <x v="2"/>
    <x v="0"/>
    <n v="77313"/>
    <n v="8"/>
    <n v="40366"/>
    <n v="71128"/>
    <n v="2"/>
    <x v="264"/>
    <n v="1.0347548277779934E-2"/>
    <n v="223.79877475000001"/>
    <n v="895.19509900000003"/>
    <n v="25"/>
    <n v="25.171383955685524"/>
    <x v="264"/>
    <n v="3"/>
  </r>
  <r>
    <s v="OnAudience&gt;Intent&gt;Sporting Goods"/>
    <x v="1"/>
    <s v="Sign up Now - 10% Off"/>
    <s v="Chicago"/>
    <x v="2"/>
    <x v="63"/>
    <x v="5"/>
    <x v="0"/>
    <n v="22004"/>
    <n v="8"/>
    <n v="18735"/>
    <n v="21127"/>
    <n v="4"/>
    <x v="265"/>
    <n v="3.6357025995273587E-2"/>
    <n v="204.05909775000001"/>
    <n v="408.11819550000001"/>
    <n v="50"/>
    <n v="77.269502626970223"/>
    <x v="265"/>
    <n v="3"/>
  </r>
  <r>
    <s v="US Home&gt;Dwelling Type&gt;Single-Family"/>
    <x v="1"/>
    <s v="10% Discount - Ends 6/1"/>
    <s v="Chicago"/>
    <x v="2"/>
    <x v="87"/>
    <x v="2"/>
    <x v="1"/>
    <n v="16202"/>
    <n v="8"/>
    <n v="11786"/>
    <n v="15365"/>
    <n v="1"/>
    <x v="266"/>
    <n v="4.9376620170349342E-2"/>
    <n v="196.292845"/>
    <n v="1570.34276"/>
    <n v="12.5"/>
    <n v="102.20258769931662"/>
    <x v="266"/>
    <n v="3"/>
  </r>
  <r>
    <s v="Media and Entertainment&gt;Sports and Recreational Activities&gt;Interest (Affinity)&gt;Olympics&gt;Winter Olympics"/>
    <x v="0"/>
    <s v="10% Discount - Ends 6/1"/>
    <s v="Toledo"/>
    <x v="7"/>
    <x v="5"/>
    <x v="2"/>
    <x v="0"/>
    <n v="21229"/>
    <n v="8"/>
    <n v="18073"/>
    <n v="19655"/>
    <n v="10"/>
    <x v="267"/>
    <n v="3.7684299778604734E-2"/>
    <n v="193.75958187500001"/>
    <n v="155.0076655"/>
    <n v="125"/>
    <n v="78.864240905621983"/>
    <x v="267"/>
    <n v="5"/>
  </r>
  <r>
    <s v="Lotame&gt;Online Shoppers&gt;Online Shoppers"/>
    <x v="1"/>
    <s v="Sign up Today - 10% Off"/>
    <s v="Grand Rapids-Kalamazoo"/>
    <x v="6"/>
    <x v="88"/>
    <x v="1"/>
    <x v="0"/>
    <n v="13347"/>
    <n v="8"/>
    <n v="8357"/>
    <n v="11461"/>
    <n v="10"/>
    <x v="268"/>
    <n v="5.9938562972952719E-2"/>
    <n v="192.95767749999999"/>
    <n v="154.366142"/>
    <n v="125"/>
    <n v="134.68819649245265"/>
    <x v="268"/>
    <n v="3"/>
  </r>
  <r>
    <s v="Mobile - US&gt;Food&gt;Restaurant&gt;Brand&gt;Five Guys"/>
    <x v="1"/>
    <s v="10% Discount - Ends 6/1"/>
    <s v="Chicago"/>
    <x v="2"/>
    <x v="11"/>
    <x v="1"/>
    <x v="0"/>
    <n v="9210"/>
    <n v="8"/>
    <n v="3798"/>
    <n v="8619"/>
    <n v="1"/>
    <x v="269"/>
    <n v="8.6862106406080358E-2"/>
    <n v="192.0786335"/>
    <n v="1536.629068"/>
    <n v="12.5"/>
    <n v="178.28391553544495"/>
    <x v="269"/>
    <n v="5"/>
  </r>
  <r>
    <s v="Media Source&gt;LBDigital&gt;Open For Business B2B"/>
    <x v="0"/>
    <s v="Sign up Now - 10% Off"/>
    <s v="Los Angeles"/>
    <x v="4"/>
    <x v="89"/>
    <x v="3"/>
    <x v="0"/>
    <n v="21737"/>
    <n v="8"/>
    <n v="11206"/>
    <n v="19459"/>
    <n v="1"/>
    <x v="270"/>
    <n v="3.6803606753461837E-2"/>
    <n v="190.197081"/>
    <n v="1521.576648"/>
    <n v="12.5"/>
    <n v="78.1939795467393"/>
    <x v="270"/>
    <n v="3"/>
  </r>
  <r>
    <s v="US Financial&gt;Estimated Discretionary Spending&gt;Greater than $2,500"/>
    <x v="0"/>
    <s v="Sign up Now - 10% Off"/>
    <s v="Chicago"/>
    <x v="2"/>
    <x v="11"/>
    <x v="2"/>
    <x v="0"/>
    <n v="126337"/>
    <n v="8"/>
    <n v="51394"/>
    <n v="117635"/>
    <n v="5"/>
    <x v="271"/>
    <n v="6.3322700396558403E-3"/>
    <n v="185.88603599999999"/>
    <n v="297.41765759999998"/>
    <n v="62.5"/>
    <n v="12.641546206486165"/>
    <x v="271"/>
    <n v="3"/>
  </r>
  <r>
    <s v="Lotame&gt;Travel&gt;Winter Holiday Travel"/>
    <x v="1"/>
    <s v="Sign up Now - 10% Off"/>
    <s v="San Francisco"/>
    <x v="4"/>
    <x v="31"/>
    <x v="4"/>
    <x v="2"/>
    <n v="81486"/>
    <n v="8"/>
    <n v="57653"/>
    <n v="76803"/>
    <n v="6"/>
    <x v="272"/>
    <n v="9.8176373855631636E-3"/>
    <n v="182.98035924999999"/>
    <n v="243.97381233333331"/>
    <n v="75"/>
    <n v="19.059709568636642"/>
    <x v="272"/>
    <n v="3"/>
  </r>
  <r>
    <s v="Online Behavior&gt;United States&gt;B2B&gt;Occupation&gt;Entrepreneur"/>
    <x v="0"/>
    <s v="10% Discount - Ends 6/1"/>
    <s v="San Francisco"/>
    <x v="4"/>
    <x v="12"/>
    <x v="5"/>
    <x v="0"/>
    <n v="686858"/>
    <n v="7"/>
    <n v="81956"/>
    <n v="624118"/>
    <n v="19"/>
    <x v="273"/>
    <n v="1.0191335035771587E-3"/>
    <n v="1066.7259267142858"/>
    <n v="393.00428878947372"/>
    <n v="271.42857142857144"/>
    <n v="11.964214278389665"/>
    <x v="273"/>
    <n v="5"/>
  </r>
  <r>
    <s v="Online Behavior&gt;United States&gt;The Changing Consumer&gt;Online Retailers"/>
    <x v="0"/>
    <s v="Subscribe Today - 10% Discount"/>
    <s v="Chicago"/>
    <x v="2"/>
    <x v="31"/>
    <x v="2"/>
    <x v="0"/>
    <n v="42759"/>
    <n v="7"/>
    <n v="17744"/>
    <n v="34812"/>
    <n v="12"/>
    <x v="274"/>
    <n v="1.6370822516897029E-2"/>
    <n v="902.35543628571429"/>
    <n v="526.37400450000007"/>
    <n v="171.42857142857142"/>
    <n v="181.4457099276112"/>
    <x v="274"/>
    <n v="4"/>
  </r>
  <r>
    <s v="Online Behavior&gt;United States&gt;Autos and Vehicles&gt;Vehicle Parts and Accessories"/>
    <x v="1"/>
    <s v="Subscribe Today - 10% Discount"/>
    <s v="Miami-Ft. Lauderdale"/>
    <x v="1"/>
    <x v="90"/>
    <x v="7"/>
    <x v="0"/>
    <n v="58477"/>
    <n v="7"/>
    <n v="43554"/>
    <n v="56558"/>
    <n v="19"/>
    <x v="275"/>
    <n v="1.1970518323443405E-2"/>
    <n v="749.66055471428569"/>
    <n v="276.19073068421056"/>
    <n v="271.42857142857144"/>
    <n v="92.783052494784116"/>
    <x v="275"/>
    <n v="4"/>
  </r>
  <r>
    <s v="Online Behavior&gt;United States&gt;Validated Demographic&gt;Gender and Age Combined&gt;Females 18-44"/>
    <x v="0"/>
    <s v="10% Discount - Ends 6/1"/>
    <s v="Augusta"/>
    <x v="8"/>
    <x v="6"/>
    <x v="5"/>
    <x v="0"/>
    <n v="207685"/>
    <n v="7"/>
    <n v="20134"/>
    <n v="30708"/>
    <n v="34"/>
    <x v="276"/>
    <n v="3.3704889616486501E-3"/>
    <n v="748.45782671428572"/>
    <n v="154.09425844117646"/>
    <n v="485.71428571428567"/>
    <n v="170.6136767943207"/>
    <x v="276"/>
    <n v="5"/>
  </r>
  <r>
    <s v="Online Behavior&gt;United States&gt;Intent&gt;Travel&gt;Business Travel"/>
    <x v="1"/>
    <s v="Sign up Now - 10% Off"/>
    <s v="New York City"/>
    <x v="0"/>
    <x v="87"/>
    <x v="2"/>
    <x v="0"/>
    <n v="17770"/>
    <n v="7"/>
    <n v="12771"/>
    <n v="16749"/>
    <n v="5"/>
    <x v="277"/>
    <n v="3.9392234102419807E-2"/>
    <n v="742.17638242857151"/>
    <n v="1039.0469354000002"/>
    <n v="71.428571428571431"/>
    <n v="310.18178261388738"/>
    <x v="277"/>
    <n v="5"/>
  </r>
  <r>
    <s v="Online Behavior&gt;United States&gt;Food and Drink&gt;Food and Grocery Delivery"/>
    <x v="1"/>
    <s v="Sign up Now - 10% Off"/>
    <s v="Chicago"/>
    <x v="2"/>
    <x v="11"/>
    <x v="2"/>
    <x v="0"/>
    <n v="262807"/>
    <n v="7"/>
    <n v="109871"/>
    <n v="236426"/>
    <n v="12"/>
    <x v="278"/>
    <n v="2.6635515796763405E-3"/>
    <n v="735.78127471428581"/>
    <n v="429.20574358333334"/>
    <n v="171.42857142857142"/>
    <n v="21.784697634777903"/>
    <x v="278"/>
    <n v="4"/>
  </r>
  <r>
    <s v="Online Behavior&gt;United States&gt;Sports&gt;Sports League&gt;NFL"/>
    <x v="0"/>
    <s v="Sign up Now - 10% Off"/>
    <s v="Los Angeles"/>
    <x v="4"/>
    <x v="91"/>
    <x v="3"/>
    <x v="0"/>
    <n v="40447"/>
    <n v="7"/>
    <n v="16663"/>
    <n v="29774"/>
    <n v="12"/>
    <x v="279"/>
    <n v="1.730659875886963E-2"/>
    <n v="726.26946757142855"/>
    <n v="423.65718941666665"/>
    <n v="171.42857142857142"/>
    <n v="170.74918630348625"/>
    <x v="279"/>
    <n v="5"/>
  </r>
  <r>
    <s v="Online Behavior&gt;United States&gt;Arts and Entertainment&gt;Movies"/>
    <x v="1"/>
    <s v="10% Discount - Ends 6/1"/>
    <s v="Nashville"/>
    <x v="5"/>
    <x v="92"/>
    <x v="2"/>
    <x v="0"/>
    <n v="9273"/>
    <n v="7"/>
    <n v="4648"/>
    <n v="8751"/>
    <n v="1"/>
    <x v="280"/>
    <n v="7.5487975843847741E-2"/>
    <n v="712.35991000000001"/>
    <n v="4986.51937"/>
    <n v="14.285714285714285"/>
    <n v="569.82280539366923"/>
    <x v="280"/>
    <n v="4"/>
  </r>
  <r>
    <s v="Online Behavior&gt;United States&gt;The Changing Consumer&gt;Internet Connection"/>
    <x v="1"/>
    <s v="10% Discount - Ends 6/1"/>
    <s v="Chicago"/>
    <x v="2"/>
    <x v="37"/>
    <x v="2"/>
    <x v="1"/>
    <n v="27202"/>
    <n v="7"/>
    <n v="5202"/>
    <n v="23474"/>
    <n v="1"/>
    <x v="281"/>
    <n v="2.573340195573855E-2"/>
    <n v="607.7113022857144"/>
    <n v="4253.9791160000004"/>
    <n v="14.285714285714285"/>
    <n v="181.22088762034593"/>
    <x v="281"/>
    <n v="4"/>
  </r>
  <r>
    <s v="Online Behavior&gt;United States&gt;B2B&gt;Occupation&gt;ComputerProgrammer"/>
    <x v="1"/>
    <s v="10% Discount - Ends 6/1"/>
    <s v="Chattanooga"/>
    <x v="5"/>
    <x v="50"/>
    <x v="9"/>
    <x v="2"/>
    <n v="114194"/>
    <n v="7"/>
    <n v="50923"/>
    <n v="104074"/>
    <n v="2"/>
    <x v="282"/>
    <n v="6.1299192602063159E-3"/>
    <n v="576.58419657142861"/>
    <n v="2018.044688"/>
    <n v="28.571428571428569"/>
    <n v="38.780957549435982"/>
    <x v="282"/>
    <n v="5"/>
  </r>
  <r>
    <s v="US&gt;Reach&gt;Propensity Models&gt;Household Consumer Expenditures&gt;Home Office"/>
    <x v="0"/>
    <s v="Subscribe Today - 10% Discount"/>
    <s v="Mobile"/>
    <x v="16"/>
    <x v="63"/>
    <x v="8"/>
    <x v="0"/>
    <n v="36431"/>
    <n v="7"/>
    <n v="31262"/>
    <n v="35043"/>
    <n v="11"/>
    <x v="283"/>
    <n v="1.9214405314155528E-2"/>
    <n v="469.40493171428574"/>
    <n v="298.71222927272726"/>
    <n v="157.14285714285714"/>
    <n v="93.765788374283019"/>
    <x v="283"/>
    <n v="5"/>
  </r>
  <r>
    <s v="US&gt;B2B&gt;B2B Decision Maker Responsibilities&gt;Company Liability or Insurance"/>
    <x v="1"/>
    <s v="10% Discount - Ends 6/1"/>
    <s v="Miami-Ft. Lauderdale"/>
    <x v="1"/>
    <x v="93"/>
    <x v="2"/>
    <x v="1"/>
    <n v="31443"/>
    <n v="7"/>
    <n v="19134"/>
    <n v="28059"/>
    <n v="9"/>
    <x v="284"/>
    <n v="2.2262506758260983E-2"/>
    <n v="303.25226971428572"/>
    <n v="235.86287644444442"/>
    <n v="128.57142857142858"/>
    <n v="75.653654371146501"/>
    <x v="284"/>
    <n v="4"/>
  </r>
  <r>
    <s v="Telecommunications (Telco)&gt;Subscribers"/>
    <x v="0"/>
    <s v="Sign up Today - 10% Off"/>
    <s v="Tallahassee"/>
    <x v="11"/>
    <x v="94"/>
    <x v="2"/>
    <x v="0"/>
    <n v="29393"/>
    <n v="7"/>
    <n v="3277"/>
    <n v="25959"/>
    <n v="19"/>
    <x v="285"/>
    <n v="2.3815194093831864E-2"/>
    <n v="302.96538542857144"/>
    <n v="111.61882621052631"/>
    <n v="271.42857142857144"/>
    <n v="81.696432759351282"/>
    <x v="285"/>
    <n v="2"/>
  </r>
  <r>
    <s v="Media and Entertainment&gt;Television (TV)&gt;Viewership"/>
    <x v="1"/>
    <s v="Sign up Today - 10% Off"/>
    <s v="New York City"/>
    <x v="0"/>
    <x v="95"/>
    <x v="1"/>
    <x v="0"/>
    <n v="14693"/>
    <n v="7"/>
    <n v="6597"/>
    <n v="13508"/>
    <n v="4"/>
    <x v="286"/>
    <n v="4.7641734159123393E-2"/>
    <n v="292.47841771428568"/>
    <n v="511.83723099999997"/>
    <n v="57.142857142857139"/>
    <n v="151.56565916493926"/>
    <x v="286"/>
    <n v="3"/>
  </r>
  <r>
    <s v="US&gt;Home Renovation&gt;Home Renovators"/>
    <x v="1"/>
    <s v="Sign up Now - 10% Off"/>
    <s v="Chicago"/>
    <x v="2"/>
    <x v="96"/>
    <x v="2"/>
    <x v="0"/>
    <n v="15547"/>
    <n v="7"/>
    <n v="7615"/>
    <n v="14939"/>
    <n v="3"/>
    <x v="287"/>
    <n v="4.5024763619990991E-2"/>
    <n v="252.49492228571427"/>
    <n v="589.15481866666664"/>
    <n v="42.857142857142854"/>
    <n v="118.31209960506058"/>
    <x v="287"/>
    <n v="3"/>
  </r>
  <r>
    <s v="OnAudience&gt;Intent&gt;Baby &amp; Toddler"/>
    <x v="1"/>
    <s v="Sign up Now - 10% Off"/>
    <s v="Memphis"/>
    <x v="5"/>
    <x v="97"/>
    <x v="8"/>
    <x v="1"/>
    <n v="16628"/>
    <n v="7"/>
    <n v="7974"/>
    <n v="15969"/>
    <n v="13"/>
    <x v="288"/>
    <n v="4.2097666586480634E-2"/>
    <n v="237.99512157142857"/>
    <n v="128.15121930769232"/>
    <n v="185.71428571428572"/>
    <n v="104.32499536602167"/>
    <x v="288"/>
    <n v="3"/>
  </r>
  <r>
    <s v="OnAudience&gt;Interest&gt;Life Stage"/>
    <x v="1"/>
    <s v="10% Discount - Ends 6/1"/>
    <s v="Tallahassee"/>
    <x v="11"/>
    <x v="11"/>
    <x v="2"/>
    <x v="0"/>
    <n v="189462"/>
    <n v="7"/>
    <n v="53431"/>
    <n v="163634"/>
    <n v="5"/>
    <x v="289"/>
    <n v="3.6946722825685363E-3"/>
    <n v="232.16784000000001"/>
    <n v="325.03497600000003"/>
    <n v="71.428571428571431"/>
    <n v="9.9317677255338133"/>
    <x v="289"/>
    <n v="3"/>
  </r>
  <r>
    <s v="US&gt;Reach&gt;Sociodemographic&gt;Dwelling Type&gt;Multi-family Dwelling Unit"/>
    <x v="2"/>
    <s v="Sign up Now - 10% Off"/>
    <s v="San Francisco"/>
    <x v="4"/>
    <x v="72"/>
    <x v="1"/>
    <x v="0"/>
    <n v="68704"/>
    <n v="7"/>
    <n v="31283"/>
    <n v="59462"/>
    <n v="16"/>
    <x v="290"/>
    <n v="1.0188635305076852E-2"/>
    <n v="229.36657585714286"/>
    <n v="100.3478769375"/>
    <n v="228.57142857142856"/>
    <n v="27.001547727960716"/>
    <x v="290"/>
    <n v="5"/>
  </r>
  <r>
    <s v="US&gt;B2B&gt;B2B Decision Maker Responsibilities&gt;Office Services or Moving"/>
    <x v="1"/>
    <s v="Sign up Today - 10% Off"/>
    <s v="Nashville"/>
    <x v="5"/>
    <x v="50"/>
    <x v="1"/>
    <x v="2"/>
    <n v="49412"/>
    <n v="7"/>
    <n v="22155"/>
    <n v="43802"/>
    <n v="2"/>
    <x v="291"/>
    <n v="1.4166599206670445E-2"/>
    <n v="227.95135228571431"/>
    <n v="797.82973300000003"/>
    <n v="28.571428571428569"/>
    <n v="36.428917994612121"/>
    <x v="291"/>
    <n v="4"/>
  </r>
  <r>
    <s v="OnAudience&gt;Intent&gt;Travel"/>
    <x v="1"/>
    <s v="Subscribe Today - 10% Discount"/>
    <s v="Chicago"/>
    <x v="2"/>
    <x v="4"/>
    <x v="1"/>
    <x v="2"/>
    <n v="96031"/>
    <n v="7"/>
    <n v="57187"/>
    <n v="78396"/>
    <n v="21"/>
    <x v="292"/>
    <n v="7.2893128260665824E-3"/>
    <n v="215.55823857142857"/>
    <n v="71.852746190476196"/>
    <n v="300"/>
    <n v="19.247253303739988"/>
    <x v="292"/>
    <n v="3"/>
  </r>
  <r>
    <s v="Media and Entertainment&gt;Sports and Recreational Activities&gt;Interest (Affinity)&gt;Team Sports&gt;Football (American)"/>
    <x v="0"/>
    <s v="Subscribe Today - 10% Discount"/>
    <s v="Tallahassee"/>
    <x v="11"/>
    <x v="4"/>
    <x v="2"/>
    <x v="0"/>
    <n v="47931"/>
    <n v="7"/>
    <n v="15989"/>
    <n v="38916"/>
    <n v="3"/>
    <x v="293"/>
    <n v="1.4604327053472699E-2"/>
    <n v="212.46123214285714"/>
    <n v="495.74287499999997"/>
    <n v="42.857142857142854"/>
    <n v="38.216379509713228"/>
    <x v="293"/>
    <n v="5"/>
  </r>
  <r>
    <s v="OnAudience&gt;Intent&gt;Auto&gt;Vehicle Parts &amp; Accessories"/>
    <x v="0"/>
    <s v="Subscribe Today - 10% Discount"/>
    <s v="Grand Rapids-Kalamazoo"/>
    <x v="6"/>
    <x v="11"/>
    <x v="1"/>
    <x v="0"/>
    <n v="37269"/>
    <n v="7"/>
    <n v="11667"/>
    <n v="33260"/>
    <n v="1"/>
    <x v="294"/>
    <n v="1.8782366041482198E-2"/>
    <n v="207.58220885714286"/>
    <n v="1453.075462"/>
    <n v="14.285714285714285"/>
    <n v="43.688378292242938"/>
    <x v="294"/>
    <n v="4"/>
  </r>
  <r>
    <s v="Online Behavior&gt;United States&gt;Finance&gt;Banking&gt;Money Transfer and Wire Services"/>
    <x v="0"/>
    <s v="Subscribe Today - 10% Discount"/>
    <s v="New York City"/>
    <x v="0"/>
    <x v="11"/>
    <x v="2"/>
    <x v="0"/>
    <n v="221720"/>
    <n v="6"/>
    <n v="35178"/>
    <n v="196583"/>
    <n v="69"/>
    <x v="295"/>
    <n v="2.7061158217571712E-3"/>
    <n v="1315.0369938333333"/>
    <n v="114.35104294202898"/>
    <n v="1150"/>
    <n v="40.136847860700065"/>
    <x v="295"/>
    <n v="5"/>
  </r>
  <r>
    <s v="Online Behavior&gt;United States&gt;Beauty and Fitness&gt;Fashion and Style&gt;Fashion Designers and Collections"/>
    <x v="1"/>
    <s v="Sign up Now - 10% Off"/>
    <s v="Miami-Ft. Lauderdale"/>
    <x v="1"/>
    <x v="6"/>
    <x v="2"/>
    <x v="0"/>
    <n v="23774"/>
    <n v="6"/>
    <n v="10735"/>
    <n v="21076"/>
    <n v="24"/>
    <x v="296"/>
    <n v="2.5237654580634306E-2"/>
    <n v="1276.1846723333333"/>
    <n v="319.04616808333333"/>
    <n v="400"/>
    <n v="363.30935822736757"/>
    <x v="296"/>
    <n v="5"/>
  </r>
  <r>
    <s v="Online Behavior&gt;United States&gt;Food and Drink&gt;Beverages&gt;Coffee and Tea"/>
    <x v="0"/>
    <s v="Subscribe Today - 10% Discount"/>
    <s v="Tampa-St Petersburg (Sarasota)"/>
    <x v="1"/>
    <x v="16"/>
    <x v="1"/>
    <x v="0"/>
    <n v="63794"/>
    <n v="6"/>
    <n v="46557"/>
    <n v="60868"/>
    <n v="4"/>
    <x v="297"/>
    <n v="9.4052732231871342E-3"/>
    <n v="1138.8233445000001"/>
    <n v="1708.2350167500001"/>
    <n v="66.666666666666657"/>
    <n v="112.25833060064403"/>
    <x v="297"/>
    <n v="5"/>
  </r>
  <r>
    <s v="Online Behavior&gt;United States&gt;Validated Demographic&gt;Age&gt;18 or older"/>
    <x v="1"/>
    <s v="Sign up Today - 10% Off"/>
    <s v="Miami-Ft. Lauderdale"/>
    <x v="1"/>
    <x v="98"/>
    <x v="2"/>
    <x v="1"/>
    <n v="219088"/>
    <n v="6"/>
    <n v="75638"/>
    <n v="153987"/>
    <n v="15"/>
    <x v="298"/>
    <n v="2.738625575111371E-3"/>
    <n v="1126.8456373333333"/>
    <n v="450.73825493333334"/>
    <n v="250"/>
    <n v="43.906783195984076"/>
    <x v="298"/>
    <n v="5"/>
  </r>
  <r>
    <s v="Online Behavior&gt;United States&gt;Intent&gt;Shopping&gt;Home Improvement"/>
    <x v="0"/>
    <s v="Subscribe Today - 10% Discount"/>
    <s v="Orlando-Daytona Beach"/>
    <x v="1"/>
    <x v="99"/>
    <x v="2"/>
    <x v="0"/>
    <n v="9357"/>
    <n v="6"/>
    <n v="1754"/>
    <n v="8343"/>
    <n v="1"/>
    <x v="299"/>
    <n v="6.4123116383456233E-2"/>
    <n v="1093.2462926666667"/>
    <n v="6559.4777560000002"/>
    <n v="16.666666666666664"/>
    <n v="786.22530936114106"/>
    <x v="299"/>
    <n v="5"/>
  </r>
  <r>
    <s v="Online Behavior&gt;United States&gt;Intent&gt;Travel&gt;Graduation Trip"/>
    <x v="1"/>
    <s v="Subscribe Today - 10% Discount"/>
    <s v="Chicago"/>
    <x v="2"/>
    <x v="100"/>
    <x v="2"/>
    <x v="1"/>
    <n v="26415"/>
    <n v="6"/>
    <n v="13791"/>
    <n v="25315"/>
    <n v="11"/>
    <x v="300"/>
    <n v="2.2714366837024418E-2"/>
    <n v="1075.1531061666667"/>
    <n v="586.44714881818174"/>
    <n v="183.33333333333331"/>
    <n v="254.82593865297252"/>
    <x v="300"/>
    <n v="5"/>
  </r>
  <r>
    <s v="Online Behavior&gt;United States&gt;Intent&gt;Auto Buyers&gt;Car Make&gt;Opel"/>
    <x v="1"/>
    <s v="Subscribe Today - 10% Discount"/>
    <s v="New York City"/>
    <x v="0"/>
    <x v="35"/>
    <x v="2"/>
    <x v="0"/>
    <n v="286998"/>
    <n v="6"/>
    <n v="61586"/>
    <n v="247500"/>
    <n v="13"/>
    <x v="301"/>
    <n v="2.0906069031839942E-3"/>
    <n v="1065.9251040000001"/>
    <n v="491.96543261538466"/>
    <n v="216.66666666666666"/>
    <n v="25.840608581818184"/>
    <x v="301"/>
    <n v="6"/>
  </r>
  <r>
    <s v="Online Behavior&gt;United States&gt;Intent&gt;Shopping&gt;Drug Stores&gt;Walgreens"/>
    <x v="2"/>
    <s v="Subscribe Today - 10% Discount"/>
    <s v="New York City"/>
    <x v="0"/>
    <x v="14"/>
    <x v="2"/>
    <x v="0"/>
    <n v="39373"/>
    <n v="6"/>
    <n v="23152"/>
    <n v="35857"/>
    <n v="12"/>
    <x v="302"/>
    <n v="1.5238869275899729E-2"/>
    <n v="1057.147631"/>
    <n v="528.57381550000002"/>
    <n v="200"/>
    <n v="176.89393384834202"/>
    <x v="302"/>
    <n v="6"/>
  </r>
  <r>
    <s v="Online Behavior&gt;United States&gt;Intent&gt;Auto Buyers&gt;New"/>
    <x v="0"/>
    <s v="Sign up Now - 10% Off"/>
    <s v="Los Angeles"/>
    <x v="4"/>
    <x v="101"/>
    <x v="2"/>
    <x v="0"/>
    <n v="42830"/>
    <n v="6"/>
    <n v="24499"/>
    <n v="34496"/>
    <n v="1"/>
    <x v="303"/>
    <n v="1.4008872285780995E-2"/>
    <n v="1043.5959540000001"/>
    <n v="6261.5757240000003"/>
    <n v="16.666666666666664"/>
    <n v="181.51599385435992"/>
    <x v="303"/>
    <n v="5"/>
  </r>
  <r>
    <s v="Online Behavior&gt;United States&gt;Finance&gt;Grants, Scholarships and Financial Aid&gt;Government Grants"/>
    <x v="1"/>
    <s v="Subscribe Today - 10% Discount"/>
    <s v="Jacksonville"/>
    <x v="1"/>
    <x v="67"/>
    <x v="1"/>
    <x v="0"/>
    <n v="14350"/>
    <n v="6"/>
    <n v="8228"/>
    <n v="13396"/>
    <n v="1"/>
    <x v="304"/>
    <n v="4.1811846689895474E-2"/>
    <n v="1019.0058226666666"/>
    <n v="6114.034936"/>
    <n v="16.666666666666664"/>
    <n v="456.40750492684384"/>
    <x v="304"/>
    <n v="5"/>
  </r>
  <r>
    <s v="Online Behavior&gt;United States&gt;Validated Demographic&gt;Gender and Age Combined&gt;Males 55-64"/>
    <x v="0"/>
    <s v="Sign up Today - 10% Off"/>
    <s v="New York City"/>
    <x v="0"/>
    <x v="102"/>
    <x v="9"/>
    <x v="0"/>
    <n v="44361"/>
    <n v="6"/>
    <n v="36040"/>
    <n v="40684"/>
    <n v="5"/>
    <x v="305"/>
    <n v="1.3525393927098128E-2"/>
    <n v="841.47542549999991"/>
    <n v="1009.7705106"/>
    <n v="83.333333333333343"/>
    <n v="124.09921721069706"/>
    <x v="305"/>
    <n v="5"/>
  </r>
  <r>
    <s v="Online Behavior&gt;United States&gt;Arts and Entertainment&gt;Comics and Animation"/>
    <x v="1"/>
    <s v="Subscribe Today - 10% Discount"/>
    <s v="Knoxville"/>
    <x v="5"/>
    <x v="103"/>
    <x v="2"/>
    <x v="0"/>
    <n v="7583"/>
    <n v="6"/>
    <n v="4608"/>
    <n v="5881"/>
    <n v="1"/>
    <x v="306"/>
    <n v="7.9124357114598448E-2"/>
    <n v="838.91376300000002"/>
    <n v="5033.4825780000001"/>
    <n v="16.666666666666664"/>
    <n v="855.88889270532218"/>
    <x v="306"/>
    <n v="4"/>
  </r>
  <r>
    <s v="Online Behavior&gt;United States&gt;The Changing Consumer&gt;Personal Budgeting"/>
    <x v="0"/>
    <s v="Sign up Today - 10% Off"/>
    <s v="Tri-Cities"/>
    <x v="12"/>
    <x v="104"/>
    <x v="4"/>
    <x v="0"/>
    <n v="27371"/>
    <n v="6"/>
    <n v="22256"/>
    <n v="25986"/>
    <n v="2"/>
    <x v="307"/>
    <n v="2.1921011289320814E-2"/>
    <n v="830.74759716666665"/>
    <n v="2492.2427914999998"/>
    <n v="33.333333333333329"/>
    <n v="191.81426856769031"/>
    <x v="307"/>
    <n v="4"/>
  </r>
  <r>
    <s v="Online Behavior&gt;United States&gt;The Changing Consumer&gt;Home Cooking"/>
    <x v="2"/>
    <s v="10% Discount - Ends 6/1"/>
    <s v="New York City"/>
    <x v="0"/>
    <x v="52"/>
    <x v="2"/>
    <x v="0"/>
    <n v="58938"/>
    <n v="6"/>
    <n v="41861"/>
    <n v="55929"/>
    <n v="6"/>
    <x v="308"/>
    <n v="1.0180189351521939E-2"/>
    <n v="813.53304483333341"/>
    <n v="813.53304483333341"/>
    <n v="100"/>
    <n v="87.274906917699241"/>
    <x v="308"/>
    <n v="4"/>
  </r>
  <r>
    <s v="Online Behavior&gt;United States&gt;Validated Demographic&gt;Age&gt;55-64"/>
    <x v="1"/>
    <s v="10% Discount - Ends 6/1"/>
    <s v="Champaign &amp; Springfield-Decatur"/>
    <x v="9"/>
    <x v="17"/>
    <x v="4"/>
    <x v="0"/>
    <n v="36863"/>
    <n v="6"/>
    <n v="3570"/>
    <n v="29458"/>
    <n v="5"/>
    <x v="309"/>
    <n v="1.6276483194531101E-2"/>
    <n v="792.13611416666663"/>
    <n v="950.56333699999993"/>
    <n v="83.333333333333343"/>
    <n v="161.34213744992871"/>
    <x v="309"/>
    <n v="5"/>
  </r>
  <r>
    <s v="Online Behavior&gt;United States&gt;Finance&gt;Grants, Scholarships and Financial Aid&gt;Study Grants and Scholarships"/>
    <x v="2"/>
    <s v="10% Discount - Ends 6/1"/>
    <s v="Orlando-Daytona Beach"/>
    <x v="1"/>
    <x v="26"/>
    <x v="2"/>
    <x v="0"/>
    <n v="39844"/>
    <n v="6"/>
    <n v="28001"/>
    <n v="36335"/>
    <n v="1"/>
    <x v="310"/>
    <n v="1.505872904326875E-2"/>
    <n v="739.89468033333333"/>
    <n v="4439.368082"/>
    <n v="16.666666666666664"/>
    <n v="122.17883808999586"/>
    <x v="310"/>
    <n v="5"/>
  </r>
  <r>
    <s v="US&gt;Reach&gt;Propensity Models&gt;Hobbies and Interest&gt;Books&gt;E-Book Reader"/>
    <x v="1"/>
    <s v="10% Discount - Ends 6/1"/>
    <s v="Charleston"/>
    <x v="10"/>
    <x v="8"/>
    <x v="4"/>
    <x v="0"/>
    <n v="90123"/>
    <n v="6"/>
    <n v="33421"/>
    <n v="66729"/>
    <n v="14"/>
    <x v="311"/>
    <n v="6.6575679904131019E-3"/>
    <n v="572.31904783333334"/>
    <n v="245.27959192857142"/>
    <n v="233.33333333333334"/>
    <n v="51.460598645266678"/>
    <x v="311"/>
    <n v="6"/>
  </r>
  <r>
    <s v="US&gt;Reach&gt;Sociodemographic&gt;Homeowner Status&gt;Renter"/>
    <x v="0"/>
    <s v="Sign up Today - 10% Off"/>
    <s v="Knoxville"/>
    <x v="5"/>
    <x v="16"/>
    <x v="2"/>
    <x v="0"/>
    <n v="70134"/>
    <n v="6"/>
    <n v="48862"/>
    <n v="66739"/>
    <n v="16"/>
    <x v="312"/>
    <n v="8.5550517580631376E-3"/>
    <n v="419.14468600000004"/>
    <n v="157.17925725000001"/>
    <n v="266.66666666666663"/>
    <n v="37.682136621765387"/>
    <x v="312"/>
    <n v="5"/>
  </r>
  <r>
    <s v="US&gt;B2B&gt;B2B Decision Maker Responsibilities&gt;Purchasing Vehicles or Automobile Services"/>
    <x v="1"/>
    <s v="Subscribe Today - 10% Discount"/>
    <s v="Ft. Wayne"/>
    <x v="3"/>
    <x v="8"/>
    <x v="5"/>
    <x v="0"/>
    <n v="276716"/>
    <n v="6"/>
    <n v="114927"/>
    <n v="255481"/>
    <n v="49"/>
    <x v="313"/>
    <n v="2.1682880642969688E-3"/>
    <n v="379.37957849999998"/>
    <n v="46.45464226530612"/>
    <n v="816.66666666666663"/>
    <n v="8.9097720417565291"/>
    <x v="313"/>
    <n v="4"/>
  </r>
  <r>
    <s v="Travel and Tourism&gt;Interest (Affinity)"/>
    <x v="0"/>
    <s v="Subscribe Today - 10% Discount"/>
    <s v="San Francisco"/>
    <x v="4"/>
    <x v="48"/>
    <x v="2"/>
    <x v="0"/>
    <n v="14890"/>
    <n v="6"/>
    <n v="6248"/>
    <n v="11493"/>
    <n v="1"/>
    <x v="314"/>
    <n v="4.0295500335795834E-2"/>
    <n v="330.40274733333337"/>
    <n v="1982.4164840000001"/>
    <n v="16.666666666666664"/>
    <n v="172.48903541286001"/>
    <x v="314"/>
    <n v="2"/>
  </r>
  <r>
    <s v="US&gt;Interest Propensities&gt;TV and Movies&gt;Sports TV"/>
    <x v="1"/>
    <s v="Sign up Today - 10% Off"/>
    <s v="Los Angeles"/>
    <x v="4"/>
    <x v="17"/>
    <x v="9"/>
    <x v="0"/>
    <n v="15200"/>
    <n v="6"/>
    <n v="5375"/>
    <n v="12040"/>
    <n v="1"/>
    <x v="315"/>
    <n v="3.9473684210526314E-2"/>
    <n v="328.3928908333333"/>
    <n v="1970.3573449999999"/>
    <n v="16.666666666666664"/>
    <n v="163.6509422757475"/>
    <x v="315"/>
    <n v="4"/>
  </r>
  <r>
    <s v="OnAudience&gt;Interest&gt;Arts &amp; Entertainment&gt;Fine Art"/>
    <x v="2"/>
    <s v="Sign up Now - 10% Off"/>
    <s v="West Palm Beach-Ft. Pierce"/>
    <x v="1"/>
    <x v="52"/>
    <x v="1"/>
    <x v="0"/>
    <n v="37717"/>
    <n v="6"/>
    <n v="26541"/>
    <n v="35126"/>
    <n v="1"/>
    <x v="316"/>
    <n v="1.5907946019036508E-2"/>
    <n v="287.54522716666668"/>
    <n v="1725.2713630000001"/>
    <n v="16.666666666666664"/>
    <n v="49.116647582986964"/>
    <x v="316"/>
    <n v="4"/>
  </r>
  <r>
    <s v="US&gt;Brand Propensities&gt;Electronics&gt;RadioShack Buyer Propensity"/>
    <x v="1"/>
    <s v="10% Discount - Ends 6/1"/>
    <s v="Nashville"/>
    <x v="5"/>
    <x v="4"/>
    <x v="2"/>
    <x v="1"/>
    <n v="60412"/>
    <n v="6"/>
    <n v="33457"/>
    <n v="52172"/>
    <n v="24"/>
    <x v="317"/>
    <n v="9.9318016288154672E-3"/>
    <n v="279.92878466666667"/>
    <n v="69.982196166666668"/>
    <n v="400"/>
    <n v="32.192990646323693"/>
    <x v="317"/>
    <n v="4"/>
  </r>
  <r>
    <s v="Mobile - US&gt;Financial Services&gt;Digital Payments&gt;Chase Pay"/>
    <x v="1"/>
    <s v="10% Discount - Ends 6/1"/>
    <s v="Los Angeles"/>
    <x v="4"/>
    <x v="5"/>
    <x v="2"/>
    <x v="0"/>
    <n v="21088"/>
    <n v="6"/>
    <n v="17930"/>
    <n v="19822"/>
    <n v="4"/>
    <x v="318"/>
    <n v="2.8452200303490136E-2"/>
    <n v="270.61360016666669"/>
    <n v="405.92040025"/>
    <n v="66.666666666666657"/>
    <n v="81.913106699626681"/>
    <x v="318"/>
    <n v="4"/>
  </r>
  <r>
    <s v="US&gt;Premium Entertainment and Pastimes&gt;Premium Magazine Enthusiasts"/>
    <x v="1"/>
    <s v="Subscribe Today - 10% Discount"/>
    <s v="Chicago"/>
    <x v="2"/>
    <x v="35"/>
    <x v="5"/>
    <x v="0"/>
    <n v="109567"/>
    <n v="6"/>
    <n v="57620"/>
    <n v="97903"/>
    <n v="5"/>
    <x v="319"/>
    <n v="5.4761013808902314E-3"/>
    <n v="269.45245366666666"/>
    <n v="323.34294439999996"/>
    <n v="83.333333333333343"/>
    <n v="16.513433929501652"/>
    <x v="319"/>
    <n v="3"/>
  </r>
  <r>
    <s v="OnAudience&gt;Interest&gt;Business&gt;Economy"/>
    <x v="1"/>
    <s v="Subscribe Today - 10% Discount"/>
    <s v="South Bend-Elkhart"/>
    <x v="3"/>
    <x v="10"/>
    <x v="2"/>
    <x v="0"/>
    <n v="77748"/>
    <n v="6"/>
    <n v="6170"/>
    <n v="53603"/>
    <n v="3"/>
    <x v="320"/>
    <n v="7.7172403148634047E-3"/>
    <n v="249.71681666666666"/>
    <n v="499.43363333333332"/>
    <n v="50"/>
    <n v="27.951810532992557"/>
    <x v="320"/>
    <n v="4"/>
  </r>
  <r>
    <s v="Mobile - US&gt;Travel&gt;Destination&gt;International Travelers&gt;Frequent Travelers"/>
    <x v="1"/>
    <s v="Sign up Today - 10% Off"/>
    <s v="New York City"/>
    <x v="0"/>
    <x v="18"/>
    <x v="10"/>
    <x v="2"/>
    <n v="18313"/>
    <n v="6"/>
    <n v="9481"/>
    <n v="16300"/>
    <n v="2"/>
    <x v="321"/>
    <n v="3.2763610549882596E-2"/>
    <n v="242.82236450000002"/>
    <n v="728.46709350000003"/>
    <n v="33.333333333333329"/>
    <n v="89.382465460122702"/>
    <x v="321"/>
    <n v="5"/>
  </r>
  <r>
    <s v="Mobile - US&gt;Automotive&gt;Repair &amp; Oil Change&gt;Intend"/>
    <x v="0"/>
    <s v="Subscribe Today - 10% Discount"/>
    <s v="San Francisco"/>
    <x v="4"/>
    <x v="105"/>
    <x v="8"/>
    <x v="0"/>
    <n v="9157"/>
    <n v="6"/>
    <n v="4520"/>
    <n v="8037"/>
    <n v="1"/>
    <x v="322"/>
    <n v="6.5523643114557176E-2"/>
    <n v="241.52963399999999"/>
    <n v="1449.1778039999999"/>
    <n v="16.666666666666664"/>
    <n v="180.31327659574467"/>
    <x v="322"/>
    <n v="4"/>
  </r>
  <r>
    <s v="Mobile - US&gt;Sports&gt;UFC Fans"/>
    <x v="0"/>
    <s v="Sign up Today - 10% Off"/>
    <s v="Peoria-Bloomington"/>
    <x v="2"/>
    <x v="106"/>
    <x v="2"/>
    <x v="0"/>
    <n v="22180"/>
    <n v="6"/>
    <n v="4835"/>
    <n v="19291"/>
    <n v="9"/>
    <x v="323"/>
    <n v="2.7051397655545536E-2"/>
    <n v="240.27184916666667"/>
    <n v="160.18123277777778"/>
    <n v="150"/>
    <n v="74.730760199056562"/>
    <x v="323"/>
    <n v="3"/>
  </r>
  <r>
    <s v="Online Behavior&gt;United States&gt;Finance&gt;Financial Planning and Management&gt;Retirement and Pension"/>
    <x v="0"/>
    <s v="Sign up Today - 10% Off"/>
    <s v="Orlando-Daytona Beach"/>
    <x v="1"/>
    <x v="17"/>
    <x v="5"/>
    <x v="0"/>
    <n v="18324"/>
    <n v="5"/>
    <n v="3145"/>
    <n v="13703"/>
    <n v="1"/>
    <x v="324"/>
    <n v="2.7286618642217854E-2"/>
    <n v="1399.2463676"/>
    <n v="6996.2318379999997"/>
    <n v="20"/>
    <n v="510.56205487849371"/>
    <x v="324"/>
    <n v="5"/>
  </r>
  <r>
    <s v="Online Behavior&gt;United States&gt;Jobs and Education&gt;Jobs"/>
    <x v="1"/>
    <s v="Sign up Today - 10% Off"/>
    <s v="Jacksonville"/>
    <x v="1"/>
    <x v="30"/>
    <x v="5"/>
    <x v="0"/>
    <n v="21280"/>
    <n v="5"/>
    <n v="15309"/>
    <n v="20244"/>
    <n v="6"/>
    <x v="325"/>
    <n v="2.3496240601503758E-2"/>
    <n v="1367.5021204"/>
    <n v="1139.5851003333335"/>
    <n v="120"/>
    <n v="337.75492007508399"/>
    <x v="325"/>
    <n v="4"/>
  </r>
  <r>
    <s v="Online Behavior&gt;United States&gt;Home and Garden&gt;Kitchen and Dining"/>
    <x v="1"/>
    <s v="Subscribe Today - 10% Discount"/>
    <s v="Grand Rapids-Kalamazoo"/>
    <x v="6"/>
    <x v="82"/>
    <x v="8"/>
    <x v="2"/>
    <n v="123430"/>
    <n v="5"/>
    <n v="45294"/>
    <n v="77646"/>
    <n v="15"/>
    <x v="326"/>
    <n v="4.0508790407518432E-3"/>
    <n v="1361.7125168"/>
    <n v="453.90417226666671"/>
    <n v="300"/>
    <n v="87.687229013728981"/>
    <x v="326"/>
    <n v="4"/>
  </r>
  <r>
    <s v="Online Behavior&gt;United States&gt;Intent&gt;Auto Buyers&gt;Car Make&gt;Volkswagen"/>
    <x v="1"/>
    <s v="Sign up Today - 10% Off"/>
    <s v="Chicago"/>
    <x v="2"/>
    <x v="107"/>
    <x v="5"/>
    <x v="0"/>
    <n v="14451"/>
    <n v="5"/>
    <n v="5606"/>
    <n v="13461"/>
    <n v="1"/>
    <x v="327"/>
    <n v="3.4599681682928513E-2"/>
    <n v="1279.5205036"/>
    <n v="6397.6025179999997"/>
    <n v="20"/>
    <n v="475.26948354505606"/>
    <x v="327"/>
    <n v="6"/>
  </r>
  <r>
    <s v="Online Behavior&gt;United States&gt;Validated Demographic&gt;Age&gt;18-64"/>
    <x v="1"/>
    <s v="10% Discount - Ends 6/1"/>
    <s v="Grand Rapids-Kalamazoo"/>
    <x v="6"/>
    <x v="81"/>
    <x v="5"/>
    <x v="1"/>
    <n v="48562"/>
    <n v="5"/>
    <n v="29108"/>
    <n v="45570"/>
    <n v="11"/>
    <x v="328"/>
    <n v="1.029611630492978E-2"/>
    <n v="1269.3266048"/>
    <n v="576.96663854545454"/>
    <n v="220.00000000000003"/>
    <n v="139.27217520298441"/>
    <x v="328"/>
    <n v="5"/>
  </r>
  <r>
    <s v="Online Behavior&gt;United States&gt;Intent&gt;Auto Buyers&gt;Car Make&gt;Subaru"/>
    <x v="1"/>
    <s v="Sign up Today - 10% Off"/>
    <s v="Los Angeles"/>
    <x v="4"/>
    <x v="67"/>
    <x v="4"/>
    <x v="2"/>
    <n v="7965"/>
    <n v="5"/>
    <n v="5230"/>
    <n v="6923"/>
    <n v="10"/>
    <x v="329"/>
    <n v="6.2774639045825489E-2"/>
    <n v="1259.7027857999999"/>
    <n v="629.85139289999995"/>
    <n v="200"/>
    <n v="909.79545413837923"/>
    <x v="329"/>
    <n v="6"/>
  </r>
  <r>
    <s v="Online Behavior&gt;United States&gt;Sports&gt;Individual Sports&gt;Cycling"/>
    <x v="1"/>
    <s v="10% Discount - Ends 6/1"/>
    <s v="Memphis"/>
    <x v="5"/>
    <x v="4"/>
    <x v="0"/>
    <x v="1"/>
    <n v="117518"/>
    <n v="5"/>
    <n v="66458"/>
    <n v="86571"/>
    <n v="1"/>
    <x v="330"/>
    <n v="4.2546673701050058E-3"/>
    <n v="1199.9987562000001"/>
    <n v="5999.9937810000001"/>
    <n v="20"/>
    <n v="69.307201961395847"/>
    <x v="330"/>
    <n v="5"/>
  </r>
  <r>
    <s v="Online Behavior&gt;United States&gt;Real Estate&gt;Homeowner"/>
    <x v="1"/>
    <s v="10% Discount - Ends 6/1"/>
    <s v="New York City"/>
    <x v="0"/>
    <x v="11"/>
    <x v="2"/>
    <x v="0"/>
    <n v="161178"/>
    <n v="5"/>
    <n v="70181"/>
    <n v="150003"/>
    <n v="11"/>
    <x v="331"/>
    <n v="3.102160344463885E-3"/>
    <n v="1178.4964359999999"/>
    <n v="535.68019818181813"/>
    <n v="220.00000000000003"/>
    <n v="39.282428884755639"/>
    <x v="331"/>
    <n v="4"/>
  </r>
  <r>
    <s v="Online Behavior&gt;United States&gt;Beauty and Fitness&gt;Fitness&gt;Gyms and Health Clubs"/>
    <x v="0"/>
    <s v="Sign up Today - 10% Off"/>
    <s v="New York City"/>
    <x v="0"/>
    <x v="75"/>
    <x v="2"/>
    <x v="0"/>
    <n v="25835"/>
    <n v="5"/>
    <n v="3753"/>
    <n v="20808"/>
    <n v="11"/>
    <x v="332"/>
    <n v="1.9353590090961874E-2"/>
    <n v="1150.3824594"/>
    <n v="522.90111790909089"/>
    <n v="220.00000000000003"/>
    <n v="276.42792661476358"/>
    <x v="332"/>
    <n v="5"/>
  </r>
  <r>
    <s v="Online Behavior&gt;United States&gt;Travel&gt;Tourist Destinations&gt;Mountain and Ski Resorts"/>
    <x v="0"/>
    <s v="Subscribe Today - 10% Discount"/>
    <s v="West Palm Beach-Ft. Pierce"/>
    <x v="1"/>
    <x v="0"/>
    <x v="1"/>
    <x v="0"/>
    <n v="35178"/>
    <n v="5"/>
    <n v="23374"/>
    <n v="33779"/>
    <n v="5"/>
    <x v="333"/>
    <n v="1.4213428847575189E-2"/>
    <n v="1147.7618178"/>
    <n v="1147.7618178"/>
    <n v="100"/>
    <n v="169.89280585570918"/>
    <x v="333"/>
    <n v="5"/>
  </r>
  <r>
    <s v="Online Behavior&gt;United States&gt;Validated Demographic&gt;Age&gt;18-54"/>
    <x v="0"/>
    <s v="10% Discount - Ends 6/1"/>
    <s v="Knoxville"/>
    <x v="5"/>
    <x v="108"/>
    <x v="5"/>
    <x v="0"/>
    <n v="12214"/>
    <n v="5"/>
    <n v="5376"/>
    <n v="11490"/>
    <n v="1"/>
    <x v="334"/>
    <n v="4.0936630096610443E-2"/>
    <n v="1123.2618803999999"/>
    <n v="5616.3094019999999"/>
    <n v="20"/>
    <n v="488.7997738903394"/>
    <x v="334"/>
    <n v="5"/>
  </r>
  <r>
    <s v="Online Behavior&gt;United States&gt;Validated Demographic&gt;Gender and Age Combined&gt;Females 65 or older"/>
    <x v="0"/>
    <s v="Sign up Today - 10% Off"/>
    <s v="Chicago"/>
    <x v="2"/>
    <x v="35"/>
    <x v="2"/>
    <x v="0"/>
    <n v="232470"/>
    <n v="5"/>
    <n v="40870"/>
    <n v="195447"/>
    <n v="36"/>
    <x v="335"/>
    <n v="2.1508151589452401E-3"/>
    <n v="1080.273017"/>
    <n v="150.03791902777778"/>
    <n v="720"/>
    <n v="27.635958009076631"/>
    <x v="335"/>
    <n v="5"/>
  </r>
  <r>
    <s v="Online Behavior&gt;United States&gt;Home and Garden&gt;Homemaking and Interior Decor"/>
    <x v="1"/>
    <s v="10% Discount - Ends 6/1"/>
    <s v="Los Angeles"/>
    <x v="4"/>
    <x v="109"/>
    <x v="2"/>
    <x v="0"/>
    <n v="7921"/>
    <n v="5"/>
    <n v="4727"/>
    <n v="6513"/>
    <n v="1"/>
    <x v="336"/>
    <n v="6.3123343012245925E-2"/>
    <n v="1075.8002879999999"/>
    <n v="5379.00144"/>
    <n v="20"/>
    <n v="825.88690925840626"/>
    <x v="336"/>
    <n v="4"/>
  </r>
  <r>
    <s v="Online Behavior&gt;United States&gt;Autos and Vehicles&gt;Brands&gt;LandRover"/>
    <x v="1"/>
    <s v="Sign up Now - 10% Off"/>
    <s v="Jacksonville"/>
    <x v="1"/>
    <x v="11"/>
    <x v="2"/>
    <x v="2"/>
    <n v="104538"/>
    <n v="5"/>
    <n v="49049"/>
    <n v="97093"/>
    <n v="2"/>
    <x v="337"/>
    <n v="4.7829497407641235E-3"/>
    <n v="1053.2848466"/>
    <n v="2633.2121164999999"/>
    <n v="40"/>
    <n v="54.241029044318331"/>
    <x v="337"/>
    <n v="5"/>
  </r>
  <r>
    <s v="Online Behavior&gt;United States&gt;Games&gt;Family-Oriented Games and Activities"/>
    <x v="1"/>
    <s v="Sign up Now - 10% Off"/>
    <s v="Los Angeles"/>
    <x v="4"/>
    <x v="110"/>
    <x v="1"/>
    <x v="1"/>
    <n v="25021"/>
    <n v="5"/>
    <n v="11084"/>
    <n v="18079"/>
    <n v="9"/>
    <x v="338"/>
    <n v="1.9983214100155869E-2"/>
    <n v="992.2957768"/>
    <n v="551.27543155555554"/>
    <n v="180"/>
    <n v="274.43325869793682"/>
    <x v="338"/>
    <n v="4"/>
  </r>
  <r>
    <s v="Online Behavior&gt;United States&gt;B2B&gt;Occupation&gt;SystemsAnalyst"/>
    <x v="0"/>
    <s v="Sign up Now - 10% Off"/>
    <s v="Chicago"/>
    <x v="2"/>
    <x v="53"/>
    <x v="2"/>
    <x v="0"/>
    <n v="95289"/>
    <n v="5"/>
    <n v="19527"/>
    <n v="82800"/>
    <n v="2"/>
    <x v="339"/>
    <n v="5.2471953740725582E-3"/>
    <n v="644.70718959999999"/>
    <n v="1611.7679740000001"/>
    <n v="40"/>
    <n v="38.93159357487923"/>
    <x v="339"/>
    <n v="5"/>
  </r>
  <r>
    <s v="US&gt;Reach&gt;Propensity Models&gt;Lifestyle&gt;Healthy Living"/>
    <x v="1"/>
    <s v="Subscribe Today - 10% Discount"/>
    <s v="Peoria-Bloomington"/>
    <x v="2"/>
    <x v="50"/>
    <x v="2"/>
    <x v="0"/>
    <n v="15449"/>
    <n v="5"/>
    <n v="4595"/>
    <n v="13765"/>
    <n v="1"/>
    <x v="340"/>
    <n v="3.236455434008674E-2"/>
    <n v="624.58851479999998"/>
    <n v="3122.9425740000001"/>
    <n v="20"/>
    <n v="226.87559564111879"/>
    <x v="340"/>
    <n v="5"/>
  </r>
  <r>
    <s v="US&gt;Demo&gt;Age&gt;65+"/>
    <x v="0"/>
    <s v="Sign up Now - 10% Off"/>
    <s v="Nashville"/>
    <x v="5"/>
    <x v="4"/>
    <x v="2"/>
    <x v="0"/>
    <n v="58738"/>
    <n v="5"/>
    <n v="33538"/>
    <n v="47535"/>
    <n v="14"/>
    <x v="341"/>
    <n v="8.5123769961524057E-3"/>
    <n v="560.31687720000002"/>
    <n v="200.11317042857144"/>
    <n v="280"/>
    <n v="58.937296434206374"/>
    <x v="341"/>
    <n v="4"/>
  </r>
  <r>
    <s v="Travel and Tourism"/>
    <x v="0"/>
    <s v="Subscribe Today - 10% Discount"/>
    <s v="Los Angeles"/>
    <x v="4"/>
    <x v="0"/>
    <x v="6"/>
    <x v="0"/>
    <n v="3354"/>
    <n v="5"/>
    <n v="1607"/>
    <n v="3014"/>
    <n v="13"/>
    <x v="342"/>
    <n v="0.1490757304710793"/>
    <n v="522.15881960000002"/>
    <n v="200.83031523076923"/>
    <n v="260"/>
    <n v="866.22232846715315"/>
    <x v="342"/>
    <n v="1"/>
  </r>
  <r>
    <s v="US&gt;Reach&gt;Propensity Models&gt;Luxury Store Shoppers"/>
    <x v="2"/>
    <s v="Subscribe Today - 10% Discount"/>
    <s v="Memphis"/>
    <x v="5"/>
    <x v="111"/>
    <x v="2"/>
    <x v="0"/>
    <n v="15602"/>
    <n v="5"/>
    <n v="7676"/>
    <n v="13775"/>
    <n v="1"/>
    <x v="343"/>
    <n v="3.2047173439302655E-2"/>
    <n v="520.17886539999995"/>
    <n v="2600.894327"/>
    <n v="20"/>
    <n v="188.81265531760437"/>
    <x v="343"/>
    <n v="4"/>
  </r>
  <r>
    <s v="US&gt;Reach&gt;Propensity Models&gt;Online&gt;Pets"/>
    <x v="0"/>
    <s v="Subscribe Today - 10% Discount"/>
    <s v="Los Angeles"/>
    <x v="4"/>
    <x v="12"/>
    <x v="2"/>
    <x v="0"/>
    <n v="68008"/>
    <n v="5"/>
    <n v="2996"/>
    <n v="49686"/>
    <n v="9"/>
    <x v="344"/>
    <n v="7.3520762263263144E-3"/>
    <n v="384.76162820000002"/>
    <n v="213.7564601111111"/>
    <n v="180"/>
    <n v="38.719320150545428"/>
    <x v="344"/>
    <n v="5"/>
  </r>
  <r>
    <s v="US&gt;Interest Propensities&gt;TV and Movies&gt;News TV"/>
    <x v="0"/>
    <s v="Subscribe Today - 10% Discount"/>
    <s v="Savannah"/>
    <x v="8"/>
    <x v="112"/>
    <x v="10"/>
    <x v="0"/>
    <n v="3985"/>
    <n v="5"/>
    <n v="2690"/>
    <n v="3766"/>
    <n v="15"/>
    <x v="345"/>
    <n v="0.12547051442910914"/>
    <n v="369.92226420000003"/>
    <n v="123.30742140000001"/>
    <n v="300"/>
    <n v="491.13417976633036"/>
    <x v="345"/>
    <n v="4"/>
  </r>
  <r>
    <s v="US&gt;Sociodemographic&gt;P$YCLE Premier Lifestage&gt;M2 Wealthy Achievers"/>
    <x v="0"/>
    <s v="10% Discount - Ends 6/1"/>
    <s v="San Francisco"/>
    <x v="4"/>
    <x v="113"/>
    <x v="2"/>
    <x v="0"/>
    <n v="11025"/>
    <n v="5"/>
    <n v="7974"/>
    <n v="10311"/>
    <n v="4"/>
    <x v="346"/>
    <n v="4.5351473922902494E-2"/>
    <n v="331.43195320000001"/>
    <n v="414.2899415"/>
    <n v="80"/>
    <n v="160.71765745320533"/>
    <x v="346"/>
    <n v="4"/>
  </r>
  <r>
    <s v="Lotame&gt;Technology&gt;Electronics &amp; Gadgets"/>
    <x v="1"/>
    <s v="10% Discount - Ends 6/1"/>
    <s v="Flint-Saginaw-Bay City"/>
    <x v="6"/>
    <x v="52"/>
    <x v="2"/>
    <x v="2"/>
    <n v="16236"/>
    <n v="5"/>
    <n v="8669"/>
    <n v="15208"/>
    <n v="11"/>
    <x v="347"/>
    <n v="3.0795762503079575E-2"/>
    <n v="327.96273919999999"/>
    <n v="149.07397236363636"/>
    <n v="220.00000000000003"/>
    <n v="107.82572961599158"/>
    <x v="347"/>
    <n v="3"/>
  </r>
  <r>
    <s v="Mobile - US&gt;Travel&gt;Car Rentals&gt;Hertz"/>
    <x v="0"/>
    <s v="Sign up Today - 10% Off"/>
    <s v="Chicago"/>
    <x v="2"/>
    <x v="11"/>
    <x v="1"/>
    <x v="0"/>
    <n v="87287"/>
    <n v="5"/>
    <n v="40039"/>
    <n v="80040"/>
    <n v="18"/>
    <x v="348"/>
    <n v="5.7282298624079181E-3"/>
    <n v="315.87346919999999"/>
    <n v="87.742630333333338"/>
    <n v="360"/>
    <n v="19.732225712143929"/>
    <x v="348"/>
    <n v="4"/>
  </r>
  <r>
    <s v="US Interest&gt;Home&gt;Home Improvement&gt;Home Improvement Grouping"/>
    <x v="0"/>
    <s v="Subscribe Today - 10% Discount"/>
    <s v="Chicago"/>
    <x v="2"/>
    <x v="0"/>
    <x v="2"/>
    <x v="0"/>
    <n v="21478"/>
    <n v="5"/>
    <n v="15548"/>
    <n v="20651"/>
    <n v="24"/>
    <x v="349"/>
    <n v="2.3279634975323586E-2"/>
    <n v="308.2428094"/>
    <n v="64.217251958333335"/>
    <n v="480"/>
    <n v="74.631448694978459"/>
    <x v="349"/>
    <n v="4"/>
  </r>
  <r>
    <s v="Mobile - US&gt;Automotive&gt;Vehicle Ownership&gt;Brand&gt;BMW"/>
    <x v="0"/>
    <s v="10% Discount - Ends 6/1"/>
    <s v="Nashville"/>
    <x v="5"/>
    <x v="114"/>
    <x v="1"/>
    <x v="0"/>
    <n v="17561"/>
    <n v="5"/>
    <n v="2960"/>
    <n v="9953"/>
    <n v="10"/>
    <x v="350"/>
    <n v="2.847218267752406E-2"/>
    <n v="303.98080199999998"/>
    <n v="151.99040099999999"/>
    <n v="200"/>
    <n v="152.7081292072742"/>
    <x v="350"/>
    <n v="5"/>
  </r>
  <r>
    <s v="Mobile - US&gt;Device Ownership&gt;Smartphones&gt;iOS (Apple)&gt;iPhone X"/>
    <x v="1"/>
    <s v="Sign up Now - 10% Off"/>
    <s v="Orlando-Daytona Beach"/>
    <x v="1"/>
    <x v="35"/>
    <x v="6"/>
    <x v="1"/>
    <n v="74426"/>
    <n v="5"/>
    <n v="39257"/>
    <n v="67151"/>
    <n v="15"/>
    <x v="351"/>
    <n v="6.7180823905624376E-3"/>
    <n v="303.91931039999997"/>
    <n v="101.3064368"/>
    <n v="300"/>
    <n v="22.629544638203448"/>
    <x v="351"/>
    <n v="5"/>
  </r>
  <r>
    <s v="Online Behavior&gt;United States&gt;Travel&gt;Tourist Destinations&gt;Theme Parks"/>
    <x v="0"/>
    <s v="Sign up Now - 10% Off"/>
    <s v="Los Angeles"/>
    <x v="4"/>
    <x v="115"/>
    <x v="2"/>
    <x v="0"/>
    <n v="318269"/>
    <n v="4"/>
    <n v="33355"/>
    <n v="295405"/>
    <n v="44"/>
    <x v="352"/>
    <n v="1.2567984943554038E-3"/>
    <n v="1963.6829977499999"/>
    <n v="178.51663615909089"/>
    <n v="1100"/>
    <n v="26.589705627866827"/>
    <x v="352"/>
    <n v="5"/>
  </r>
  <r>
    <s v="Online Behavior&gt;United States&gt;Travel&gt;Tourist Destinations&gt;Beaches and Islands"/>
    <x v="2"/>
    <s v="10% Discount - Ends 6/1"/>
    <s v="Chicago"/>
    <x v="2"/>
    <x v="68"/>
    <x v="2"/>
    <x v="0"/>
    <n v="19461"/>
    <n v="4"/>
    <n v="14647"/>
    <n v="18731"/>
    <n v="1"/>
    <x v="353"/>
    <n v="2.0553928369559632E-2"/>
    <n v="1827.9996874999999"/>
    <n v="7311.9987499999997"/>
    <n v="25"/>
    <n v="390.36884042496393"/>
    <x v="353"/>
    <n v="5"/>
  </r>
  <r>
    <s v="Online Behavior&gt;United States&gt;Sports&gt;Team Sports&gt;Basketball"/>
    <x v="1"/>
    <s v="Sign up Today - 10% Off"/>
    <s v="New York City"/>
    <x v="0"/>
    <x v="116"/>
    <x v="5"/>
    <x v="1"/>
    <n v="19379"/>
    <n v="4"/>
    <n v="12168"/>
    <n v="16616"/>
    <n v="97"/>
    <x v="354"/>
    <n v="2.0640899943237527E-2"/>
    <n v="1823.5250002499999"/>
    <n v="75.196907226804115"/>
    <n v="2425"/>
    <n v="438.98050078237844"/>
    <x v="354"/>
    <n v="5"/>
  </r>
  <r>
    <s v="Online Behavior&gt;United States&gt;Sports&gt;Team Sports&gt;Baseball"/>
    <x v="0"/>
    <s v="Sign up Now - 10% Off"/>
    <s v="New York City"/>
    <x v="0"/>
    <x v="75"/>
    <x v="10"/>
    <x v="0"/>
    <n v="19334"/>
    <n v="4"/>
    <n v="8673"/>
    <n v="18578"/>
    <n v="11"/>
    <x v="355"/>
    <n v="2.0688941760628944E-2"/>
    <n v="1823.03376475"/>
    <n v="662.92136900000003"/>
    <n v="275"/>
    <n v="392.51453649477878"/>
    <x v="355"/>
    <n v="5"/>
  </r>
  <r>
    <s v="Online Behavior&gt;United States&gt;Finance&gt;Banking&gt;Debit and Checking Services"/>
    <x v="1"/>
    <s v="Subscribe Today - 10% Discount"/>
    <s v="Chicago"/>
    <x v="2"/>
    <x v="117"/>
    <x v="1"/>
    <x v="0"/>
    <n v="8362"/>
    <n v="4"/>
    <n v="5959"/>
    <n v="7947"/>
    <n v="7"/>
    <x v="356"/>
    <n v="4.7835446065534561E-2"/>
    <n v="1749.3672407500001"/>
    <n v="999.63842328571434"/>
    <n v="175"/>
    <n v="880.5170458034479"/>
    <x v="356"/>
    <n v="5"/>
  </r>
  <r>
    <s v="Online Behavior&gt;United States&gt;Arts and Entertainment&gt;Events and Listings&gt;Event Ticket Sales"/>
    <x v="2"/>
    <s v="Sign up Today - 10% Off"/>
    <s v="Nashville"/>
    <x v="5"/>
    <x v="54"/>
    <x v="4"/>
    <x v="0"/>
    <n v="23488"/>
    <n v="4"/>
    <n v="4620"/>
    <n v="22254"/>
    <n v="1"/>
    <x v="357"/>
    <n v="1.7029972752043595E-2"/>
    <n v="1666.93192875"/>
    <n v="6667.727715"/>
    <n v="25"/>
    <n v="299.61929158802911"/>
    <x v="357"/>
    <n v="5"/>
  </r>
  <r>
    <s v="Online Behavior&gt;United States&gt;News&gt;Local News"/>
    <x v="0"/>
    <s v="Sign up Today - 10% Off"/>
    <s v="Memphis"/>
    <x v="5"/>
    <x v="50"/>
    <x v="9"/>
    <x v="0"/>
    <n v="44889"/>
    <n v="4"/>
    <n v="17477"/>
    <n v="38621"/>
    <n v="1"/>
    <x v="358"/>
    <n v="8.910869032502395E-3"/>
    <n v="1661.2385365"/>
    <n v="6644.954146"/>
    <n v="25"/>
    <n v="172.05546583464954"/>
    <x v="358"/>
    <n v="4"/>
  </r>
  <r>
    <s v="Online Behavior&gt;United States&gt;Games&gt;Arcade and Coin-Op Games"/>
    <x v="0"/>
    <s v="Sign up Today - 10% Off"/>
    <s v="Ft. Myers-Naples"/>
    <x v="1"/>
    <x v="8"/>
    <x v="1"/>
    <x v="0"/>
    <n v="120603"/>
    <n v="4"/>
    <n v="47405"/>
    <n v="100881"/>
    <n v="10"/>
    <x v="359"/>
    <n v="3.316667081250052E-3"/>
    <n v="1658.3831587499999"/>
    <n v="663.35326349999991"/>
    <n v="250"/>
    <n v="65.756015850358338"/>
    <x v="359"/>
    <n v="4"/>
  </r>
  <r>
    <s v="Online Behavior&gt;United States&gt;Sports&gt;Sports League&gt;MLB"/>
    <x v="0"/>
    <s v="10% Discount - Ends 6/1"/>
    <s v="New York City"/>
    <x v="0"/>
    <x v="118"/>
    <x v="2"/>
    <x v="0"/>
    <n v="19093"/>
    <n v="4"/>
    <n v="9626"/>
    <n v="17815"/>
    <n v="10"/>
    <x v="360"/>
    <n v="2.0950086419106478E-2"/>
    <n v="1653.0364225000001"/>
    <n v="661.21456899999998"/>
    <n v="250"/>
    <n v="371.15608700533261"/>
    <x v="360"/>
    <n v="5"/>
  </r>
  <r>
    <s v="Online Behavior&gt;United States&gt;Sports&gt;Individual Sports&gt;Golf"/>
    <x v="1"/>
    <s v="Sign up Today - 10% Off"/>
    <s v="Miami-Ft. Lauderdale"/>
    <x v="1"/>
    <x v="50"/>
    <x v="8"/>
    <x v="0"/>
    <n v="69928"/>
    <n v="4"/>
    <n v="30196"/>
    <n v="62327"/>
    <n v="7"/>
    <x v="361"/>
    <n v="5.7201693170117838E-3"/>
    <n v="1579.60327125"/>
    <n v="902.63044071428578"/>
    <n v="175"/>
    <n v="101.37521595777112"/>
    <x v="361"/>
    <n v="5"/>
  </r>
  <r>
    <s v="Online Behavior&gt;United States&gt;Food and Drink&gt;Beverages&gt;Juice"/>
    <x v="0"/>
    <s v="Sign up Now - 10% Off"/>
    <s v="Los Angeles"/>
    <x v="4"/>
    <x v="50"/>
    <x v="2"/>
    <x v="0"/>
    <n v="40859"/>
    <n v="4"/>
    <n v="17695"/>
    <n v="37108"/>
    <n v="1"/>
    <x v="362"/>
    <n v="9.7897648009006594E-3"/>
    <n v="1532.5921062499999"/>
    <n v="6130.3684249999997"/>
    <n v="25"/>
    <n v="165.20341772663573"/>
    <x v="362"/>
    <n v="5"/>
  </r>
  <r>
    <s v="Online Behavior&gt;United States&gt;Autos and Vehicles&gt;Brands&gt;SEAT"/>
    <x v="1"/>
    <s v="Sign up Now - 10% Off"/>
    <s v="Chicago"/>
    <x v="2"/>
    <x v="26"/>
    <x v="1"/>
    <x v="0"/>
    <n v="14083"/>
    <n v="4"/>
    <n v="9945"/>
    <n v="12878"/>
    <n v="1"/>
    <x v="363"/>
    <n v="2.8403039125186397E-2"/>
    <n v="1494.9175"/>
    <n v="5979.67"/>
    <n v="25"/>
    <n v="464.33219444013048"/>
    <x v="363"/>
    <n v="5"/>
  </r>
  <r>
    <s v="Online Behavior&gt;United States&gt;Beauty and Fitness&gt;Fitness&gt;Bodybuilding"/>
    <x v="1"/>
    <s v="10% Discount - Ends 6/1"/>
    <s v="West Palm Beach-Ft. Pierce"/>
    <x v="1"/>
    <x v="90"/>
    <x v="4"/>
    <x v="0"/>
    <n v="57168"/>
    <n v="4"/>
    <n v="43261"/>
    <n v="55261"/>
    <n v="12"/>
    <x v="364"/>
    <n v="6.9969213546039744E-3"/>
    <n v="1460.28784"/>
    <n v="486.76261333333332"/>
    <n v="300"/>
    <n v="105.70115198783952"/>
    <x v="364"/>
    <n v="5"/>
  </r>
  <r>
    <s v="Online Behavior&gt;United States&gt;Travel&gt;Cruises and Charters"/>
    <x v="1"/>
    <s v="Sign up Now - 10% Off"/>
    <s v="Los Angeles"/>
    <x v="4"/>
    <x v="11"/>
    <x v="4"/>
    <x v="2"/>
    <n v="161222"/>
    <n v="4"/>
    <n v="66740"/>
    <n v="149743"/>
    <n v="19"/>
    <x v="365"/>
    <n v="2.4810509731922445E-3"/>
    <n v="1441.9493452500001"/>
    <n v="303.56828321052632"/>
    <n v="475"/>
    <n v="38.517976673367038"/>
    <x v="365"/>
    <n v="4"/>
  </r>
  <r>
    <s v="Online Behavior&gt;United States&gt;Validated Demographic&gt;Gender and Age Combined&gt;Males 18-64"/>
    <x v="1"/>
    <s v="Sign up Today - 10% Off"/>
    <s v="Jacksonville"/>
    <x v="1"/>
    <x v="119"/>
    <x v="1"/>
    <x v="0"/>
    <n v="9702"/>
    <n v="4"/>
    <n v="5564"/>
    <n v="8210"/>
    <n v="1"/>
    <x v="366"/>
    <n v="4.1228612657184083E-2"/>
    <n v="1427.8480024999999"/>
    <n v="5711.3920099999996"/>
    <n v="25"/>
    <n v="695.6628514007308"/>
    <x v="366"/>
    <n v="5"/>
  </r>
  <r>
    <s v="Online Behavior&gt;United States&gt;Autos and Vehicles&gt;Brands&gt;Cadillac"/>
    <x v="0"/>
    <s v="Subscribe Today - 10% Discount"/>
    <s v="South Bend-Elkhart"/>
    <x v="3"/>
    <x v="120"/>
    <x v="2"/>
    <x v="0"/>
    <n v="14011"/>
    <n v="4"/>
    <n v="5060"/>
    <n v="12459"/>
    <n v="1"/>
    <x v="367"/>
    <n v="2.8548997216472773E-2"/>
    <n v="1408.0219932499999"/>
    <n v="5632.0879729999997"/>
    <n v="25"/>
    <n v="452.04976105626451"/>
    <x v="367"/>
    <n v="5"/>
  </r>
  <r>
    <s v="Online Behavior&gt;United States&gt;Internet and Telecom&gt;Search Engines"/>
    <x v="1"/>
    <s v="10% Discount - Ends 6/1"/>
    <s v="Chicago"/>
    <x v="2"/>
    <x v="12"/>
    <x v="5"/>
    <x v="1"/>
    <n v="26439"/>
    <n v="4"/>
    <n v="7093"/>
    <n v="19681"/>
    <n v="1"/>
    <x v="368"/>
    <n v="1.5129165248307425E-2"/>
    <n v="1332.6954922499999"/>
    <n v="5330.7819689999997"/>
    <n v="25"/>
    <n v="270.85930435445351"/>
    <x v="368"/>
    <n v="4"/>
  </r>
  <r>
    <s v="Online Behavior&gt;United States&gt;Arts and Entertainment&gt;TV and Video"/>
    <x v="2"/>
    <s v="Subscribe Today - 10% Discount"/>
    <s v="New York City"/>
    <x v="0"/>
    <x v="4"/>
    <x v="1"/>
    <x v="0"/>
    <n v="13946"/>
    <n v="4"/>
    <n v="3142"/>
    <n v="8823"/>
    <n v="1"/>
    <x v="369"/>
    <n v="2.8682059371862901E-2"/>
    <n v="1230.0586575"/>
    <n v="4920.2346299999999"/>
    <n v="25"/>
    <n v="557.66005100306018"/>
    <x v="369"/>
    <n v="4"/>
  </r>
  <r>
    <s v="Online Behavior&gt;United States&gt;Intent&gt;Shopping&gt;CPG&gt;Cosmetics"/>
    <x v="0"/>
    <s v="Subscribe Today - 10% Discount"/>
    <s v="Chicago"/>
    <x v="2"/>
    <x v="12"/>
    <x v="2"/>
    <x v="0"/>
    <n v="43327"/>
    <n v="4"/>
    <n v="4689"/>
    <n v="31363"/>
    <n v="1"/>
    <x v="370"/>
    <n v="9.2321185404020591E-3"/>
    <n v="1138.7192210000001"/>
    <n v="4554.8768840000002"/>
    <n v="25"/>
    <n v="145.23090533431113"/>
    <x v="370"/>
    <n v="6"/>
  </r>
  <r>
    <s v="Online Behavior&gt;United States&gt;Beauty and Fitness&gt;Beauty Pageants"/>
    <x v="1"/>
    <s v="Sign up Today - 10% Off"/>
    <s v="Chicago"/>
    <x v="2"/>
    <x v="8"/>
    <x v="1"/>
    <x v="2"/>
    <n v="7584"/>
    <n v="4"/>
    <n v="3093"/>
    <n v="6897"/>
    <n v="2"/>
    <x v="371"/>
    <n v="5.2742616033755269E-2"/>
    <n v="1116.7701895"/>
    <n v="2233.540379"/>
    <n v="50"/>
    <n v="647.68461041032333"/>
    <x v="371"/>
    <n v="4"/>
  </r>
  <r>
    <s v="US&gt;Reach&gt;Propensity Models&gt;Hobbies and Interest&gt;Sports&gt;Snow Sports"/>
    <x v="1"/>
    <s v="Sign up Today - 10% Off"/>
    <s v="Nashville"/>
    <x v="5"/>
    <x v="47"/>
    <x v="2"/>
    <x v="1"/>
    <n v="4603"/>
    <n v="4"/>
    <n v="3444"/>
    <n v="4131"/>
    <n v="2"/>
    <x v="372"/>
    <n v="8.689984792526613E-2"/>
    <n v="774.53409424999995"/>
    <n v="1549.0681884999999"/>
    <n v="50"/>
    <n v="749.97249503752118"/>
    <x v="372"/>
    <n v="6"/>
  </r>
  <r>
    <s v="US&gt;AUTO&gt;Primary Vehicle&gt;New or Used&gt;New"/>
    <x v="1"/>
    <s v="Sign up Today - 10% Off"/>
    <s v="Los Angeles"/>
    <x v="4"/>
    <x v="121"/>
    <x v="2"/>
    <x v="0"/>
    <n v="12391"/>
    <n v="4"/>
    <n v="5756"/>
    <n v="11636"/>
    <n v="1"/>
    <x v="373"/>
    <n v="3.228149463320152E-2"/>
    <n v="767.28087074999996"/>
    <n v="3069.1234829999999"/>
    <n v="25"/>
    <n v="263.76104185287039"/>
    <x v="373"/>
    <n v="5"/>
  </r>
  <r>
    <s v="US&gt;Reach&gt;Propensity Models&gt;Hobbies and Interest&gt;Food and Drinks&gt;High-end Spirit Drinkers"/>
    <x v="0"/>
    <s v="Sign up Today - 10% Off"/>
    <s v="Chicago"/>
    <x v="2"/>
    <x v="49"/>
    <x v="3"/>
    <x v="0"/>
    <n v="20548"/>
    <n v="4"/>
    <n v="14259"/>
    <n v="19654"/>
    <n v="13"/>
    <x v="374"/>
    <n v="1.9466614755693987E-2"/>
    <n v="765.10619225000005"/>
    <n v="235.41728992307694"/>
    <n v="325"/>
    <n v="155.71510985041215"/>
    <x v="374"/>
    <n v="6"/>
  </r>
  <r>
    <s v="Online Behavior&gt;United States&gt;Finance&gt;Accounting and Auditing&gt;Bookkeeping"/>
    <x v="0"/>
    <s v="10% Discount - Ends 6/1"/>
    <s v="Jackson"/>
    <x v="13"/>
    <x v="52"/>
    <x v="1"/>
    <x v="0"/>
    <n v="69523"/>
    <n v="4"/>
    <n v="48273"/>
    <n v="65800"/>
    <n v="9"/>
    <x v="375"/>
    <n v="5.7534916502452425E-3"/>
    <n v="662.49945075000005"/>
    <n v="294.44420033333336"/>
    <n v="225"/>
    <n v="40.273522841945294"/>
    <x v="375"/>
    <n v="5"/>
  </r>
  <r>
    <s v="US&gt;Financially in Charge&gt;Performance Score: Top 50%"/>
    <x v="0"/>
    <s v="10% Discount - Ends 6/1"/>
    <s v="New York City"/>
    <x v="0"/>
    <x v="12"/>
    <x v="2"/>
    <x v="0"/>
    <n v="12512"/>
    <n v="4"/>
    <n v="6240"/>
    <n v="9672"/>
    <n v="1"/>
    <x v="376"/>
    <n v="3.1969309462915603E-2"/>
    <n v="574.72224125000002"/>
    <n v="2298.8889650000001"/>
    <n v="25"/>
    <n v="237.6849632961125"/>
    <x v="376"/>
    <n v="3"/>
  </r>
  <r>
    <s v="US&gt;B2B&gt;B2B Decision Maker Responsibilities&gt;HR or Personnel Services"/>
    <x v="1"/>
    <s v="Sign up Today - 10% Off"/>
    <s v="Los Angeles"/>
    <x v="4"/>
    <x v="16"/>
    <x v="2"/>
    <x v="1"/>
    <n v="51889"/>
    <n v="4"/>
    <n v="33879"/>
    <n v="49382"/>
    <n v="1"/>
    <x v="377"/>
    <n v="7.7087629362678021E-3"/>
    <n v="543.21043674999999"/>
    <n v="2172.8417469999999"/>
    <n v="25"/>
    <n v="44.000683386659105"/>
    <x v="377"/>
    <n v="4"/>
  </r>
  <r>
    <s v="US&gt;Interest Propensities&gt;Music&gt;Country"/>
    <x v="1"/>
    <s v="10% Discount - Ends 6/1"/>
    <s v="Jacksonville"/>
    <x v="1"/>
    <x v="116"/>
    <x v="2"/>
    <x v="0"/>
    <n v="8716"/>
    <n v="4"/>
    <n v="6490"/>
    <n v="7862"/>
    <n v="1"/>
    <x v="378"/>
    <n v="4.5892611289582379E-2"/>
    <n v="525.20503425000004"/>
    <n v="2100.8201370000002"/>
    <n v="25"/>
    <n v="267.2119227931824"/>
    <x v="378"/>
    <n v="4"/>
  </r>
  <r>
    <s v="US&gt;B2B&gt;B2B Decision Maker Responsibilities&gt;Television providers&gt;services"/>
    <x v="1"/>
    <s v="Subscribe Today - 10% Discount"/>
    <s v="Jacksonville"/>
    <x v="1"/>
    <x v="34"/>
    <x v="2"/>
    <x v="1"/>
    <n v="56737"/>
    <n v="4"/>
    <n v="41296"/>
    <n v="53472"/>
    <n v="2"/>
    <x v="379"/>
    <n v="7.0500731445088749E-3"/>
    <n v="507.092536"/>
    <n v="1014.185072"/>
    <n v="50"/>
    <n v="37.933313584679837"/>
    <x v="379"/>
    <n v="5"/>
  </r>
  <r>
    <s v="US&gt;Interest Propensities&gt;Oil &amp; Gas&gt;QuickTrip"/>
    <x v="0"/>
    <s v="Subscribe Today - 10% Discount"/>
    <s v="Huntsville-Decatur (Florence)"/>
    <x v="15"/>
    <x v="79"/>
    <x v="8"/>
    <x v="0"/>
    <n v="16227"/>
    <n v="4"/>
    <n v="9438"/>
    <n v="15611"/>
    <n v="3"/>
    <x v="380"/>
    <n v="2.4650274234300856E-2"/>
    <n v="497.98595999999998"/>
    <n v="663.98127999999997"/>
    <n v="75"/>
    <n v="127.59873422586637"/>
    <x v="380"/>
    <n v="4"/>
  </r>
  <r>
    <s v="US&gt;Brand Propensities&gt;Telecom and Service Providers&gt;Page Plus Cellular Buyer Propensity"/>
    <x v="0"/>
    <s v="Sign up Today - 10% Off"/>
    <s v="Ft. Wayne"/>
    <x v="3"/>
    <x v="122"/>
    <x v="13"/>
    <x v="0"/>
    <n v="12148"/>
    <n v="4"/>
    <n v="7950"/>
    <n v="11360"/>
    <n v="9"/>
    <x v="381"/>
    <n v="3.2927230819888048E-2"/>
    <n v="484.00201225000001"/>
    <n v="215.11200544444443"/>
    <n v="225"/>
    <n v="170.42324375000001"/>
    <x v="381"/>
    <n v="4"/>
  </r>
  <r>
    <s v="OnAudience&gt;Interest&gt;Shopping"/>
    <x v="2"/>
    <s v="Subscribe Today - 10% Discount"/>
    <s v="Ft. Myers-Naples"/>
    <x v="1"/>
    <x v="29"/>
    <x v="2"/>
    <x v="0"/>
    <n v="63415"/>
    <n v="4"/>
    <n v="28161"/>
    <n v="59169"/>
    <n v="9"/>
    <x v="382"/>
    <n v="6.3076559173697068E-3"/>
    <n v="481.04066875000001"/>
    <n v="213.79585277777778"/>
    <n v="225"/>
    <n v="32.51977682570265"/>
    <x v="382"/>
    <n v="3"/>
  </r>
  <r>
    <s v="US&gt;Interest Propensities&gt;Activities and Interests&gt;Financial Aid"/>
    <x v="1"/>
    <s v="10% Discount - Ends 6/1"/>
    <s v="Los Angeles"/>
    <x v="4"/>
    <x v="40"/>
    <x v="2"/>
    <x v="0"/>
    <n v="12864"/>
    <n v="4"/>
    <n v="5549"/>
    <n v="11852"/>
    <n v="1"/>
    <x v="383"/>
    <n v="3.109452736318408E-2"/>
    <n v="476.47242325000002"/>
    <n v="1905.8896930000001"/>
    <n v="25"/>
    <n v="160.80743275396557"/>
    <x v="383"/>
    <n v="4"/>
  </r>
  <r>
    <s v="US&gt;Interest Propensities&gt;Activities and Interests&gt;Ecommerce"/>
    <x v="1"/>
    <s v="Subscribe Today - 10% Discount"/>
    <s v="New York City"/>
    <x v="0"/>
    <x v="123"/>
    <x v="2"/>
    <x v="1"/>
    <n v="20459"/>
    <n v="4"/>
    <n v="12668"/>
    <n v="18613"/>
    <n v="2"/>
    <x v="384"/>
    <n v="1.955129771738599E-2"/>
    <n v="460.65162824999999"/>
    <n v="921.30325649999997"/>
    <n v="50"/>
    <n v="98.995675764250791"/>
    <x v="384"/>
    <n v="4"/>
  </r>
  <r>
    <s v="US&gt;Made In America Audience"/>
    <x v="0"/>
    <s v="Sign up Now - 10% Off"/>
    <s v="New York City"/>
    <x v="0"/>
    <x v="124"/>
    <x v="5"/>
    <x v="0"/>
    <n v="16137"/>
    <n v="4"/>
    <n v="7938"/>
    <n v="14030"/>
    <n v="1"/>
    <x v="385"/>
    <n v="2.4787754849104542E-2"/>
    <n v="458.76218449999999"/>
    <n v="1835.048738"/>
    <n v="25"/>
    <n v="130.79463563791873"/>
    <x v="385"/>
    <n v="2"/>
  </r>
  <r>
    <s v="Restaurants"/>
    <x v="1"/>
    <s v="10% Discount - Ends 6/1"/>
    <s v="Nashville"/>
    <x v="5"/>
    <x v="102"/>
    <x v="2"/>
    <x v="0"/>
    <n v="12280"/>
    <n v="4"/>
    <n v="9613"/>
    <n v="11247"/>
    <n v="1"/>
    <x v="386"/>
    <n v="3.2573289902280131E-2"/>
    <n v="441.34967749999998"/>
    <n v="1765.3987099999999"/>
    <n v="25"/>
    <n v="156.96618742775851"/>
    <x v="386"/>
    <n v="1"/>
  </r>
  <r>
    <s v="Media Source"/>
    <x v="1"/>
    <s v="10% Discount - Ends 6/1"/>
    <s v="Los Angeles"/>
    <x v="4"/>
    <x v="125"/>
    <x v="13"/>
    <x v="0"/>
    <n v="9149"/>
    <n v="4"/>
    <n v="4568"/>
    <n v="8648"/>
    <n v="1"/>
    <x v="387"/>
    <n v="4.3720625204940432E-2"/>
    <n v="439.52459125000001"/>
    <n v="1758.0983650000001"/>
    <n v="25"/>
    <n v="203.29537060592045"/>
    <x v="387"/>
    <n v="1"/>
  </r>
  <r>
    <s v="Mobile - US&gt;Travel&gt;Vacation Rentals&gt;HomeAway"/>
    <x v="0"/>
    <s v="Sign up Today - 10% Off"/>
    <s v="Chattanooga"/>
    <x v="5"/>
    <x v="16"/>
    <x v="2"/>
    <x v="0"/>
    <n v="91593"/>
    <n v="4"/>
    <n v="51004"/>
    <n v="82985"/>
    <n v="18"/>
    <x v="388"/>
    <n v="4.3671459609358797E-3"/>
    <n v="432.89621549999998"/>
    <n v="96.199158999999995"/>
    <n v="450"/>
    <n v="20.866239223956136"/>
    <x v="388"/>
    <n v="4"/>
  </r>
  <r>
    <s v="Mobile - US&gt;Sports&gt;Basketball&gt;NCAA College Basketball"/>
    <x v="1"/>
    <s v="Subscribe Today - 10% Discount"/>
    <s v="New York City"/>
    <x v="0"/>
    <x v="126"/>
    <x v="4"/>
    <x v="0"/>
    <n v="13642"/>
    <n v="4"/>
    <n v="9830"/>
    <n v="11658"/>
    <n v="1"/>
    <x v="389"/>
    <n v="2.9321213898255385E-2"/>
    <n v="432.81796200000002"/>
    <n v="1731.2718480000001"/>
    <n v="25"/>
    <n v="148.50504786412762"/>
    <x v="389"/>
    <n v="4"/>
  </r>
  <r>
    <s v="OnAudience&gt;Interest&gt;Hobbies &amp; Interests&gt;Art"/>
    <x v="1"/>
    <s v="Subscribe Today - 10% Discount"/>
    <s v="Los Angeles"/>
    <x v="4"/>
    <x v="102"/>
    <x v="4"/>
    <x v="1"/>
    <n v="22934"/>
    <n v="4"/>
    <n v="18536"/>
    <n v="21019"/>
    <n v="1"/>
    <x v="390"/>
    <n v="1.7441353449027645E-2"/>
    <n v="427.77658450000001"/>
    <n v="1711.1063380000001"/>
    <n v="25"/>
    <n v="81.407599695513582"/>
    <x v="390"/>
    <n v="4"/>
  </r>
  <r>
    <s v="Travel"/>
    <x v="1"/>
    <s v="Sign up Today - 10% Off"/>
    <s v="Miami-Ft. Lauderdale"/>
    <x v="1"/>
    <x v="101"/>
    <x v="1"/>
    <x v="0"/>
    <n v="12319"/>
    <n v="4"/>
    <n v="7028"/>
    <n v="10191"/>
    <n v="1"/>
    <x v="391"/>
    <n v="3.247016803311957E-2"/>
    <n v="417.00400000000002"/>
    <n v="1668.0160000000001"/>
    <n v="25"/>
    <n v="163.67539986262389"/>
    <x v="391"/>
    <n v="1"/>
  </r>
  <r>
    <s v="US&gt;Brand Propensities&gt;Apparel&gt;JCPenney Buyer Propensity"/>
    <x v="1"/>
    <s v="10% Discount - Ends 6/1"/>
    <s v="Los Angeles"/>
    <x v="4"/>
    <x v="127"/>
    <x v="1"/>
    <x v="2"/>
    <n v="12001"/>
    <n v="4"/>
    <n v="7173"/>
    <n v="11432"/>
    <n v="2"/>
    <x v="392"/>
    <n v="3.3330555787017754E-2"/>
    <n v="414.98317824999998"/>
    <n v="829.96635649999996"/>
    <n v="50"/>
    <n v="145.20055222183345"/>
    <x v="392"/>
    <n v="4"/>
  </r>
  <r>
    <s v="OnAudience&gt;Interest&gt;Food &amp; Drink"/>
    <x v="1"/>
    <s v="10% Discount - Ends 6/1"/>
    <s v="Birmingham"/>
    <x v="15"/>
    <x v="128"/>
    <x v="2"/>
    <x v="1"/>
    <n v="38070"/>
    <n v="4"/>
    <n v="15253"/>
    <n v="35453"/>
    <n v="1"/>
    <x v="393"/>
    <n v="1.050696086157079E-2"/>
    <n v="413.37769424999999"/>
    <n v="1653.510777"/>
    <n v="25"/>
    <n v="46.639516458409723"/>
    <x v="393"/>
    <n v="3"/>
  </r>
  <r>
    <s v="US&gt;Brand Propensities&gt;Media and Entertainment&gt;Regal Cinemas Buyer Propensity"/>
    <x v="0"/>
    <s v="10% Discount - Ends 6/1"/>
    <s v="Jacksonville"/>
    <x v="1"/>
    <x v="35"/>
    <x v="2"/>
    <x v="0"/>
    <n v="52582"/>
    <n v="4"/>
    <n v="22065"/>
    <n v="46126"/>
    <n v="14"/>
    <x v="394"/>
    <n v="7.6071659503252065E-3"/>
    <n v="407.935428"/>
    <n v="116.55297942857143"/>
    <n v="350"/>
    <n v="35.375747127433549"/>
    <x v="394"/>
    <n v="4"/>
  </r>
  <r>
    <s v="Mobile - US&gt;Food&gt;Restaurant&gt;Brand&gt;Buffalo Wild Wings"/>
    <x v="1"/>
    <s v="Subscribe Today - 10% Discount"/>
    <s v="San Francisco"/>
    <x v="4"/>
    <x v="129"/>
    <x v="2"/>
    <x v="1"/>
    <n v="16354"/>
    <n v="4"/>
    <n v="8061"/>
    <n v="15667"/>
    <n v="1"/>
    <x v="395"/>
    <n v="2.4458847988259754E-2"/>
    <n v="402.57999425000003"/>
    <n v="1610.3199770000001"/>
    <n v="25"/>
    <n v="102.78419461288058"/>
    <x v="395"/>
    <n v="5"/>
  </r>
  <r>
    <s v="Mobile - US&gt;Device Ownership&gt;Tablets&gt;yes"/>
    <x v="1"/>
    <s v="Sign up Now - 10% Off"/>
    <s v="Knoxville"/>
    <x v="5"/>
    <x v="58"/>
    <x v="1"/>
    <x v="2"/>
    <n v="17645"/>
    <n v="4"/>
    <n v="9673"/>
    <n v="15088"/>
    <n v="15"/>
    <x v="396"/>
    <n v="2.266931141966563E-2"/>
    <n v="397.9430615"/>
    <n v="106.11814973333334"/>
    <n v="375"/>
    <n v="105.49922097030753"/>
    <x v="396"/>
    <n v="4"/>
  </r>
  <r>
    <s v="US&gt;Interest Propensities&gt;Insurance&gt;Unitedhealth Group"/>
    <x v="0"/>
    <s v="Sign up Today - 10% Off"/>
    <s v="New York City"/>
    <x v="0"/>
    <x v="28"/>
    <x v="2"/>
    <x v="0"/>
    <n v="33069"/>
    <n v="4"/>
    <n v="17744"/>
    <n v="31192"/>
    <n v="1"/>
    <x v="397"/>
    <n v="1.209592065076053E-2"/>
    <n v="385.82765275000003"/>
    <n v="1543.3106110000001"/>
    <n v="25"/>
    <n v="49.477770293665046"/>
    <x v="397"/>
    <n v="4"/>
  </r>
  <r>
    <s v="Transactional&gt;Q3 Gardening Shoppers"/>
    <x v="1"/>
    <s v="10% Discount - Ends 6/1"/>
    <s v="San Francisco"/>
    <x v="4"/>
    <x v="67"/>
    <x v="2"/>
    <x v="0"/>
    <n v="14763"/>
    <n v="4"/>
    <n v="8955"/>
    <n v="13829"/>
    <n v="1"/>
    <x v="398"/>
    <n v="2.7094763936869201E-2"/>
    <n v="382.98172125000002"/>
    <n v="1531.9268850000001"/>
    <n v="25"/>
    <n v="110.77640357220335"/>
    <x v="398"/>
    <n v="2"/>
  </r>
  <r>
    <s v="US&gt;Brand Propensities&gt;Big Box Dollar Tree Buyer Propensity"/>
    <x v="0"/>
    <s v="Sign up Now - 10% Off"/>
    <s v="Miami-Ft. Lauderdale"/>
    <x v="1"/>
    <x v="5"/>
    <x v="4"/>
    <x v="0"/>
    <n v="8278"/>
    <n v="4"/>
    <n v="6758"/>
    <n v="7537"/>
    <n v="1"/>
    <x v="399"/>
    <n v="4.8320850446967864E-2"/>
    <n v="381.57415474999999"/>
    <n v="1526.296619"/>
    <n v="25"/>
    <n v="202.50718044314715"/>
    <x v="399"/>
    <n v="3"/>
  </r>
  <r>
    <s v="OnAudience&gt;Intent&gt;Electronics&gt;Video Game Consoles"/>
    <x v="0"/>
    <s v="Sign up Now - 10% Off"/>
    <s v="Chicago"/>
    <x v="2"/>
    <x v="130"/>
    <x v="6"/>
    <x v="0"/>
    <n v="16791"/>
    <n v="4"/>
    <n v="11402"/>
    <n v="14231"/>
    <n v="3"/>
    <x v="400"/>
    <n v="2.3822285748317552E-2"/>
    <n v="380.62806799999998"/>
    <n v="507.50409066666663"/>
    <n v="75"/>
    <n v="106.98561394139554"/>
    <x v="400"/>
    <n v="4"/>
  </r>
  <r>
    <s v="Media and Entertainment&gt;Connected TV and Over-the-Top (CTV and OTT)&gt;Streaming Television and Film Viewership&gt;OTT Movie Viewers&gt;Genre&gt;Crime Movie Streamers"/>
    <x v="1"/>
    <s v="Sign up Now - 10% Off"/>
    <s v="Chicago"/>
    <x v="2"/>
    <x v="81"/>
    <x v="1"/>
    <x v="1"/>
    <n v="69757"/>
    <n v="4"/>
    <n v="41258"/>
    <n v="65374"/>
    <n v="24"/>
    <x v="401"/>
    <n v="5.7341915506687498E-3"/>
    <n v="377.65383000000003"/>
    <n v="62.942305000000005"/>
    <n v="600"/>
    <n v="23.107279958393249"/>
    <x v="401"/>
    <n v="6"/>
  </r>
  <r>
    <s v="Media and Entertainment&gt;Sports and Recreational Activities&gt;Interest (Affinity)&gt;Motorsports"/>
    <x v="1"/>
    <s v="Subscribe Today - 10% Discount"/>
    <s v="Nashville"/>
    <x v="5"/>
    <x v="18"/>
    <x v="2"/>
    <x v="1"/>
    <n v="21531"/>
    <n v="4"/>
    <n v="15593"/>
    <n v="18617"/>
    <n v="6"/>
    <x v="402"/>
    <n v="1.8577864474478657E-2"/>
    <n v="367.74298125000001"/>
    <n v="245.16198750000001"/>
    <n v="150"/>
    <n v="79.012296556910343"/>
    <x v="402"/>
    <n v="4"/>
  </r>
  <r>
    <s v="Online Behavior&gt;United States&gt;Finance&gt;Investing&gt;Funds"/>
    <x v="0"/>
    <s v="10% Discount - Ends 6/1"/>
    <s v="Los Angeles"/>
    <x v="4"/>
    <x v="131"/>
    <x v="2"/>
    <x v="0"/>
    <n v="2472"/>
    <n v="3"/>
    <n v="1328"/>
    <n v="2123"/>
    <n v="3"/>
    <x v="403"/>
    <n v="0.12135922330097086"/>
    <n v="2415.830739"/>
    <n v="2415.830739"/>
    <n v="100"/>
    <n v="3413.7975586434291"/>
    <x v="403"/>
    <n v="5"/>
  </r>
  <r>
    <s v="Online Behavior&gt;United States&gt;Home and Garden&gt;Home Improvement"/>
    <x v="0"/>
    <s v="10% Discount - Ends 6/1"/>
    <s v="New York City"/>
    <x v="0"/>
    <x v="35"/>
    <x v="4"/>
    <x v="0"/>
    <n v="76049"/>
    <n v="3"/>
    <n v="34921"/>
    <n v="69138"/>
    <n v="4"/>
    <x v="404"/>
    <n v="3.9448250470091656E-3"/>
    <n v="2314.2668193333334"/>
    <n v="1735.7001144999999"/>
    <n v="133.33333333333331"/>
    <n v="100.41945757759842"/>
    <x v="404"/>
    <n v="4"/>
  </r>
  <r>
    <s v="Online Behavior&gt;United States&gt;Food and Drink&gt;Restaurants&gt;Fast Food"/>
    <x v="2"/>
    <s v="Sign up Now - 10% Off"/>
    <s v="Chicago"/>
    <x v="2"/>
    <x v="108"/>
    <x v="2"/>
    <x v="0"/>
    <n v="7822"/>
    <n v="3"/>
    <n v="3786"/>
    <n v="7232"/>
    <n v="13"/>
    <x v="405"/>
    <n v="3.8353362311429301E-2"/>
    <n v="2260.6072156666664"/>
    <n v="521.67858823076926"/>
    <n v="433.33333333333331"/>
    <n v="937.75188702986725"/>
    <x v="405"/>
    <n v="5"/>
  </r>
  <r>
    <s v="Online Behavior&gt;United States&gt;Games&gt;Computer and Video Games"/>
    <x v="1"/>
    <s v="Subscribe Today - 10% Discount"/>
    <s v="Chicago"/>
    <x v="2"/>
    <x v="22"/>
    <x v="5"/>
    <x v="2"/>
    <n v="26558"/>
    <n v="3"/>
    <n v="15761"/>
    <n v="23532"/>
    <n v="14"/>
    <x v="406"/>
    <n v="1.1296031327660216E-2"/>
    <n v="2250.5196603333334"/>
    <n v="482.25421292857146"/>
    <n v="466.66666666666669"/>
    <n v="286.90969662587116"/>
    <x v="406"/>
    <n v="4"/>
  </r>
  <r>
    <s v="Online Behavior&gt;United States&gt;Finance&gt;Insurance&gt;Life Insurance"/>
    <x v="0"/>
    <s v="Subscribe Today - 10% Discount"/>
    <s v="Los Angeles"/>
    <x v="4"/>
    <x v="27"/>
    <x v="4"/>
    <x v="0"/>
    <n v="18401"/>
    <n v="3"/>
    <n v="11051"/>
    <n v="17202"/>
    <n v="1"/>
    <x v="407"/>
    <n v="1.6303461768382155E-2"/>
    <n v="2190.4971840000003"/>
    <n v="6571.4915520000004"/>
    <n v="33.333333333333329"/>
    <n v="382.01904150680156"/>
    <x v="407"/>
    <n v="5"/>
  </r>
  <r>
    <s v="Online Behavior&gt;United States&gt;Travel&gt;Bus and Rail"/>
    <x v="1"/>
    <s v="Sign up Now - 10% Off"/>
    <s v="New York City"/>
    <x v="0"/>
    <x v="81"/>
    <x v="1"/>
    <x v="1"/>
    <n v="45711"/>
    <n v="3"/>
    <n v="23052"/>
    <n v="42375"/>
    <n v="11"/>
    <x v="408"/>
    <n v="6.5629717135919146E-3"/>
    <n v="2139.2920563333332"/>
    <n v="583.44328809090905"/>
    <n v="366.66666666666663"/>
    <n v="151.45430487315633"/>
    <x v="408"/>
    <n v="4"/>
  </r>
  <r>
    <s v="Online Behavior&gt;United States&gt;Sports&gt;Team Sports&gt;Hockey"/>
    <x v="1"/>
    <s v="Subscribe Today - 10% Discount"/>
    <s v="Los Angeles"/>
    <x v="4"/>
    <x v="122"/>
    <x v="8"/>
    <x v="1"/>
    <n v="3052"/>
    <n v="3"/>
    <n v="1715"/>
    <n v="2761"/>
    <n v="11"/>
    <x v="409"/>
    <n v="9.8296199213630392E-2"/>
    <n v="2139.276836"/>
    <n v="583.43913709090907"/>
    <n v="366.66666666666663"/>
    <n v="2324.4587135095981"/>
    <x v="409"/>
    <n v="5"/>
  </r>
  <r>
    <s v="Online Behavior&gt;United States&gt;Autos and Vehicles&gt;Brands&gt;Volkswagen"/>
    <x v="1"/>
    <s v="Subscribe Today - 10% Discount"/>
    <s v="Ft. Myers-Naples"/>
    <x v="1"/>
    <x v="132"/>
    <x v="2"/>
    <x v="0"/>
    <n v="7789"/>
    <n v="3"/>
    <n v="4655"/>
    <n v="7434"/>
    <n v="1"/>
    <x v="410"/>
    <n v="3.8515855693927334E-2"/>
    <n v="2132.2895876666666"/>
    <n v="6396.8687630000004"/>
    <n v="33.333333333333329"/>
    <n v="860.48813061608826"/>
    <x v="410"/>
    <n v="5"/>
  </r>
  <r>
    <s v="Online Behavior&gt;United States&gt;News&gt;Gossip and Tabloid News"/>
    <x v="1"/>
    <s v="Sign up Today - 10% Off"/>
    <s v="Chicago"/>
    <x v="2"/>
    <x v="133"/>
    <x v="2"/>
    <x v="1"/>
    <n v="2800"/>
    <n v="3"/>
    <n v="190"/>
    <n v="864"/>
    <n v="11"/>
    <x v="411"/>
    <n v="0.10714285714285715"/>
    <n v="2117.0196266666667"/>
    <n v="577.36898909090905"/>
    <n v="366.66666666666663"/>
    <n v="7350.7625925925922"/>
    <x v="411"/>
    <n v="4"/>
  </r>
  <r>
    <s v="Online Behavior&gt;United States&gt;Travel&gt;Specialty Travel"/>
    <x v="1"/>
    <s v="Sign up Today - 10% Off"/>
    <s v="Chicago"/>
    <x v="2"/>
    <x v="12"/>
    <x v="2"/>
    <x v="0"/>
    <n v="182114"/>
    <n v="3"/>
    <n v="14477"/>
    <n v="139167"/>
    <n v="29"/>
    <x v="412"/>
    <n v="1.6473198106680431E-3"/>
    <n v="2102.6335836666667"/>
    <n v="217.51381900000001"/>
    <n v="966.66666666666663"/>
    <n v="45.326124375749998"/>
    <x v="412"/>
    <n v="4"/>
  </r>
  <r>
    <s v="Online Behavior&gt;United States&gt;Intent&gt;Auto Buyers&gt;Car Make&gt;BMW"/>
    <x v="1"/>
    <s v="Sign up Today - 10% Off"/>
    <s v="West Palm Beach-Ft. Pierce"/>
    <x v="1"/>
    <x v="134"/>
    <x v="1"/>
    <x v="0"/>
    <n v="12092"/>
    <n v="3"/>
    <n v="2042"/>
    <n v="10315"/>
    <n v="8"/>
    <x v="413"/>
    <n v="2.4809791597750579E-2"/>
    <n v="2081.7115976666669"/>
    <n v="780.64184912500002"/>
    <n v="266.66666666666663"/>
    <n v="605.4420545807078"/>
    <x v="413"/>
    <n v="6"/>
  </r>
  <r>
    <s v="Online Behavior&gt;United States&gt;Beauty and Fitness&gt;Fitness&gt;Fitness Instruction and Personal Training"/>
    <x v="1"/>
    <s v="Sign up Now - 10% Off"/>
    <s v="Chicago"/>
    <x v="2"/>
    <x v="17"/>
    <x v="4"/>
    <x v="2"/>
    <n v="23156"/>
    <n v="3"/>
    <n v="4468"/>
    <n v="18821"/>
    <n v="15"/>
    <x v="414"/>
    <n v="1.2955605458628432E-2"/>
    <n v="2057.8042966666667"/>
    <n v="411.56085933333333"/>
    <n v="500"/>
    <n v="328.00663567291855"/>
    <x v="414"/>
    <n v="5"/>
  </r>
  <r>
    <s v="Online Behavior&gt;United States&gt;Autos and Vehicles&gt;Brands&gt;Chevrolet"/>
    <x v="1"/>
    <s v="Sign up Today - 10% Off"/>
    <s v="Orlando-Daytona Beach"/>
    <x v="1"/>
    <x v="135"/>
    <x v="2"/>
    <x v="0"/>
    <n v="1164"/>
    <n v="3"/>
    <n v="824"/>
    <n v="1112"/>
    <n v="3"/>
    <x v="415"/>
    <n v="0.25773195876288657"/>
    <n v="2038.5545263333333"/>
    <n v="2038.5545263333333"/>
    <n v="100"/>
    <n v="5499.697463129497"/>
    <x v="415"/>
    <n v="5"/>
  </r>
  <r>
    <s v="Online Behavior&gt;United States&gt;Autos and Vehicles&gt;Brands&gt;Isuzu"/>
    <x v="1"/>
    <s v="10% Discount - Ends 6/1"/>
    <s v="Chicago"/>
    <x v="2"/>
    <x v="50"/>
    <x v="8"/>
    <x v="1"/>
    <n v="16978"/>
    <n v="3"/>
    <n v="8367"/>
    <n v="15731"/>
    <n v="1"/>
    <x v="416"/>
    <n v="1.7669925786311699E-2"/>
    <n v="1962.0237153333335"/>
    <n v="5886.0711460000002"/>
    <n v="33.333333333333329"/>
    <n v="374.17018282372391"/>
    <x v="416"/>
    <n v="5"/>
  </r>
  <r>
    <s v="Online Behavior&gt;United States&gt;Validated Demographic&gt;Age&gt;25-64"/>
    <x v="0"/>
    <s v="Sign up Now - 10% Off"/>
    <s v="Savannah"/>
    <x v="8"/>
    <x v="83"/>
    <x v="4"/>
    <x v="0"/>
    <n v="252170"/>
    <n v="3"/>
    <n v="9248"/>
    <n v="14192"/>
    <n v="1"/>
    <x v="417"/>
    <n v="1.1896736328667167E-3"/>
    <n v="1958.0015933333334"/>
    <n v="5874.0047800000002"/>
    <n v="33.333333333333329"/>
    <n v="413.8954890078918"/>
    <x v="417"/>
    <n v="5"/>
  </r>
  <r>
    <s v="Online Behavior&gt;United States&gt;The Changing Consumer&gt;Data For Good&gt;Social Justice and Empowerment"/>
    <x v="0"/>
    <s v="Subscribe Today - 10% Discount"/>
    <s v="Rockford"/>
    <x v="2"/>
    <x v="136"/>
    <x v="0"/>
    <x v="0"/>
    <n v="3070"/>
    <n v="3"/>
    <n v="1747"/>
    <n v="2911"/>
    <n v="2"/>
    <x v="418"/>
    <n v="9.7719869706840393E-2"/>
    <n v="1922.2049516666666"/>
    <n v="2883.3074274999999"/>
    <n v="66.666666666666657"/>
    <n v="1980.9738423222261"/>
    <x v="418"/>
    <n v="5"/>
  </r>
  <r>
    <s v="Online Behavior&gt;United States&gt;Validated Demographic&gt;Gender&gt;Female"/>
    <x v="2"/>
    <s v="Subscribe Today - 10% Discount"/>
    <s v="Miami-Ft. Lauderdale"/>
    <x v="1"/>
    <x v="137"/>
    <x v="2"/>
    <x v="0"/>
    <n v="10906"/>
    <n v="3"/>
    <n v="4735"/>
    <n v="6390"/>
    <n v="3"/>
    <x v="419"/>
    <n v="2.7507793874931231E-2"/>
    <n v="1898.0903133333334"/>
    <n v="1898.0903133333334"/>
    <n v="100"/>
    <n v="891.12221283255087"/>
    <x v="419"/>
    <n v="5"/>
  </r>
  <r>
    <s v="Online Behavior&gt;United States&gt;Beauty and Fitness&gt;Fitness&gt;Home Exercise"/>
    <x v="1"/>
    <s v="10% Discount - Ends 6/1"/>
    <s v="Orlando-Daytona Beach"/>
    <x v="1"/>
    <x v="3"/>
    <x v="9"/>
    <x v="0"/>
    <n v="14224"/>
    <n v="3"/>
    <n v="2549"/>
    <n v="11974"/>
    <n v="1"/>
    <x v="420"/>
    <n v="2.1091113610798649E-2"/>
    <n v="1879.1011656666667"/>
    <n v="5637.3034969999999"/>
    <n v="33.333333333333329"/>
    <n v="470.7953480040087"/>
    <x v="420"/>
    <n v="5"/>
  </r>
  <r>
    <s v="Online Behavior&gt;United States&gt;Travel&gt;Carpooling and Vehicle Sharing"/>
    <x v="2"/>
    <s v="Sign up Today - 10% Off"/>
    <s v="Miami-Ft. Lauderdale"/>
    <x v="1"/>
    <x v="138"/>
    <x v="5"/>
    <x v="0"/>
    <n v="46190"/>
    <n v="3"/>
    <n v="8618"/>
    <n v="41618"/>
    <n v="1"/>
    <x v="421"/>
    <n v="6.4949123186836986E-3"/>
    <n v="1821.3699389999999"/>
    <n v="5464.1098169999996"/>
    <n v="33.333333333333329"/>
    <n v="131.2919846460666"/>
    <x v="421"/>
    <n v="4"/>
  </r>
  <r>
    <s v="Online Behavior&gt;United States&gt;Intent&gt;Auto Buyers&gt;Car Make&gt;Mazda"/>
    <x v="1"/>
    <s v="10% Discount - Ends 6/1"/>
    <s v="Miami-Ft. Lauderdale"/>
    <x v="1"/>
    <x v="139"/>
    <x v="2"/>
    <x v="0"/>
    <n v="11672"/>
    <n v="3"/>
    <n v="7619"/>
    <n v="9999"/>
    <n v="1"/>
    <x v="422"/>
    <n v="2.5702535983550375E-2"/>
    <n v="1761.4256800000001"/>
    <n v="5284.2770399999999"/>
    <n v="33.333333333333329"/>
    <n v="528.48055205520552"/>
    <x v="422"/>
    <n v="6"/>
  </r>
  <r>
    <s v="Online Behavior&gt;United States&gt;Online Communities&gt;Feed Aggregation and Social Bookmarking"/>
    <x v="0"/>
    <s v="Sign up Today - 10% Off"/>
    <s v="Charleston"/>
    <x v="10"/>
    <x v="140"/>
    <x v="5"/>
    <x v="0"/>
    <n v="5370"/>
    <n v="3"/>
    <n v="4585"/>
    <n v="5139"/>
    <n v="3"/>
    <x v="423"/>
    <n v="5.5865921787709494E-2"/>
    <n v="1739.2977346666667"/>
    <n v="1739.2977346666667"/>
    <n v="100"/>
    <n v="1015.3518591165596"/>
    <x v="423"/>
    <n v="4"/>
  </r>
  <r>
    <s v="Online Behavior&gt;United States&gt;Hobbies and Leisure&gt;Special Occasions&gt;Party Planning"/>
    <x v="1"/>
    <s v="10% Discount - Ends 6/1"/>
    <s v="San Francisco"/>
    <x v="4"/>
    <x v="141"/>
    <x v="8"/>
    <x v="0"/>
    <n v="14398"/>
    <n v="3"/>
    <n v="2807"/>
    <n v="13393"/>
    <n v="1"/>
    <x v="424"/>
    <n v="2.0836227253785249E-2"/>
    <n v="1718.2148516666666"/>
    <n v="5154.6445549999999"/>
    <n v="33.333333333333329"/>
    <n v="384.87602142910475"/>
    <x v="424"/>
    <n v="5"/>
  </r>
  <r>
    <s v="Online Behavior&gt;United States&gt;Hobbies and Leisure&gt;Outdoors"/>
    <x v="0"/>
    <s v="Sign up Today - 10% Off"/>
    <s v="Memphis"/>
    <x v="5"/>
    <x v="142"/>
    <x v="0"/>
    <x v="0"/>
    <n v="7095"/>
    <n v="3"/>
    <n v="3832"/>
    <n v="6344"/>
    <n v="1"/>
    <x v="425"/>
    <n v="4.2283298097251586E-2"/>
    <n v="1714.9373466666666"/>
    <n v="5144.8120399999998"/>
    <n v="33.333333333333329"/>
    <n v="810.97289407313997"/>
    <x v="425"/>
    <n v="4"/>
  </r>
  <r>
    <s v="Online Behavior&gt;United States&gt;Intent&gt;Shopping&gt;Pet Food&gt;Dog"/>
    <x v="0"/>
    <s v="Subscribe Today - 10% Discount"/>
    <s v="Chicago"/>
    <x v="2"/>
    <x v="143"/>
    <x v="2"/>
    <x v="0"/>
    <n v="18516"/>
    <n v="3"/>
    <n v="8191"/>
    <n v="13641"/>
    <n v="9"/>
    <x v="426"/>
    <n v="1.6202203499675955E-2"/>
    <n v="1695.8539049999999"/>
    <n v="565.28463499999998"/>
    <n v="300"/>
    <n v="372.96105234220363"/>
    <x v="426"/>
    <n v="6"/>
  </r>
  <r>
    <s v="Online Behavior&gt;United States&gt;Intent&gt;Auto Buyers&gt;Car Make&gt;Toyota"/>
    <x v="0"/>
    <s v="Sign up Now - 10% Off"/>
    <s v="Los Angeles"/>
    <x v="4"/>
    <x v="10"/>
    <x v="5"/>
    <x v="0"/>
    <n v="9060"/>
    <n v="3"/>
    <n v="5190"/>
    <n v="8621"/>
    <n v="14"/>
    <x v="427"/>
    <n v="3.3112582781456956E-2"/>
    <n v="1644.950521"/>
    <n v="352.48939735714288"/>
    <n v="466.66666666666669"/>
    <n v="572.42217410973205"/>
    <x v="427"/>
    <n v="6"/>
  </r>
  <r>
    <s v="Online Behavior&gt;United States&gt;Intent&gt;Shopping&gt;Sports and Outdoors"/>
    <x v="0"/>
    <s v="Subscribe Today - 10% Discount"/>
    <s v="New York City"/>
    <x v="0"/>
    <x v="110"/>
    <x v="4"/>
    <x v="0"/>
    <n v="26304"/>
    <n v="3"/>
    <n v="12354"/>
    <n v="17500"/>
    <n v="11"/>
    <x v="428"/>
    <n v="1.1405109489051095E-2"/>
    <n v="1575.9379719999999"/>
    <n v="429.80126509090911"/>
    <n v="366.66666666666663"/>
    <n v="270.16079520000005"/>
    <x v="428"/>
    <n v="5"/>
  </r>
  <r>
    <s v="Online Behavior&gt;United States&gt;Validated Demographic&gt;Gender and Age Combined&gt;Males 18-34"/>
    <x v="0"/>
    <s v="10% Discount - Ends 6/1"/>
    <s v="San Francisco"/>
    <x v="4"/>
    <x v="144"/>
    <x v="1"/>
    <x v="0"/>
    <n v="10835"/>
    <n v="3"/>
    <n v="2888"/>
    <n v="10487"/>
    <n v="3"/>
    <x v="429"/>
    <n v="2.7688047992616517E-2"/>
    <n v="1568.0833186666666"/>
    <n v="1568.0833186666666"/>
    <n v="100"/>
    <n v="448.57918909125584"/>
    <x v="429"/>
    <n v="5"/>
  </r>
  <r>
    <s v="Online Behavior&gt;United States&gt;Autos and Vehicles&gt;Brands&gt;Citroen"/>
    <x v="0"/>
    <s v="Sign up Today - 10% Off"/>
    <s v="Little Rock-Pine Bluff"/>
    <x v="17"/>
    <x v="130"/>
    <x v="4"/>
    <x v="0"/>
    <n v="9319"/>
    <n v="3"/>
    <n v="6193"/>
    <n v="8682"/>
    <n v="12"/>
    <x v="430"/>
    <n v="3.219229531065565E-2"/>
    <n v="1531.5346676666668"/>
    <n v="382.8836669166667"/>
    <n v="400"/>
    <n v="529.21032054826082"/>
    <x v="430"/>
    <n v="5"/>
  </r>
  <r>
    <s v="Online Behavior&gt;United States&gt;Validated Demographic&gt;Age&gt;65 or older"/>
    <x v="0"/>
    <s v="10% Discount - Ends 6/1"/>
    <s v="Nashville"/>
    <x v="5"/>
    <x v="145"/>
    <x v="13"/>
    <x v="0"/>
    <n v="10386"/>
    <n v="3"/>
    <n v="5876"/>
    <n v="10048"/>
    <n v="19"/>
    <x v="431"/>
    <n v="2.8885037550548814E-2"/>
    <n v="1479.9460213333332"/>
    <n v="233.67568757894733"/>
    <n v="633.33333333333326"/>
    <n v="441.86286464968151"/>
    <x v="431"/>
    <n v="5"/>
  </r>
  <r>
    <s v="Online Behavior&gt;United States&gt;Beauty and Fitness&gt;Cosmetology and Beauty Professionals"/>
    <x v="0"/>
    <s v="Subscribe Today - 10% Discount"/>
    <s v="New York City"/>
    <x v="0"/>
    <x v="146"/>
    <x v="7"/>
    <x v="0"/>
    <n v="18022"/>
    <n v="3"/>
    <n v="10618"/>
    <n v="16643"/>
    <n v="15"/>
    <x v="432"/>
    <n v="1.6646321163022972E-2"/>
    <n v="1350.3862496666668"/>
    <n v="270.07724993333335"/>
    <n v="500"/>
    <n v="243.41517448777265"/>
    <x v="432"/>
    <n v="4"/>
  </r>
  <r>
    <s v="US&gt;Reach&gt;Propensity Models&gt;Hobbies and Interest&gt;Sports&gt;NBA Enthusiast"/>
    <x v="0"/>
    <s v="10% Discount - Ends 6/1"/>
    <s v="New York City"/>
    <x v="0"/>
    <x v="147"/>
    <x v="3"/>
    <x v="0"/>
    <n v="21482"/>
    <n v="3"/>
    <n v="10473"/>
    <n v="19679"/>
    <n v="3"/>
    <x v="433"/>
    <n v="1.3965180150823946E-2"/>
    <n v="1187.6996136666667"/>
    <n v="1187.6996136666667"/>
    <n v="100"/>
    <n v="181.06097062858888"/>
    <x v="433"/>
    <n v="6"/>
  </r>
  <r>
    <s v="US&gt;Reach&gt;Propensity Models&gt;Luxury Home Goods Store Shopper"/>
    <x v="0"/>
    <s v="Sign up Today - 10% Off"/>
    <s v="San Francisco"/>
    <x v="4"/>
    <x v="148"/>
    <x v="2"/>
    <x v="0"/>
    <n v="29107"/>
    <n v="3"/>
    <n v="4047"/>
    <n v="27357"/>
    <n v="3"/>
    <x v="434"/>
    <n v="1.0306799051774488E-2"/>
    <n v="1113.1514406666668"/>
    <n v="1113.1514406666668"/>
    <n v="100"/>
    <n v="122.06946383009833"/>
    <x v="434"/>
    <n v="4"/>
  </r>
  <r>
    <s v="US&gt;Reach&gt;Propensity Models&gt;Online&gt;Electronics and Gadgets"/>
    <x v="1"/>
    <s v="Sign up Now - 10% Off"/>
    <s v="Orlando-Daytona Beach"/>
    <x v="1"/>
    <x v="24"/>
    <x v="4"/>
    <x v="0"/>
    <n v="10389"/>
    <n v="3"/>
    <n v="8161"/>
    <n v="9951"/>
    <n v="1"/>
    <x v="435"/>
    <n v="2.8876696505919723E-2"/>
    <n v="860.83128233333343"/>
    <n v="2582.4938470000002"/>
    <n v="33.333333333333329"/>
    <n v="259.52103778514726"/>
    <x v="435"/>
    <n v="5"/>
  </r>
  <r>
    <s v="US&gt;Reach&gt;Propensity Models&gt;Lifestyle&gt;Charities&gt;Contributes to Charities"/>
    <x v="0"/>
    <s v="10% Discount - Ends 6/1"/>
    <s v="Chicago"/>
    <x v="2"/>
    <x v="149"/>
    <x v="2"/>
    <x v="0"/>
    <n v="10191"/>
    <n v="3"/>
    <n v="1243"/>
    <n v="8897"/>
    <n v="1"/>
    <x v="436"/>
    <n v="2.9437739181630854E-2"/>
    <n v="788.63812400000006"/>
    <n v="2365.9143720000002"/>
    <n v="33.333333333333329"/>
    <n v="265.92271237495783"/>
    <x v="436"/>
    <n v="6"/>
  </r>
  <r>
    <s v="US&gt;Quality-First Shopper Audience"/>
    <x v="1"/>
    <s v="10% Discount - Ends 6/1"/>
    <s v="Nashville"/>
    <x v="5"/>
    <x v="54"/>
    <x v="2"/>
    <x v="1"/>
    <n v="16142"/>
    <n v="3"/>
    <n v="7064"/>
    <n v="15433"/>
    <n v="1"/>
    <x v="437"/>
    <n v="1.8585057613678603E-2"/>
    <n v="736.55031899999994"/>
    <n v="2209.6509569999998"/>
    <n v="33.333333333333329"/>
    <n v="143.17702047560422"/>
    <x v="437"/>
    <n v="2"/>
  </r>
  <r>
    <s v="OnAudience&gt;Interest"/>
    <x v="1"/>
    <s v="Sign up Today - 10% Off"/>
    <s v="New York City"/>
    <x v="0"/>
    <x v="89"/>
    <x v="4"/>
    <x v="0"/>
    <n v="11343"/>
    <n v="3"/>
    <n v="5900"/>
    <n v="10175"/>
    <n v="1"/>
    <x v="438"/>
    <n v="2.6448029621793177E-2"/>
    <n v="726.05125833333341"/>
    <n v="2178.1537750000002"/>
    <n v="33.333333333333329"/>
    <n v="214.0691670761671"/>
    <x v="438"/>
    <n v="2"/>
  </r>
  <r>
    <s v="US&gt;B2B&gt;B2B Decision Maker Responsibilities&gt;Employee Benefits"/>
    <x v="0"/>
    <s v="Subscribe Today - 10% Discount"/>
    <s v="Jacksonville"/>
    <x v="1"/>
    <x v="148"/>
    <x v="4"/>
    <x v="0"/>
    <n v="12451"/>
    <n v="3"/>
    <n v="2987"/>
    <n v="11295"/>
    <n v="1"/>
    <x v="439"/>
    <n v="2.4094450244960246E-2"/>
    <n v="709.10794266666664"/>
    <n v="2127.323828"/>
    <n v="33.333333333333329"/>
    <n v="188.34208304559542"/>
    <x v="439"/>
    <n v="4"/>
  </r>
  <r>
    <s v="US&gt;Reach&gt;Propensity Models&gt;Hobbies and Interest&gt;Food and Drinks&gt;Wine Lovers"/>
    <x v="1"/>
    <s v="Subscribe Today - 10% Discount"/>
    <s v="Nashville"/>
    <x v="5"/>
    <x v="18"/>
    <x v="2"/>
    <x v="1"/>
    <n v="64892"/>
    <n v="3"/>
    <n v="34731"/>
    <n v="59369"/>
    <n v="24"/>
    <x v="440"/>
    <n v="4.6230660173827284E-3"/>
    <n v="698.76184966666676"/>
    <n v="87.345231208333345"/>
    <n v="800"/>
    <n v="35.309429988714655"/>
    <x v="440"/>
    <n v="6"/>
  </r>
  <r>
    <s v="US&gt;AUTO&gt;Decision Maker for Auto Purchase&gt;I shared equally in the decision"/>
    <x v="0"/>
    <s v="Sign up Today - 10% Off"/>
    <s v="Chicago"/>
    <x v="2"/>
    <x v="11"/>
    <x v="2"/>
    <x v="0"/>
    <n v="102884"/>
    <n v="3"/>
    <n v="42841"/>
    <n v="96539"/>
    <n v="6"/>
    <x v="441"/>
    <n v="2.9159052913961354E-3"/>
    <n v="671.81611033333331"/>
    <n v="335.90805516666666"/>
    <n v="200"/>
    <n v="20.87703758066688"/>
    <x v="441"/>
    <n v="4"/>
  </r>
  <r>
    <s v="US&gt;Brand Propensities&gt;Apparel&gt;Shoebuy.com Buyer Propensity"/>
    <x v="0"/>
    <s v="10% Discount - Ends 6/1"/>
    <s v="Tampa-St Petersburg (Sarasota)"/>
    <x v="1"/>
    <x v="50"/>
    <x v="1"/>
    <x v="0"/>
    <n v="43666"/>
    <n v="3"/>
    <n v="18513"/>
    <n v="40506"/>
    <n v="18"/>
    <x v="442"/>
    <n v="6.8703338982274535E-3"/>
    <n v="660.13127799999995"/>
    <n v="110.02187966666666"/>
    <n v="600"/>
    <n v="48.891370019256406"/>
    <x v="442"/>
    <n v="4"/>
  </r>
  <r>
    <s v="US&gt;Sociodemographic&gt;P$YCLE Premier Lifestage&gt;M3 Upscale Empty Nests"/>
    <x v="0"/>
    <s v="Sign up Today - 10% Off"/>
    <s v="Miami-Ft. Lauderdale"/>
    <x v="1"/>
    <x v="150"/>
    <x v="1"/>
    <x v="0"/>
    <n v="14379"/>
    <n v="3"/>
    <n v="6272"/>
    <n v="11886"/>
    <n v="18"/>
    <x v="443"/>
    <n v="2.0863759649488837E-2"/>
    <n v="657.85407766666674"/>
    <n v="109.64234627777779"/>
    <n v="600"/>
    <n v="166.04090804307589"/>
    <x v="443"/>
    <n v="4"/>
  </r>
  <r>
    <s v="US&gt;Automotive&gt;Auto Loyalists and Defectors&gt;Auto Make Defectors"/>
    <x v="0"/>
    <s v="Subscribe Today - 10% Discount"/>
    <s v="Los Angeles"/>
    <x v="4"/>
    <x v="151"/>
    <x v="0"/>
    <x v="0"/>
    <n v="11561"/>
    <n v="3"/>
    <n v="4063"/>
    <n v="9941"/>
    <n v="2"/>
    <x v="444"/>
    <n v="2.5949312343222904E-2"/>
    <n v="637.31065100000001"/>
    <n v="955.96597650000001"/>
    <n v="66.666666666666657"/>
    <n v="192.32793008751634"/>
    <x v="444"/>
    <n v="4"/>
  </r>
  <r>
    <s v="Media and Entertainment&gt;Sports and Recreational Activities&gt;Interest (Affinity)&gt;Individual Sports"/>
    <x v="0"/>
    <s v="Subscribe Today - 10% Discount"/>
    <s v="Chicago"/>
    <x v="2"/>
    <x v="8"/>
    <x v="0"/>
    <x v="0"/>
    <n v="37227"/>
    <n v="3"/>
    <n v="13542"/>
    <n v="32456"/>
    <n v="1"/>
    <x v="445"/>
    <n v="8.0586670964622447E-3"/>
    <n v="633.6982303333333"/>
    <n v="1901.094691"/>
    <n v="33.333333333333329"/>
    <n v="58.57452215306877"/>
    <x v="445"/>
    <n v="4"/>
  </r>
  <r>
    <s v="Purchase Behaviors&gt;Q2 Environmentally Concerned Shoppers"/>
    <x v="0"/>
    <s v="Sign up Now - 10% Off"/>
    <s v="Nashville"/>
    <x v="5"/>
    <x v="81"/>
    <x v="12"/>
    <x v="0"/>
    <n v="66554"/>
    <n v="3"/>
    <n v="39206"/>
    <n v="62109"/>
    <n v="6"/>
    <x v="446"/>
    <n v="4.5076178742074107E-3"/>
    <n v="630.29531166666663"/>
    <n v="315.14765583333332"/>
    <n v="200"/>
    <n v="30.44463660661096"/>
    <x v="446"/>
    <n v="2"/>
  </r>
  <r>
    <s v="Media and Entertainment&gt;Consumer Entertainment Technology"/>
    <x v="1"/>
    <s v="Sign up Now - 10% Off"/>
    <s v="New York City"/>
    <x v="0"/>
    <x v="152"/>
    <x v="2"/>
    <x v="0"/>
    <n v="10942"/>
    <n v="3"/>
    <n v="4578"/>
    <n v="9155"/>
    <n v="1"/>
    <x v="447"/>
    <n v="2.7417291171632243E-2"/>
    <n v="531.91754133333336"/>
    <n v="1595.752624"/>
    <n v="33.333333333333329"/>
    <n v="174.30394582195521"/>
    <x v="447"/>
    <n v="2"/>
  </r>
  <r>
    <s v="US Home&gt;Property Type&gt;Single"/>
    <x v="0"/>
    <s v="Subscribe Today - 10% Discount"/>
    <s v="New York City"/>
    <x v="0"/>
    <x v="50"/>
    <x v="1"/>
    <x v="0"/>
    <n v="15318"/>
    <n v="3"/>
    <n v="5928"/>
    <n v="13298"/>
    <n v="19"/>
    <x v="448"/>
    <n v="1.9584802193497845E-2"/>
    <n v="523.43246333333332"/>
    <n v="82.647231052631582"/>
    <n v="633.33333333333326"/>
    <n v="118.08523010979094"/>
    <x v="448"/>
    <n v="3"/>
  </r>
  <r>
    <s v="US&gt;Brand Propensities&gt;Apparel&gt;The Men's Wearhouse Buyer Propensity"/>
    <x v="1"/>
    <s v="Sign up Now - 10% Off"/>
    <s v="Ft. Myers-Naples"/>
    <x v="1"/>
    <x v="8"/>
    <x v="1"/>
    <x v="1"/>
    <n v="59296"/>
    <n v="3"/>
    <n v="25482"/>
    <n v="54149"/>
    <n v="2"/>
    <x v="449"/>
    <n v="5.0593631948192119E-3"/>
    <n v="522.90508633333332"/>
    <n v="784.35762950000003"/>
    <n v="66.666666666666657"/>
    <n v="28.970345878963602"/>
    <x v="449"/>
    <n v="4"/>
  </r>
  <r>
    <s v="OnAudience&gt;Interest&gt;Technology &amp; Computing&gt;Entertainment"/>
    <x v="1"/>
    <s v="Sign up Today - 10% Off"/>
    <s v="Orlando-Daytona Beach"/>
    <x v="1"/>
    <x v="8"/>
    <x v="1"/>
    <x v="0"/>
    <n v="85965"/>
    <n v="3"/>
    <n v="33865"/>
    <n v="78662"/>
    <n v="3"/>
    <x v="450"/>
    <n v="3.4897923573547372E-3"/>
    <n v="518.51160400000003"/>
    <n v="518.51160400000003"/>
    <n v="100"/>
    <n v="19.774920698685516"/>
    <x v="450"/>
    <n v="4"/>
  </r>
  <r>
    <s v="Media and Entertainment&gt;Sports and Recreational Activities&gt;Interest (Affinity)&gt;Individual Sports&gt;Tennis and Racquet Sports"/>
    <x v="1"/>
    <s v="Sign up Now - 10% Off"/>
    <s v="Orlando-Daytona Beach"/>
    <x v="1"/>
    <x v="153"/>
    <x v="1"/>
    <x v="2"/>
    <n v="17228"/>
    <n v="3"/>
    <n v="11116"/>
    <n v="16044"/>
    <n v="1"/>
    <x v="451"/>
    <n v="1.7413512885999537E-2"/>
    <n v="515.83781966666663"/>
    <n v="1547.513459"/>
    <n v="33.333333333333329"/>
    <n v="96.454341747693832"/>
    <x v="451"/>
    <n v="5"/>
  </r>
  <r>
    <s v="Lotame&gt;Style, Fashion &amp; Clothing&gt;Clothing Shoppers"/>
    <x v="1"/>
    <s v="Subscribe Today - 10% Discount"/>
    <s v="Nashville"/>
    <x v="5"/>
    <x v="6"/>
    <x v="8"/>
    <x v="0"/>
    <n v="19464"/>
    <n v="3"/>
    <n v="11814"/>
    <n v="17040"/>
    <n v="9"/>
    <x v="452"/>
    <n v="1.5413070283600493E-2"/>
    <n v="513.48978333333332"/>
    <n v="171.16326111111113"/>
    <n v="300"/>
    <n v="90.403130868544608"/>
    <x v="452"/>
    <n v="3"/>
  </r>
  <r>
    <s v="OnAudience&gt;Interest&gt;Hobbies &amp; Interests&gt;Video &amp; Computer Games"/>
    <x v="0"/>
    <s v="Sign up Now - 10% Off"/>
    <s v="New York City"/>
    <x v="0"/>
    <x v="154"/>
    <x v="9"/>
    <x v="0"/>
    <n v="6755"/>
    <n v="3"/>
    <n v="4653"/>
    <n v="6354"/>
    <n v="2"/>
    <x v="453"/>
    <n v="4.4411547002220574E-2"/>
    <n v="509.2674816666667"/>
    <n v="763.90122250000002"/>
    <n v="66.666666666666657"/>
    <n v="240.44734734025812"/>
    <x v="453"/>
    <n v="4"/>
  </r>
  <r>
    <s v="Transactional&gt;Q3 Home Entertainers"/>
    <x v="0"/>
    <s v="Subscribe Today - 10% Discount"/>
    <s v="Los Angeles"/>
    <x v="4"/>
    <x v="6"/>
    <x v="5"/>
    <x v="0"/>
    <n v="50838"/>
    <n v="3"/>
    <n v="23274"/>
    <n v="35934"/>
    <n v="11"/>
    <x v="454"/>
    <n v="5.9010976041543733E-3"/>
    <n v="507.12409099999996"/>
    <n v="138.30657027272727"/>
    <n v="366.66666666666663"/>
    <n v="42.337960510936718"/>
    <x v="454"/>
    <n v="2"/>
  </r>
  <r>
    <s v="Media and Entertainment&gt;Gaming&gt;In-Market"/>
    <x v="1"/>
    <s v="Sign up Today - 10% Off"/>
    <s v="San Francisco"/>
    <x v="4"/>
    <x v="155"/>
    <x v="7"/>
    <x v="1"/>
    <n v="37076"/>
    <n v="3"/>
    <n v="9246"/>
    <n v="22565"/>
    <n v="1"/>
    <x v="455"/>
    <n v="8.0914877548818633E-3"/>
    <n v="495.99869266666661"/>
    <n v="1487.9960779999999"/>
    <n v="33.333333333333329"/>
    <n v="65.942658010192773"/>
    <x v="455"/>
    <n v="3"/>
  </r>
  <r>
    <s v="US Financial&gt;Likely Attitude and Behavior&gt;Bank Selection&gt;Customer Service Very Important (Financial)"/>
    <x v="2"/>
    <s v="Sign up Today - 10% Off"/>
    <s v="Orlando-Daytona Beach"/>
    <x v="1"/>
    <x v="156"/>
    <x v="5"/>
    <x v="0"/>
    <n v="8862"/>
    <n v="3"/>
    <n v="1359"/>
    <n v="7114"/>
    <n v="1"/>
    <x v="456"/>
    <n v="3.3852403520649964E-2"/>
    <n v="493.98171900000006"/>
    <n v="1481.9451570000001"/>
    <n v="33.333333333333329"/>
    <n v="208.31391017711556"/>
    <x v="456"/>
    <n v="4"/>
  </r>
  <r>
    <s v="US&gt;B2B&gt;B2B Decision Maker Responsibilities&gt;Strategic Company Goals"/>
    <x v="1"/>
    <s v="10% Discount - Ends 6/1"/>
    <s v="Chicago"/>
    <x v="2"/>
    <x v="157"/>
    <x v="8"/>
    <x v="1"/>
    <n v="3610"/>
    <n v="3"/>
    <n v="1551"/>
    <n v="3517"/>
    <n v="6"/>
    <x v="457"/>
    <n v="8.3102493074792241E-2"/>
    <n v="491.25164766666666"/>
    <n v="245.62582383333333"/>
    <n v="200"/>
    <n v="419.03751578049469"/>
    <x v="457"/>
    <n v="4"/>
  </r>
  <r>
    <s v="US&gt;Demographic&gt;Family&gt;Households with 3 Adults"/>
    <x v="1"/>
    <s v="10% Discount - Ends 6/1"/>
    <s v="San Francisco"/>
    <x v="4"/>
    <x v="6"/>
    <x v="2"/>
    <x v="1"/>
    <n v="32436"/>
    <n v="3"/>
    <n v="17531"/>
    <n v="28429"/>
    <n v="6"/>
    <x v="458"/>
    <n v="9.24898261191269E-3"/>
    <n v="490.223389"/>
    <n v="245.1116945"/>
    <n v="200"/>
    <n v="51.731336557740335"/>
    <x v="458"/>
    <n v="4"/>
  </r>
  <r>
    <s v="Lotame&gt;Travel&gt;International Travel"/>
    <x v="1"/>
    <s v="10% Discount - Ends 6/1"/>
    <s v="San Francisco"/>
    <x v="4"/>
    <x v="158"/>
    <x v="2"/>
    <x v="0"/>
    <n v="13464"/>
    <n v="3"/>
    <n v="1698"/>
    <n v="11234"/>
    <n v="1"/>
    <x v="459"/>
    <n v="2.2281639928698752E-2"/>
    <n v="488.76170133333335"/>
    <n v="1466.285104"/>
    <n v="33.333333333333329"/>
    <n v="130.5220850988072"/>
    <x v="459"/>
    <n v="3"/>
  </r>
  <r>
    <s v="Online Behavior&gt;United States&gt;The Changing Consumer&gt;DIY"/>
    <x v="0"/>
    <s v="Sign up Today - 10% Off"/>
    <s v="Grand Rapids-Kalamazoo"/>
    <x v="6"/>
    <x v="159"/>
    <x v="2"/>
    <x v="0"/>
    <n v="12161"/>
    <n v="2"/>
    <n v="6284"/>
    <n v="10919"/>
    <n v="1"/>
    <x v="460"/>
    <n v="1.6446015952635475E-2"/>
    <n v="3636.6329940000001"/>
    <n v="7273.2659880000001"/>
    <n v="50"/>
    <n v="666.11099807674702"/>
    <x v="460"/>
    <n v="4"/>
  </r>
  <r>
    <s v="Online Behavior&gt;United States&gt;Travel&gt;Air Travel"/>
    <x v="1"/>
    <s v="Sign up Now - 10% Off"/>
    <s v="Chicago"/>
    <x v="2"/>
    <x v="35"/>
    <x v="2"/>
    <x v="1"/>
    <n v="27394"/>
    <n v="2"/>
    <n v="16144"/>
    <n v="24752"/>
    <n v="78"/>
    <x v="461"/>
    <n v="7.3008688033876041E-3"/>
    <n v="3632.2938049999998"/>
    <n v="93.135738589743582"/>
    <n v="3900"/>
    <n v="293.49497454751128"/>
    <x v="461"/>
    <n v="4"/>
  </r>
  <r>
    <s v="Online Behavior&gt;United States&gt;Finance&gt;Investing&gt;Commodities and Futures Trading"/>
    <x v="1"/>
    <s v="Sign up Now - 10% Off"/>
    <s v="Los Angeles"/>
    <x v="4"/>
    <x v="160"/>
    <x v="2"/>
    <x v="0"/>
    <n v="11476"/>
    <n v="2"/>
    <n v="4963"/>
    <n v="10991"/>
    <n v="1"/>
    <x v="462"/>
    <n v="1.742767514813524E-2"/>
    <n v="3613.7086745000001"/>
    <n v="7227.4173490000003"/>
    <n v="50"/>
    <n v="657.57595751069061"/>
    <x v="462"/>
    <n v="5"/>
  </r>
  <r>
    <s v="Online Behavior&gt;United States&gt;Beauty and Fitness&gt;Body Art"/>
    <x v="0"/>
    <s v="10% Discount - Ends 6/1"/>
    <s v="Nashville"/>
    <x v="5"/>
    <x v="35"/>
    <x v="2"/>
    <x v="0"/>
    <n v="22690"/>
    <n v="2"/>
    <n v="10212"/>
    <n v="19934"/>
    <n v="11"/>
    <x v="463"/>
    <n v="8.8144557073600704E-3"/>
    <n v="3605.343253"/>
    <n v="655.51695509090905"/>
    <n v="550"/>
    <n v="361.72802779171263"/>
    <x v="463"/>
    <n v="4"/>
  </r>
  <r>
    <s v="Online Behavior&gt;United States&gt;Online Communities&gt;Blogging Resources and Services"/>
    <x v="0"/>
    <s v="Sign up Now - 10% Off"/>
    <s v="Jacksonville"/>
    <x v="1"/>
    <x v="161"/>
    <x v="9"/>
    <x v="0"/>
    <n v="18136"/>
    <n v="2"/>
    <n v="10842"/>
    <n v="14953"/>
    <n v="5"/>
    <x v="464"/>
    <n v="1.1027790030877812E-2"/>
    <n v="3430.1797984999998"/>
    <n v="1372.0719193999998"/>
    <n v="250"/>
    <n v="458.79486370627967"/>
    <x v="464"/>
    <n v="4"/>
  </r>
  <r>
    <s v="Online Behavior&gt;United States&gt;People and Society&gt;Seniors and Retirement"/>
    <x v="0"/>
    <s v="Sign up Now - 10% Off"/>
    <s v="West Palm Beach-Ft. Pierce"/>
    <x v="1"/>
    <x v="162"/>
    <x v="2"/>
    <x v="0"/>
    <n v="26820"/>
    <n v="2"/>
    <n v="13553"/>
    <n v="21192"/>
    <n v="2"/>
    <x v="465"/>
    <n v="7.4571215510812828E-3"/>
    <n v="3372.5517199999999"/>
    <n v="3372.5517199999999"/>
    <n v="100"/>
    <n v="318.28536428841068"/>
    <x v="465"/>
    <n v="4"/>
  </r>
  <r>
    <s v="Online Behavior&gt;United States&gt;People and Society&gt;Family and Relationships&gt;Moms"/>
    <x v="0"/>
    <s v="Subscribe Today - 10% Discount"/>
    <s v="Flint-Saginaw-Bay City"/>
    <x v="6"/>
    <x v="163"/>
    <x v="1"/>
    <x v="0"/>
    <n v="26784"/>
    <n v="2"/>
    <n v="12708"/>
    <n v="22261"/>
    <n v="2"/>
    <x v="466"/>
    <n v="7.4671445639187574E-3"/>
    <n v="3321.5808235"/>
    <n v="3321.5808235"/>
    <n v="100"/>
    <n v="298.42152854768426"/>
    <x v="466"/>
    <n v="5"/>
  </r>
  <r>
    <s v="Online Behavior&gt;United States&gt;Hobbies and Leisure&gt;Outdoors&gt;Equestrian"/>
    <x v="1"/>
    <s v="Subscribe Today - 10% Discount"/>
    <s v="San Francisco"/>
    <x v="4"/>
    <x v="17"/>
    <x v="2"/>
    <x v="0"/>
    <n v="7862"/>
    <n v="2"/>
    <n v="2152"/>
    <n v="6039"/>
    <n v="1"/>
    <x v="467"/>
    <n v="2.5438819638768762E-2"/>
    <n v="3253.2168434999999"/>
    <n v="6506.4336869999997"/>
    <n v="50"/>
    <n v="1077.4024982613016"/>
    <x v="467"/>
    <n v="5"/>
  </r>
  <r>
    <s v="Online Behavior&gt;United States&gt;Intent&gt;Travel&gt;Travel"/>
    <x v="2"/>
    <s v="Subscribe Today - 10% Discount"/>
    <s v="New York City"/>
    <x v="0"/>
    <x v="54"/>
    <x v="5"/>
    <x v="0"/>
    <n v="11789"/>
    <n v="2"/>
    <n v="6187"/>
    <n v="10028"/>
    <n v="1"/>
    <x v="468"/>
    <n v="1.6964967342437867E-2"/>
    <n v="3252.7632279999998"/>
    <n v="6505.5264559999996"/>
    <n v="50"/>
    <n v="648.73618428400471"/>
    <x v="468"/>
    <n v="5"/>
  </r>
  <r>
    <s v="Online Behavior&gt;United States&gt;Intent&gt;Shopping&gt;Home and Garden"/>
    <x v="0"/>
    <s v="Sign up Today - 10% Off"/>
    <s v="Ft. Myers-Naples"/>
    <x v="1"/>
    <x v="4"/>
    <x v="2"/>
    <x v="0"/>
    <n v="26270"/>
    <n v="2"/>
    <n v="12813"/>
    <n v="21893"/>
    <n v="10"/>
    <x v="469"/>
    <n v="7.6132470498667679E-3"/>
    <n v="3208.632282"/>
    <n v="641.72645639999996"/>
    <n v="500"/>
    <n v="293.11947033298316"/>
    <x v="469"/>
    <n v="5"/>
  </r>
  <r>
    <s v="Online Behavior&gt;United States&gt;Home and Garden&gt;Laundry"/>
    <x v="0"/>
    <s v="Subscribe Today - 10% Discount"/>
    <s v="Jackson"/>
    <x v="13"/>
    <x v="164"/>
    <x v="2"/>
    <x v="0"/>
    <n v="2489"/>
    <n v="2"/>
    <n v="1556"/>
    <n v="2453"/>
    <n v="2"/>
    <x v="470"/>
    <n v="8.0353555644837288E-2"/>
    <n v="3177.0273870000001"/>
    <n v="3177.0273870000001"/>
    <n v="100"/>
    <n v="2590.3199241744801"/>
    <x v="470"/>
    <n v="4"/>
  </r>
  <r>
    <s v="Online Behavior&gt;United States&gt;Intent&gt;Travel&gt;Accommodation&gt;Hotels"/>
    <x v="2"/>
    <s v="10% Discount - Ends 6/1"/>
    <s v="Nashville"/>
    <x v="5"/>
    <x v="109"/>
    <x v="2"/>
    <x v="0"/>
    <n v="14137"/>
    <n v="2"/>
    <n v="9300"/>
    <n v="13110"/>
    <n v="8"/>
    <x v="471"/>
    <n v="1.4147273113107449E-2"/>
    <n v="3172.7301689999999"/>
    <n v="793.18254224999998"/>
    <n v="400"/>
    <n v="484.01680686498855"/>
    <x v="471"/>
    <n v="6"/>
  </r>
  <r>
    <s v="Online Behavior&gt;United States&gt;Intent&gt;Auto Buyers&gt;Category&gt;Caravan"/>
    <x v="1"/>
    <s v="10% Discount - Ends 6/1"/>
    <s v="Miami-Ft. Lauderdale"/>
    <x v="1"/>
    <x v="66"/>
    <x v="2"/>
    <x v="0"/>
    <n v="8097"/>
    <n v="2"/>
    <n v="4942"/>
    <n v="6868"/>
    <n v="1"/>
    <x v="472"/>
    <n v="2.4700506360380389E-2"/>
    <n v="3088.7322724999999"/>
    <n v="6177.4645449999998"/>
    <n v="50"/>
    <n v="899.45610730926023"/>
    <x v="472"/>
    <n v="6"/>
  </r>
  <r>
    <s v="Online Behavior&gt;United States&gt;Autos and Vehicles&gt;Brands&gt;Volvo"/>
    <x v="0"/>
    <s v="Subscribe Today - 10% Discount"/>
    <s v="New York City"/>
    <x v="0"/>
    <x v="165"/>
    <x v="2"/>
    <x v="0"/>
    <n v="7806"/>
    <n v="2"/>
    <n v="3150"/>
    <n v="7247"/>
    <n v="1"/>
    <x v="473"/>
    <n v="2.5621316935690495E-2"/>
    <n v="3081.1604164999999"/>
    <n v="6162.3208329999998"/>
    <n v="50"/>
    <n v="850.32714681937352"/>
    <x v="473"/>
    <n v="5"/>
  </r>
  <r>
    <s v="Online Behavior&gt;United States&gt;Validated Demographic&gt;Gender and Age Combined&gt;Females 25 or older"/>
    <x v="1"/>
    <s v="Subscribe Today - 10% Discount"/>
    <s v="Los Angeles"/>
    <x v="4"/>
    <x v="166"/>
    <x v="2"/>
    <x v="2"/>
    <n v="10524"/>
    <n v="2"/>
    <n v="7601"/>
    <n v="10242"/>
    <n v="15"/>
    <x v="474"/>
    <n v="1.9004180919802355E-2"/>
    <n v="3068.0669509999998"/>
    <n v="409.07559346666665"/>
    <n v="750"/>
    <n v="599.11481175551648"/>
    <x v="474"/>
    <n v="5"/>
  </r>
  <r>
    <s v="Online Behavior&gt;United States&gt;Sports&gt;Winter Sports&gt;Skiing and Snowboarding"/>
    <x v="0"/>
    <s v="10% Discount - Ends 6/1"/>
    <s v="Knoxville"/>
    <x v="5"/>
    <x v="63"/>
    <x v="2"/>
    <x v="0"/>
    <n v="29251"/>
    <n v="2"/>
    <n v="25060"/>
    <n v="28038"/>
    <n v="5"/>
    <x v="475"/>
    <n v="6.8373730812621792E-3"/>
    <n v="2997.3734169999998"/>
    <n v="1198.9493668"/>
    <n v="250"/>
    <n v="213.8079333048006"/>
    <x v="475"/>
    <n v="5"/>
  </r>
  <r>
    <s v="Online Behavior&gt;United States&gt;Sports&gt;Motor Sports"/>
    <x v="0"/>
    <s v="Sign up Now - 10% Off"/>
    <s v="South Bend-Elkhart"/>
    <x v="3"/>
    <x v="28"/>
    <x v="1"/>
    <x v="0"/>
    <n v="8204"/>
    <n v="2"/>
    <n v="1348"/>
    <n v="7832"/>
    <n v="1"/>
    <x v="476"/>
    <n v="2.4378352023403216E-2"/>
    <n v="2986.689946"/>
    <n v="5973.3798919999999"/>
    <n v="50"/>
    <n v="762.68895454545452"/>
    <x v="476"/>
    <n v="4"/>
  </r>
  <r>
    <s v="Online Behavior&gt;United States&gt;Autos and Vehicles&gt;Brands&gt;Dodge"/>
    <x v="1"/>
    <s v="10% Discount - Ends 6/1"/>
    <s v="West Palm Beach-Ft. Pierce"/>
    <x v="1"/>
    <x v="118"/>
    <x v="1"/>
    <x v="0"/>
    <n v="43057"/>
    <n v="2"/>
    <n v="23767"/>
    <n v="41484"/>
    <n v="4"/>
    <x v="477"/>
    <n v="4.6450054578814131E-3"/>
    <n v="2942.4656970000001"/>
    <n v="1471.2328485"/>
    <n v="200"/>
    <n v="141.86026887474691"/>
    <x v="477"/>
    <n v="5"/>
  </r>
  <r>
    <s v="Online Behavior&gt;United States&gt;The Changing Consumer&gt;Active Facebook Users"/>
    <x v="1"/>
    <s v="Sign up Today - 10% Off"/>
    <s v="San Francisco"/>
    <x v="4"/>
    <x v="35"/>
    <x v="2"/>
    <x v="1"/>
    <n v="127090"/>
    <n v="2"/>
    <n v="30178"/>
    <n v="113438"/>
    <n v="24"/>
    <x v="478"/>
    <n v="1.5736879376819575E-3"/>
    <n v="2904.4556269999998"/>
    <n v="242.03796891666664"/>
    <n v="1200"/>
    <n v="51.207807383769101"/>
    <x v="478"/>
    <n v="4"/>
  </r>
  <r>
    <s v="Online Behavior&gt;United States&gt;Autos and Vehicles&gt;Brands&gt;Buick"/>
    <x v="1"/>
    <s v="Subscribe Today - 10% Discount"/>
    <s v="South Bend-Elkhart"/>
    <x v="3"/>
    <x v="67"/>
    <x v="2"/>
    <x v="2"/>
    <n v="21599"/>
    <n v="2"/>
    <n v="13600"/>
    <n v="20256"/>
    <n v="2"/>
    <x v="479"/>
    <n v="9.2596879485161345E-3"/>
    <n v="2775.6937075000001"/>
    <n v="2775.6937075000001"/>
    <n v="100"/>
    <n v="274.06138502172195"/>
    <x v="479"/>
    <n v="5"/>
  </r>
  <r>
    <s v="Online Behavior&gt;United States&gt;Intent&gt;Shopping&gt;Consumer Electronics&gt;Video Games"/>
    <x v="1"/>
    <s v="Subscribe Today - 10% Discount"/>
    <s v="New York City"/>
    <x v="0"/>
    <x v="167"/>
    <x v="2"/>
    <x v="0"/>
    <n v="6522"/>
    <n v="2"/>
    <n v="2244"/>
    <n v="5913"/>
    <n v="6"/>
    <x v="480"/>
    <n v="3.0665440049064706E-2"/>
    <n v="2673.9811205000001"/>
    <n v="891.32704016666673"/>
    <n v="300"/>
    <n v="904.4414410620667"/>
    <x v="480"/>
    <n v="6"/>
  </r>
  <r>
    <s v="Online Behavior&gt;United States&gt;Food and Drink&gt;Baking"/>
    <x v="0"/>
    <s v="Subscribe Today - 10% Discount"/>
    <s v="Jacksonville"/>
    <x v="1"/>
    <x v="168"/>
    <x v="2"/>
    <x v="0"/>
    <n v="2305"/>
    <n v="2"/>
    <n v="1207"/>
    <n v="2148"/>
    <n v="5"/>
    <x v="481"/>
    <n v="8.6767895878524945E-2"/>
    <n v="2547.8003914999999"/>
    <n v="1019.1201566"/>
    <n v="250"/>
    <n v="2372.2536233705773"/>
    <x v="481"/>
    <n v="4"/>
  </r>
  <r>
    <s v="Online Behavior&gt;United States&gt;The Changing Consumer&gt;Gaming Equipment"/>
    <x v="0"/>
    <s v="Sign up Today - 10% Off"/>
    <s v="Chattanooga"/>
    <x v="5"/>
    <x v="169"/>
    <x v="0"/>
    <x v="0"/>
    <n v="7530"/>
    <n v="2"/>
    <n v="5468"/>
    <n v="7298"/>
    <n v="3"/>
    <x v="482"/>
    <n v="2.6560424966799469E-2"/>
    <n v="2519.3570334999999"/>
    <n v="1679.5713556666667"/>
    <n v="150"/>
    <n v="690.42396094820504"/>
    <x v="482"/>
    <n v="4"/>
  </r>
  <r>
    <s v="Online Behavior&gt;United States&gt;Autos and Vehicles&gt;Brands&gt;Aston Martin"/>
    <x v="1"/>
    <s v="Subscribe Today - 10% Discount"/>
    <s v="Orlando-Daytona Beach"/>
    <x v="1"/>
    <x v="8"/>
    <x v="2"/>
    <x v="1"/>
    <n v="84460"/>
    <n v="2"/>
    <n v="13169"/>
    <n v="26688"/>
    <n v="1"/>
    <x v="483"/>
    <n v="2.3679848448969927E-3"/>
    <n v="2139.6154775"/>
    <n v="4279.230955"/>
    <n v="50"/>
    <n v="160.34288650329736"/>
    <x v="483"/>
    <n v="5"/>
  </r>
  <r>
    <s v="Online Behavior&gt;United States&gt;B2B&gt;Occupation&gt;Engineer"/>
    <x v="0"/>
    <s v="10% Discount - Ends 6/1"/>
    <s v="Champaign &amp; Springfield-Decatur"/>
    <x v="9"/>
    <x v="170"/>
    <x v="15"/>
    <x v="0"/>
    <n v="2241"/>
    <n v="2"/>
    <n v="530"/>
    <n v="2019"/>
    <n v="2"/>
    <x v="484"/>
    <n v="8.9245872378402494E-2"/>
    <n v="1851.5815640000001"/>
    <n v="1851.5815640000001"/>
    <n v="100"/>
    <n v="1834.1570718177315"/>
    <x v="484"/>
    <n v="5"/>
  </r>
  <r>
    <s v="US&gt;Demo&gt;Age&gt;21+"/>
    <x v="0"/>
    <s v="Subscribe Today - 10% Discount"/>
    <s v="Miami-Ft. Lauderdale"/>
    <x v="1"/>
    <x v="171"/>
    <x v="5"/>
    <x v="0"/>
    <n v="7206"/>
    <n v="2"/>
    <n v="3358"/>
    <n v="6473"/>
    <n v="1"/>
    <x v="485"/>
    <n v="2.7754648903691372E-2"/>
    <n v="1729.2939524999999"/>
    <n v="3458.5879049999999"/>
    <n v="50"/>
    <n v="534.30988799629233"/>
    <x v="485"/>
    <n v="4"/>
  </r>
  <r>
    <s v="Online Behavior&gt;United States&gt;B2B&gt;Occupation&gt;Banking"/>
    <x v="0"/>
    <s v="Sign up Now - 10% Off"/>
    <s v="Tampa-St Petersburg (Sarasota)"/>
    <x v="1"/>
    <x v="172"/>
    <x v="2"/>
    <x v="0"/>
    <n v="2236"/>
    <n v="2"/>
    <n v="1562"/>
    <n v="2076"/>
    <n v="2"/>
    <x v="486"/>
    <n v="8.9445438282647588E-2"/>
    <n v="1666.3757255"/>
    <n v="1666.3757255"/>
    <n v="100"/>
    <n v="1605.3716045279384"/>
    <x v="486"/>
    <n v="5"/>
  </r>
  <r>
    <s v="Online Behavior&gt;United States&gt;Validated Demographic&gt;Age&gt;35-44"/>
    <x v="1"/>
    <s v="10% Discount - Ends 6/1"/>
    <s v="San Francisco"/>
    <x v="4"/>
    <x v="173"/>
    <x v="2"/>
    <x v="1"/>
    <n v="27473"/>
    <n v="2"/>
    <n v="11306"/>
    <n v="20625"/>
    <n v="2"/>
    <x v="487"/>
    <n v="7.2798747861536782E-3"/>
    <n v="1461.143051"/>
    <n v="1461.143051"/>
    <n v="100"/>
    <n v="141.68659888484851"/>
    <x v="487"/>
    <n v="5"/>
  </r>
  <r>
    <s v="US&gt;Reach&gt;Sociodemographic&gt;Household Income&gt;$50,000-$74,999"/>
    <x v="0"/>
    <s v="Sign up Now - 10% Off"/>
    <s v="South Bend-Elkhart"/>
    <x v="3"/>
    <x v="115"/>
    <x v="5"/>
    <x v="0"/>
    <n v="14181"/>
    <n v="2"/>
    <n v="7106"/>
    <n v="13189"/>
    <n v="17"/>
    <x v="488"/>
    <n v="1.4103377758973275E-2"/>
    <n v="1456.2335780000001"/>
    <n v="171.32159741176471"/>
    <n v="850"/>
    <n v="220.82547243915386"/>
    <x v="488"/>
    <n v="5"/>
  </r>
  <r>
    <s v="US&gt;Sociodemographic&gt;ConneXions Lifestage&gt;M3 Offline Seniors"/>
    <x v="0"/>
    <s v="Subscribe Today - 10% Discount"/>
    <s v="Jacksonville"/>
    <x v="1"/>
    <x v="174"/>
    <x v="8"/>
    <x v="0"/>
    <n v="13293"/>
    <n v="2"/>
    <n v="9054"/>
    <n v="12676"/>
    <n v="1"/>
    <x v="489"/>
    <n v="1.5045512675844428E-2"/>
    <n v="1450.6047544999999"/>
    <n v="2901.2095089999998"/>
    <n v="50"/>
    <n v="228.87421181760806"/>
    <x v="489"/>
    <n v="4"/>
  </r>
  <r>
    <s v="US&gt;Reach&gt;Propensity Models&gt;Hobbies and Interest&gt;Sports&gt;PGA Tour Enthusiast"/>
    <x v="0"/>
    <s v="Sign up Now - 10% Off"/>
    <s v="New York City"/>
    <x v="0"/>
    <x v="6"/>
    <x v="5"/>
    <x v="0"/>
    <n v="65257"/>
    <n v="2"/>
    <n v="12749"/>
    <n v="19274"/>
    <n v="1"/>
    <x v="490"/>
    <n v="3.064805308242794E-3"/>
    <n v="1234.0679184999999"/>
    <n v="2468.1358369999998"/>
    <n v="50"/>
    <n v="128.05519544464045"/>
    <x v="490"/>
    <n v="6"/>
  </r>
  <r>
    <s v="US&gt;Sociodemographic&gt;ConneXions Lifestage&gt;M4 Elderly Traditionalists"/>
    <x v="0"/>
    <s v="Sign up Today - 10% Off"/>
    <s v="Tampa-St Petersburg (Sarasota)"/>
    <x v="1"/>
    <x v="6"/>
    <x v="2"/>
    <x v="0"/>
    <n v="31003"/>
    <n v="2"/>
    <n v="12591"/>
    <n v="22656"/>
    <n v="3"/>
    <x v="491"/>
    <n v="6.4509886140050963E-3"/>
    <n v="1147.0018889999999"/>
    <n v="764.66792599999997"/>
    <n v="150"/>
    <n v="101.25369782838982"/>
    <x v="491"/>
    <n v="4"/>
  </r>
  <r>
    <s v="US&gt;B2B&gt;B2B Decision Maker Responsibilities&gt;Computer Hardware"/>
    <x v="0"/>
    <s v="10% Discount - Ends 6/1"/>
    <s v="San Francisco"/>
    <x v="4"/>
    <x v="35"/>
    <x v="12"/>
    <x v="0"/>
    <n v="51056"/>
    <n v="2"/>
    <n v="24672"/>
    <n v="45563"/>
    <n v="2"/>
    <x v="492"/>
    <n v="3.9172673143215292E-3"/>
    <n v="1107.8159224999999"/>
    <n v="1107.8159224999999"/>
    <n v="100"/>
    <n v="48.627874481487169"/>
    <x v="492"/>
    <n v="4"/>
  </r>
  <r>
    <s v="US&gt;Sociodemographic&gt;ConneXions Lifestage&gt;M2 Mature MidTechs"/>
    <x v="2"/>
    <s v="Subscribe Today - 10% Discount"/>
    <s v="Jacksonville"/>
    <x v="1"/>
    <x v="122"/>
    <x v="7"/>
    <x v="0"/>
    <n v="5433"/>
    <n v="2"/>
    <n v="3634"/>
    <n v="4742"/>
    <n v="4"/>
    <x v="493"/>
    <n v="3.6812074360390211E-2"/>
    <n v="1105.98489"/>
    <n v="552.99244499999998"/>
    <n v="200"/>
    <n v="466.46347110923659"/>
    <x v="493"/>
    <n v="4"/>
  </r>
  <r>
    <s v="US&gt;Entertainment and Pastimes&gt;Entertainment and Pastimes"/>
    <x v="1"/>
    <s v="10% Discount - Ends 6/1"/>
    <s v="Jacksonville"/>
    <x v="1"/>
    <x v="101"/>
    <x v="4"/>
    <x v="0"/>
    <n v="8545"/>
    <n v="2"/>
    <n v="3454"/>
    <n v="5510"/>
    <n v="1"/>
    <x v="494"/>
    <n v="2.3405500292568753E-2"/>
    <n v="1090.6239745"/>
    <n v="2181.2479490000001"/>
    <n v="50"/>
    <n v="395.87077114337569"/>
    <x v="494"/>
    <n v="3"/>
  </r>
  <r>
    <s v="US&gt;B2B&gt;B2B Decision Maker Responsibilities&gt;Consulting Services"/>
    <x v="0"/>
    <s v="10% Discount - Ends 6/1"/>
    <s v="West Palm Beach-Ft. Pierce"/>
    <x v="1"/>
    <x v="175"/>
    <x v="5"/>
    <x v="0"/>
    <n v="2057"/>
    <n v="2"/>
    <n v="897"/>
    <n v="1834"/>
    <n v="14"/>
    <x v="495"/>
    <n v="9.7228974234321822E-2"/>
    <n v="1044.1014709999999"/>
    <n v="149.157353"/>
    <n v="700"/>
    <n v="1138.6057480916029"/>
    <x v="495"/>
    <n v="4"/>
  </r>
  <r>
    <s v="US&gt;Brand Propensities&gt;Home and Household Goods&gt;Pottery Barn Kids Buyer Propensity"/>
    <x v="1"/>
    <s v="Sign up Now - 10% Off"/>
    <s v="Miami-Ft. Lauderdale"/>
    <x v="1"/>
    <x v="176"/>
    <x v="3"/>
    <x v="1"/>
    <n v="31813"/>
    <n v="2"/>
    <n v="14149"/>
    <n v="21281"/>
    <n v="13"/>
    <x v="496"/>
    <n v="6.2867381259233647E-3"/>
    <n v="1030.4969410000001"/>
    <n v="158.53799092307693"/>
    <n v="650"/>
    <n v="96.846665194304791"/>
    <x v="496"/>
    <n v="4"/>
  </r>
  <r>
    <s v="US&gt;Interest Propensities&gt;Insurance&gt;Prudential"/>
    <x v="0"/>
    <s v="10% Discount - Ends 6/1"/>
    <s v="Los Angeles"/>
    <x v="4"/>
    <x v="177"/>
    <x v="2"/>
    <x v="0"/>
    <n v="3853"/>
    <n v="2"/>
    <n v="2526"/>
    <n v="3549"/>
    <n v="13"/>
    <x v="497"/>
    <n v="5.1907604464053979E-2"/>
    <n v="957.19375500000001"/>
    <n v="147.26057769230769"/>
    <n v="650"/>
    <n v="539.41603550295861"/>
    <x v="497"/>
    <n v="4"/>
  </r>
  <r>
    <s v="US&gt;Multibuyer Behaviors&gt;Entertainment&gt;Pastimes Multibuyer"/>
    <x v="1"/>
    <s v="Sign up Now - 10% Off"/>
    <s v="Orlando-Daytona Beach"/>
    <x v="1"/>
    <x v="178"/>
    <x v="1"/>
    <x v="0"/>
    <n v="15277"/>
    <n v="2"/>
    <n v="3089"/>
    <n v="13644"/>
    <n v="1"/>
    <x v="498"/>
    <n v="1.3091575571119984E-2"/>
    <n v="952.28217299999994"/>
    <n v="1904.5643459999999"/>
    <n v="50"/>
    <n v="139.58988170624451"/>
    <x v="498"/>
    <n v="4"/>
  </r>
  <r>
    <s v="US Financial&gt;Likely In Market Timing&gt;Not At All Likely to Purchase&gt;First Home/Residence In The Next Year (Financial)"/>
    <x v="1"/>
    <s v="Sign up Today - 10% Off"/>
    <s v="Chicago"/>
    <x v="2"/>
    <x v="67"/>
    <x v="4"/>
    <x v="1"/>
    <n v="35335"/>
    <n v="2"/>
    <n v="22566"/>
    <n v="30685"/>
    <n v="15"/>
    <x v="499"/>
    <n v="5.6601103721522572E-3"/>
    <n v="933.17373499999997"/>
    <n v="124.42316466666666"/>
    <n v="750"/>
    <n v="60.822795176796483"/>
    <x v="499"/>
    <n v="4"/>
  </r>
  <r>
    <s v="US&gt;Premium Gender&gt;Premium Gender&gt;Males"/>
    <x v="0"/>
    <s v="Sign up Today - 10% Off"/>
    <s v="Chicago"/>
    <x v="2"/>
    <x v="179"/>
    <x v="2"/>
    <x v="0"/>
    <n v="15322"/>
    <n v="2"/>
    <n v="6416"/>
    <n v="14049"/>
    <n v="1"/>
    <x v="500"/>
    <n v="1.3053126223730584E-2"/>
    <n v="925.2321025"/>
    <n v="1850.464205"/>
    <n v="50"/>
    <n v="131.71501210050536"/>
    <x v="500"/>
    <n v="4"/>
  </r>
  <r>
    <s v="Purchase Behaviors&gt;Q2 Spring Cleaners"/>
    <x v="0"/>
    <s v="Subscribe Today - 10% Discount"/>
    <s v="Jackson"/>
    <x v="13"/>
    <x v="14"/>
    <x v="1"/>
    <x v="0"/>
    <n v="19549"/>
    <n v="2"/>
    <n v="6187"/>
    <n v="17166"/>
    <n v="2"/>
    <x v="501"/>
    <n v="1.0230702337715485E-2"/>
    <n v="922.49346049999997"/>
    <n v="922.49346049999997"/>
    <n v="100"/>
    <n v="107.47914021903762"/>
    <x v="501"/>
    <n v="2"/>
  </r>
  <r>
    <s v="US&gt;Interest Propensities&gt;Social&gt;Premium User Generated Content"/>
    <x v="1"/>
    <s v="Subscribe Today - 10% Discount"/>
    <s v="Los Angeles"/>
    <x v="4"/>
    <x v="10"/>
    <x v="2"/>
    <x v="0"/>
    <n v="88499"/>
    <n v="2"/>
    <n v="18950"/>
    <n v="71458"/>
    <n v="5"/>
    <x v="502"/>
    <n v="2.2599125413846487E-3"/>
    <n v="901.56990599999995"/>
    <n v="360.6279624"/>
    <n v="250"/>
    <n v="25.233561140809982"/>
    <x v="502"/>
    <n v="4"/>
  </r>
  <r>
    <s v="OnAudience&gt;Intent&gt;Home &amp; Garden"/>
    <x v="0"/>
    <s v="10% Discount - Ends 6/1"/>
    <s v="New York City"/>
    <x v="0"/>
    <x v="180"/>
    <x v="2"/>
    <x v="0"/>
    <n v="6648"/>
    <n v="2"/>
    <n v="2148"/>
    <n v="6178"/>
    <n v="2"/>
    <x v="503"/>
    <n v="3.0084235860409148E-2"/>
    <n v="893.96709299999998"/>
    <n v="893.96709299999998"/>
    <n v="100"/>
    <n v="289.40339689219815"/>
    <x v="503"/>
    <n v="3"/>
  </r>
  <r>
    <s v="Mobile - US&gt;Food&gt;Restaurant&gt;Brand&gt;Krispy Kreme"/>
    <x v="2"/>
    <s v="10% Discount - Ends 6/1"/>
    <s v="Grand Rapids-Kalamazoo"/>
    <x v="6"/>
    <x v="181"/>
    <x v="5"/>
    <x v="0"/>
    <n v="13608"/>
    <n v="2"/>
    <n v="2714"/>
    <n v="9332"/>
    <n v="1"/>
    <x v="504"/>
    <n v="1.4697236919459141E-2"/>
    <n v="881.33161749999999"/>
    <n v="1762.663235"/>
    <n v="50"/>
    <n v="188.88375857265325"/>
    <x v="504"/>
    <n v="5"/>
  </r>
  <r>
    <s v="US Financial&gt;Estimated Discretionary Spending (Financial)&gt;Greater than $2,499"/>
    <x v="0"/>
    <s v="10% Discount - Ends 6/1"/>
    <s v="Nashville"/>
    <x v="5"/>
    <x v="182"/>
    <x v="2"/>
    <x v="0"/>
    <n v="10779"/>
    <n v="2"/>
    <n v="6420"/>
    <n v="10287"/>
    <n v="1"/>
    <x v="505"/>
    <n v="1.8554596901382316E-2"/>
    <n v="879.8524165"/>
    <n v="1759.704833"/>
    <n v="50"/>
    <n v="171.06103169048313"/>
    <x v="505"/>
    <n v="3"/>
  </r>
  <r>
    <s v="US&gt;Sociodemographic&gt;PRIZM Premier Lifestage&gt;F2 Young Accumulators"/>
    <x v="2"/>
    <s v="Subscribe Today - 10% Discount"/>
    <s v="New York City"/>
    <x v="0"/>
    <x v="128"/>
    <x v="8"/>
    <x v="0"/>
    <n v="72117"/>
    <n v="2"/>
    <n v="9807"/>
    <n v="68568"/>
    <n v="16"/>
    <x v="506"/>
    <n v="2.773271212058183E-3"/>
    <n v="851.15860299999997"/>
    <n v="106.394825375"/>
    <n v="800"/>
    <n v="24.826700589196125"/>
    <x v="506"/>
    <n v="4"/>
  </r>
  <r>
    <s v="Media and Entertainment&gt;Gaming&gt;Interest (Affinity)&gt;Video Games"/>
    <x v="0"/>
    <s v="Subscribe Today - 10% Discount"/>
    <s v="Tallahassee"/>
    <x v="11"/>
    <x v="183"/>
    <x v="3"/>
    <x v="0"/>
    <n v="9078"/>
    <n v="2"/>
    <n v="4051"/>
    <n v="6215"/>
    <n v="1"/>
    <x v="507"/>
    <n v="2.203128442388191E-2"/>
    <n v="850.39786800000002"/>
    <n v="1700.795736"/>
    <n v="50"/>
    <n v="273.65981271118261"/>
    <x v="507"/>
    <n v="4"/>
  </r>
  <r>
    <s v="Mobile - US&gt;Food&gt;Restaurant&gt;Brand&gt;Outback Steakhouse"/>
    <x v="1"/>
    <s v="Subscribe Today - 10% Discount"/>
    <s v="Chicago"/>
    <x v="2"/>
    <x v="184"/>
    <x v="0"/>
    <x v="0"/>
    <n v="11296"/>
    <n v="2"/>
    <n v="6822"/>
    <n v="9274"/>
    <n v="1"/>
    <x v="508"/>
    <n v="1.7705382436260624E-2"/>
    <n v="841.16924949999998"/>
    <n v="1682.338499"/>
    <n v="50"/>
    <n v="181.40376310114297"/>
    <x v="508"/>
    <n v="5"/>
  </r>
  <r>
    <s v="US&gt;Sociodemographic&gt;ConneXions Lifestage&gt;F1 Early Adopting Elite"/>
    <x v="0"/>
    <s v="Sign up Today - 10% Off"/>
    <s v="New York City"/>
    <x v="0"/>
    <x v="28"/>
    <x v="2"/>
    <x v="0"/>
    <n v="20899"/>
    <n v="2"/>
    <n v="11394"/>
    <n v="19576"/>
    <n v="19"/>
    <x v="509"/>
    <n v="9.569835877314704E-3"/>
    <n v="824.72992599999998"/>
    <n v="86.813676421052634"/>
    <n v="950"/>
    <n v="84.259289538210041"/>
    <x v="509"/>
    <n v="4"/>
  </r>
  <r>
    <s v="US Financial&gt;Credit Card Type&gt;Credit Card Holder - Unknown Type"/>
    <x v="2"/>
    <s v="10% Discount - Ends 6/1"/>
    <s v="Savannah"/>
    <x v="8"/>
    <x v="185"/>
    <x v="2"/>
    <x v="0"/>
    <n v="7394"/>
    <n v="2"/>
    <n v="3441"/>
    <n v="6663"/>
    <n v="1"/>
    <x v="510"/>
    <n v="2.7048958615093318E-2"/>
    <n v="812.42038700000001"/>
    <n v="1624.840774"/>
    <n v="50"/>
    <n v="243.86023923157737"/>
    <x v="510"/>
    <n v="3"/>
  </r>
  <r>
    <s v="OnAudience&gt;Interest&gt;Arts &amp; Entertainment&gt;Television"/>
    <x v="1"/>
    <s v="10% Discount - Ends 6/1"/>
    <s v="Augusta"/>
    <x v="8"/>
    <x v="28"/>
    <x v="2"/>
    <x v="1"/>
    <n v="22800"/>
    <n v="2"/>
    <n v="8298"/>
    <n v="21161"/>
    <n v="24"/>
    <x v="511"/>
    <n v="8.771929824561403E-3"/>
    <n v="810.08275000000003"/>
    <n v="67.506895833333331"/>
    <n v="1200"/>
    <n v="76.563749350219737"/>
    <x v="511"/>
    <n v="4"/>
  </r>
  <r>
    <s v="US Mail Order Buyer"/>
    <x v="0"/>
    <s v="Subscribe Today - 10% Discount"/>
    <s v="New York City"/>
    <x v="0"/>
    <x v="12"/>
    <x v="2"/>
    <x v="0"/>
    <n v="78433"/>
    <n v="2"/>
    <n v="24067"/>
    <n v="58308"/>
    <n v="16"/>
    <x v="512"/>
    <n v="2.5499470885979115E-3"/>
    <n v="806.27466349999997"/>
    <n v="100.7843329375"/>
    <n v="800"/>
    <n v="27.655713229745487"/>
    <x v="512"/>
    <n v="1"/>
  </r>
  <r>
    <s v="US&gt;Brand Propensities&gt;Travel&gt;Booking.com Buyer Propensity"/>
    <x v="0"/>
    <s v="Subscribe Today - 10% Discount"/>
    <s v="Miami-Ft. Lauderdale"/>
    <x v="1"/>
    <x v="185"/>
    <x v="2"/>
    <x v="0"/>
    <n v="22259"/>
    <n v="2"/>
    <n v="12405"/>
    <n v="17609"/>
    <n v="14"/>
    <x v="513"/>
    <n v="8.985129610494632E-3"/>
    <n v="805.67010549999998"/>
    <n v="115.09572935714286"/>
    <n v="700"/>
    <n v="91.506627917542161"/>
    <x v="513"/>
    <n v="4"/>
  </r>
  <r>
    <s v="OnAudience&gt;Interest&gt;News&gt;National News"/>
    <x v="2"/>
    <s v="Sign up Now - 10% Off"/>
    <s v="Los Angeles"/>
    <x v="4"/>
    <x v="186"/>
    <x v="2"/>
    <x v="0"/>
    <n v="20537"/>
    <n v="2"/>
    <n v="15587"/>
    <n v="19288"/>
    <n v="10"/>
    <x v="514"/>
    <n v="9.7385207187028287E-3"/>
    <n v="804.940337"/>
    <n v="160.98806740000001"/>
    <n v="500"/>
    <n v="83.465402011613435"/>
    <x v="514"/>
    <n v="4"/>
  </r>
  <r>
    <s v="Lotame&gt;Personal Finance"/>
    <x v="0"/>
    <s v="Sign up Now - 10% Off"/>
    <s v="San Francisco"/>
    <x v="4"/>
    <x v="187"/>
    <x v="2"/>
    <x v="0"/>
    <n v="1293"/>
    <n v="2"/>
    <n v="951"/>
    <n v="1162"/>
    <n v="1"/>
    <x v="515"/>
    <n v="0.15467904098994587"/>
    <n v="798.89119700000003"/>
    <n v="1597.7823940000001"/>
    <n v="50"/>
    <n v="1375.027877796902"/>
    <x v="515"/>
    <n v="2"/>
  </r>
  <r>
    <s v="OnAudience&gt;Interest&gt;Arts &amp; Entertainment&gt;Celebrity Fan&gt;Gossip"/>
    <x v="1"/>
    <s v="Subscribe Today - 10% Discount"/>
    <s v="Los Angeles"/>
    <x v="4"/>
    <x v="11"/>
    <x v="1"/>
    <x v="0"/>
    <n v="77703"/>
    <n v="2"/>
    <n v="33478"/>
    <n v="72874"/>
    <n v="3"/>
    <x v="516"/>
    <n v="2.5739031955008171E-3"/>
    <n v="783.45620299999996"/>
    <n v="522.30413533333331"/>
    <n v="150"/>
    <n v="21.501665971402694"/>
    <x v="516"/>
    <n v="5"/>
  </r>
  <r>
    <s v="US&gt;Brand Propensities&gt;Restaurants and Dining&gt;OpenTable Buyer Propensity"/>
    <x v="0"/>
    <s v="10% Discount - Ends 6/1"/>
    <s v="Tampa-St Petersburg (Sarasota)"/>
    <x v="1"/>
    <x v="188"/>
    <x v="12"/>
    <x v="0"/>
    <n v="7201"/>
    <n v="2"/>
    <n v="3116"/>
    <n v="5788"/>
    <n v="1"/>
    <x v="517"/>
    <n v="2.7773920288848768E-2"/>
    <n v="780.59157349999998"/>
    <n v="1561.183147"/>
    <n v="50"/>
    <n v="269.72756513476162"/>
    <x v="517"/>
    <n v="4"/>
  </r>
  <r>
    <s v="Mobile - US&gt;Shopping&gt;Brand&gt;Old Navy"/>
    <x v="1"/>
    <s v="Sign up Now - 10% Off"/>
    <s v="Los Angeles"/>
    <x v="4"/>
    <x v="118"/>
    <x v="5"/>
    <x v="0"/>
    <n v="67752"/>
    <n v="2"/>
    <n v="47126"/>
    <n v="65080"/>
    <n v="3"/>
    <x v="518"/>
    <n v="2.95194237808478E-3"/>
    <n v="778.50786500000004"/>
    <n v="519.0052433333334"/>
    <n v="150"/>
    <n v="23.924642440073757"/>
    <x v="518"/>
    <n v="4"/>
  </r>
  <r>
    <s v="Mobile - US&gt;Automotive&gt;Vehicle Ownership&gt;Brand&gt;Jeep"/>
    <x v="1"/>
    <s v="Sign up Now - 10% Off"/>
    <s v="Ft. Myers-Naples"/>
    <x v="1"/>
    <x v="189"/>
    <x v="5"/>
    <x v="0"/>
    <n v="557"/>
    <n v="2"/>
    <n v="346"/>
    <n v="533"/>
    <n v="3"/>
    <x v="519"/>
    <n v="0.35906642728904847"/>
    <n v="770.85087799999997"/>
    <n v="513.90058533333331"/>
    <n v="150"/>
    <n v="2892.4986041275797"/>
    <x v="519"/>
    <n v="5"/>
  </r>
  <r>
    <s v="OnAudience&gt;Interest&gt;Games"/>
    <x v="0"/>
    <s v="Sign up Now - 10% Off"/>
    <s v="Los Angeles"/>
    <x v="4"/>
    <x v="190"/>
    <x v="1"/>
    <x v="0"/>
    <n v="13779"/>
    <n v="2"/>
    <n v="3482"/>
    <n v="12487"/>
    <n v="1"/>
    <x v="520"/>
    <n v="1.4514841425357429E-2"/>
    <n v="765.02094599999998"/>
    <n v="1530.041892"/>
    <n v="50"/>
    <n v="122.5307833747097"/>
    <x v="520"/>
    <n v="3"/>
  </r>
  <r>
    <s v="Mobile - US&gt;Sports&gt;Motor Sports&gt;NASCAR"/>
    <x v="0"/>
    <s v="Sign up Now - 10% Off"/>
    <s v="Ft. Wayne"/>
    <x v="3"/>
    <x v="8"/>
    <x v="2"/>
    <x v="0"/>
    <n v="74516"/>
    <n v="2"/>
    <n v="23985"/>
    <n v="63853"/>
    <n v="24"/>
    <x v="521"/>
    <n v="2.683987331579795E-3"/>
    <n v="761.8919545"/>
    <n v="63.490996208333335"/>
    <n v="1200"/>
    <n v="23.863936056254207"/>
    <x v="521"/>
    <n v="4"/>
  </r>
  <r>
    <s v="OnAudience&gt;Intent&gt;Software"/>
    <x v="1"/>
    <s v="Sign up Today - 10% Off"/>
    <s v="Miami-Ft. Lauderdale"/>
    <x v="1"/>
    <x v="191"/>
    <x v="2"/>
    <x v="1"/>
    <n v="22501"/>
    <n v="2"/>
    <n v="13003"/>
    <n v="21286"/>
    <n v="1"/>
    <x v="522"/>
    <n v="8.8884938447180133E-3"/>
    <n v="761.25897450000002"/>
    <n v="1522.517949"/>
    <n v="50"/>
    <n v="71.526728788875317"/>
    <x v="522"/>
    <n v="3"/>
  </r>
  <r>
    <s v="US Health and Fitness&gt;Interest&gt;Exercise&gt;Health"/>
    <x v="2"/>
    <s v="10% Discount - Ends 6/1"/>
    <s v="San Francisco"/>
    <x v="4"/>
    <x v="50"/>
    <x v="1"/>
    <x v="0"/>
    <n v="10819"/>
    <n v="2"/>
    <n v="4168"/>
    <n v="9768"/>
    <n v="1"/>
    <x v="523"/>
    <n v="1.8485996857380532E-2"/>
    <n v="752.16460700000005"/>
    <n v="1504.3292140000001"/>
    <n v="50"/>
    <n v="154.0058572891073"/>
    <x v="523"/>
    <n v="4"/>
  </r>
  <r>
    <s v="US Financial&gt;Estimated Disposable Income&gt;$0 - $99,999"/>
    <x v="1"/>
    <s v="Subscribe Today - 10% Discount"/>
    <s v="Peoria-Bloomington"/>
    <x v="2"/>
    <x v="185"/>
    <x v="3"/>
    <x v="1"/>
    <n v="21143"/>
    <n v="2"/>
    <n v="3798"/>
    <n v="19588"/>
    <n v="2"/>
    <x v="524"/>
    <n v="9.4593955446246984E-3"/>
    <n v="750.20911000000001"/>
    <n v="750.20911000000001"/>
    <n v="100"/>
    <n v="76.598847253420459"/>
    <x v="524"/>
    <n v="3"/>
  </r>
  <r>
    <s v="Media and Entertainment&gt;Sports and Recreational Activities&gt;Interest (Affinity)&gt;Team Sports&gt;Baseball&gt;Major League Baseball (MLB)"/>
    <x v="1"/>
    <s v="Subscribe Today - 10% Discount"/>
    <s v="Champaign &amp; Springfield-Decatur"/>
    <x v="9"/>
    <x v="116"/>
    <x v="3"/>
    <x v="0"/>
    <n v="11062"/>
    <n v="2"/>
    <n v="6539"/>
    <n v="9391"/>
    <n v="1"/>
    <x v="525"/>
    <n v="1.8079913216416561E-2"/>
    <n v="750.04966000000002"/>
    <n v="1500.09932"/>
    <n v="50"/>
    <n v="159.73797465658609"/>
    <x v="525"/>
    <n v="6"/>
  </r>
  <r>
    <s v="US&gt;Brand Propensities&gt;Media and Entertainment&gt;Sony Network Entertainment International Buyer Propensity"/>
    <x v="1"/>
    <s v="10% Discount - Ends 6/1"/>
    <s v="West Palm Beach-Ft. Pierce"/>
    <x v="1"/>
    <x v="26"/>
    <x v="5"/>
    <x v="1"/>
    <n v="32173"/>
    <n v="2"/>
    <n v="24427"/>
    <n v="30084"/>
    <n v="11"/>
    <x v="526"/>
    <n v="6.2163926273583435E-3"/>
    <n v="749.14576999999997"/>
    <n v="136.20832181818182"/>
    <n v="550"/>
    <n v="49.803601249833797"/>
    <x v="526"/>
    <n v="4"/>
  </r>
  <r>
    <s v="Media and Entertainment&gt;Audio and Video Streaming&gt;Streaming Video"/>
    <x v="0"/>
    <s v="Subscribe Today - 10% Discount"/>
    <s v="Grand Rapids-Kalamazoo"/>
    <x v="6"/>
    <x v="192"/>
    <x v="3"/>
    <x v="0"/>
    <n v="13713"/>
    <n v="2"/>
    <n v="8339"/>
    <n v="13051"/>
    <n v="4"/>
    <x v="527"/>
    <n v="1.4584700649019179E-2"/>
    <n v="745.00309849999996"/>
    <n v="372.50154924999998"/>
    <n v="200"/>
    <n v="114.16797157305952"/>
    <x v="527"/>
    <n v="3"/>
  </r>
  <r>
    <s v="OnAudience&gt;Intent&gt;Media&gt;Music"/>
    <x v="0"/>
    <s v="10% Discount - Ends 6/1"/>
    <s v="Rockford"/>
    <x v="2"/>
    <x v="193"/>
    <x v="15"/>
    <x v="0"/>
    <n v="158"/>
    <n v="2"/>
    <n v="119"/>
    <n v="147"/>
    <n v="9"/>
    <x v="528"/>
    <n v="1.2658227848101267"/>
    <n v="733.36469850000003"/>
    <n v="162.969933"/>
    <n v="450"/>
    <n v="9977.7510000000002"/>
    <x v="528"/>
    <n v="4"/>
  </r>
  <r>
    <s v="OnAudience&gt;Interest&gt;Arts &amp; Entertainment&gt;Books &amp; Literature"/>
    <x v="1"/>
    <s v="10% Discount - Ends 6/1"/>
    <s v="New York City"/>
    <x v="0"/>
    <x v="194"/>
    <x v="2"/>
    <x v="1"/>
    <n v="145"/>
    <n v="2"/>
    <n v="81"/>
    <n v="135"/>
    <n v="2"/>
    <x v="529"/>
    <n v="1.3793103448275863"/>
    <n v="729.46948299999997"/>
    <n v="729.46948299999997"/>
    <n v="100"/>
    <n v="10806.955303703702"/>
    <x v="529"/>
    <n v="4"/>
  </r>
  <r>
    <s v="US Interest&gt;Cooking&gt;General"/>
    <x v="0"/>
    <s v="Sign up Now - 10% Off"/>
    <s v="Chicago"/>
    <x v="2"/>
    <x v="195"/>
    <x v="7"/>
    <x v="0"/>
    <n v="9920"/>
    <n v="2"/>
    <n v="6702"/>
    <n v="9096"/>
    <n v="10"/>
    <x v="530"/>
    <n v="2.0161290322580645E-2"/>
    <n v="726.55719499999998"/>
    <n v="145.31143900000001"/>
    <n v="500"/>
    <n v="159.75312115215479"/>
    <x v="530"/>
    <n v="3"/>
  </r>
  <r>
    <s v="Lotame&gt;Offline CPG Purchasers&gt;Product Segment&gt;Home Supplies"/>
    <x v="1"/>
    <s v="Sign up Today - 10% Off"/>
    <s v="Los Angeles"/>
    <x v="4"/>
    <x v="11"/>
    <x v="5"/>
    <x v="0"/>
    <n v="13326"/>
    <n v="2"/>
    <n v="3568"/>
    <n v="11388"/>
    <n v="1"/>
    <x v="531"/>
    <n v="1.5008254539996999E-2"/>
    <n v="721.01609150000002"/>
    <n v="1442.032183"/>
    <n v="50"/>
    <n v="126.62734308043555"/>
    <x v="531"/>
    <n v="4"/>
  </r>
  <r>
    <s v="Online Behavior&gt;United States&gt;Travel&gt;Tourist Destinations&gt;Lakes and Rivers"/>
    <x v="1"/>
    <s v="Subscribe Today - 10% Discount"/>
    <s v="Chicago"/>
    <x v="2"/>
    <x v="196"/>
    <x v="8"/>
    <x v="0"/>
    <n v="12710"/>
    <n v="1"/>
    <n v="8159"/>
    <n v="11984"/>
    <n v="11"/>
    <x v="532"/>
    <n v="7.8678206136900079E-3"/>
    <n v="7851.3974779999999"/>
    <n v="713.76340709090903"/>
    <n v="1100"/>
    <n v="655.1566653871829"/>
    <x v="532"/>
    <n v="5"/>
  </r>
  <r>
    <s v="Online Behavior&gt;United States&gt;Life Event&gt;Home Buying"/>
    <x v="1"/>
    <s v="Subscribe Today - 10% Discount"/>
    <s v="New York City"/>
    <x v="0"/>
    <x v="97"/>
    <x v="5"/>
    <x v="0"/>
    <n v="9362"/>
    <n v="1"/>
    <n v="5202"/>
    <n v="8928"/>
    <n v="1"/>
    <x v="533"/>
    <n v="1.0681478316599017E-2"/>
    <n v="7312.492757"/>
    <n v="7312.492757"/>
    <n v="100"/>
    <n v="819.05160808691755"/>
    <x v="533"/>
    <n v="4"/>
  </r>
  <r>
    <s v="Online Behavior&gt;United States&gt;Finance&gt;Investing&gt;Currencies and Foreign Exchange"/>
    <x v="0"/>
    <s v="Sign up Today - 10% Off"/>
    <s v="West Palm Beach-Ft. Pierce"/>
    <x v="1"/>
    <x v="124"/>
    <x v="2"/>
    <x v="0"/>
    <n v="2366"/>
    <n v="1"/>
    <n v="1648"/>
    <n v="2207"/>
    <n v="2"/>
    <x v="534"/>
    <n v="4.2265426880811495E-2"/>
    <n v="7079.5175380000001"/>
    <n v="3539.758769"/>
    <n v="200"/>
    <n v="3207.7560208427731"/>
    <x v="534"/>
    <n v="5"/>
  </r>
  <r>
    <s v="Online Behavior&gt;United States&gt;Internet and Telecom&gt;Email and Messaging"/>
    <x v="0"/>
    <s v="Subscribe Today - 10% Discount"/>
    <s v="Miami-Ft. Lauderdale"/>
    <x v="1"/>
    <x v="197"/>
    <x v="3"/>
    <x v="0"/>
    <n v="14553"/>
    <n v="1"/>
    <n v="6119"/>
    <n v="12505"/>
    <n v="1"/>
    <x v="535"/>
    <n v="6.8714354428640141E-3"/>
    <n v="6968.00047"/>
    <n v="6968.00047"/>
    <n v="100"/>
    <n v="557.21715073970415"/>
    <x v="535"/>
    <n v="4"/>
  </r>
  <r>
    <s v="Online Behavior&gt;United States&gt;Internet and Telecom&gt;Mobile and Wireless"/>
    <x v="0"/>
    <s v="Sign up Now - 10% Off"/>
    <s v="Nashville"/>
    <x v="5"/>
    <x v="28"/>
    <x v="2"/>
    <x v="0"/>
    <n v="15326"/>
    <n v="1"/>
    <n v="7941"/>
    <n v="14331"/>
    <n v="8"/>
    <x v="536"/>
    <n v="6.524859715516116E-3"/>
    <n v="6943.5158240000001"/>
    <n v="867.93947800000001"/>
    <n v="800"/>
    <n v="484.5102103133068"/>
    <x v="536"/>
    <n v="4"/>
  </r>
  <r>
    <s v="Online Behavior&gt;United States&gt;Home and Garden&gt;Yard and Patio"/>
    <x v="1"/>
    <s v="Subscribe Today - 10% Discount"/>
    <s v="Los Angeles"/>
    <x v="4"/>
    <x v="128"/>
    <x v="8"/>
    <x v="0"/>
    <n v="11607"/>
    <n v="1"/>
    <n v="5218"/>
    <n v="10763"/>
    <n v="1"/>
    <x v="537"/>
    <n v="8.6154906521926436E-3"/>
    <n v="6909.7323180000003"/>
    <n v="6909.7323180000003"/>
    <n v="100"/>
    <n v="641.98943770324252"/>
    <x v="537"/>
    <n v="4"/>
  </r>
  <r>
    <s v="Online Behavior&gt;United States&gt;Sports&gt;Team Sports&gt;Volleyball"/>
    <x v="1"/>
    <s v="Subscribe Today - 10% Discount"/>
    <s v="Nashville"/>
    <x v="5"/>
    <x v="184"/>
    <x v="13"/>
    <x v="2"/>
    <n v="10066"/>
    <n v="1"/>
    <n v="6978"/>
    <n v="9369"/>
    <n v="19"/>
    <x v="538"/>
    <n v="9.9344327438903243E-3"/>
    <n v="6879.5870969999996"/>
    <n v="362.08353142105261"/>
    <n v="1900"/>
    <n v="734.29257092539228"/>
    <x v="538"/>
    <n v="5"/>
  </r>
  <r>
    <s v="Online Behavior&gt;United States&gt;Law and Government&gt;Legal"/>
    <x v="0"/>
    <s v="10% Discount - Ends 6/1"/>
    <s v="Chicago"/>
    <x v="2"/>
    <x v="198"/>
    <x v="7"/>
    <x v="0"/>
    <n v="9867"/>
    <n v="1"/>
    <n v="6867"/>
    <n v="9347"/>
    <n v="18"/>
    <x v="539"/>
    <n v="1.0134792743488396E-2"/>
    <n v="6839.5690860000004"/>
    <n v="379.97606033333335"/>
    <n v="1800"/>
    <n v="731.73949780678288"/>
    <x v="539"/>
    <n v="4"/>
  </r>
  <r>
    <s v="Online Behavior&gt;United States&gt;Games&gt;Card Games"/>
    <x v="0"/>
    <s v="10% Discount - Ends 6/1"/>
    <s v="San Francisco"/>
    <x v="4"/>
    <x v="154"/>
    <x v="2"/>
    <x v="0"/>
    <n v="11511"/>
    <n v="1"/>
    <n v="8268"/>
    <n v="11042"/>
    <n v="1"/>
    <x v="540"/>
    <n v="8.6873425419164273E-3"/>
    <n v="6815.7123250000004"/>
    <n v="6815.7123250000004"/>
    <n v="100"/>
    <n v="617.25342555696443"/>
    <x v="540"/>
    <n v="4"/>
  </r>
  <r>
    <s v="Online Behavior&gt;United States&gt;The Changing Consumer&gt;Home Gardener"/>
    <x v="1"/>
    <s v="Subscribe Today - 10% Discount"/>
    <s v="Los Angeles"/>
    <x v="4"/>
    <x v="181"/>
    <x v="4"/>
    <x v="0"/>
    <n v="7151"/>
    <n v="1"/>
    <n v="3359"/>
    <n v="6108"/>
    <n v="1"/>
    <x v="541"/>
    <n v="1.3984058173682003E-2"/>
    <n v="6806.266799"/>
    <n v="6806.266799"/>
    <n v="100"/>
    <n v="1114.3200391290111"/>
    <x v="541"/>
    <n v="4"/>
  </r>
  <r>
    <s v="Online Behavior&gt;United States&gt;Travel&gt;Car Rental and Taxi Services"/>
    <x v="2"/>
    <s v="Subscribe Today - 10% Discount"/>
    <s v="Los Angeles"/>
    <x v="4"/>
    <x v="199"/>
    <x v="5"/>
    <x v="0"/>
    <n v="10350"/>
    <n v="1"/>
    <n v="723"/>
    <n v="8720"/>
    <n v="19"/>
    <x v="542"/>
    <n v="9.6618357487922701E-3"/>
    <n v="6774.202636"/>
    <n v="356.53698084210527"/>
    <n v="1900"/>
    <n v="776.85810045871563"/>
    <x v="542"/>
    <n v="4"/>
  </r>
  <r>
    <s v="Online Behavior&gt;United States&gt;Beauty and Fitness&gt;Fashion and Style&gt;Fashion Modeling"/>
    <x v="0"/>
    <s v="Sign up Now - 10% Off"/>
    <s v="Chicago"/>
    <x v="2"/>
    <x v="28"/>
    <x v="2"/>
    <x v="0"/>
    <n v="18095"/>
    <n v="1"/>
    <n v="10021"/>
    <n v="16755"/>
    <n v="24"/>
    <x v="543"/>
    <n v="5.526388505111909E-3"/>
    <n v="6768.7587679999997"/>
    <n v="282.03161533333332"/>
    <n v="2400"/>
    <n v="403.98440871381672"/>
    <x v="543"/>
    <n v="5"/>
  </r>
  <r>
    <s v="Online Behavior&gt;United States&gt;Sports&gt;Individual Sports&gt;Track and Field"/>
    <x v="0"/>
    <s v="Sign up Now - 10% Off"/>
    <s v="Chicago"/>
    <x v="2"/>
    <x v="26"/>
    <x v="2"/>
    <x v="0"/>
    <n v="7514"/>
    <n v="1"/>
    <n v="2646"/>
    <n v="3373"/>
    <n v="3"/>
    <x v="544"/>
    <n v="1.3308490817141336E-2"/>
    <n v="6756.2951789999997"/>
    <n v="2252.0983929999998"/>
    <n v="300"/>
    <n v="2003.0522321375629"/>
    <x v="544"/>
    <n v="5"/>
  </r>
  <r>
    <s v="Online Behavior&gt;United States&gt;People and Society&gt;Millennials"/>
    <x v="1"/>
    <s v="Sign up Today - 10% Off"/>
    <s v="Miami-Ft. Lauderdale"/>
    <x v="1"/>
    <x v="17"/>
    <x v="1"/>
    <x v="0"/>
    <n v="23829"/>
    <n v="1"/>
    <n v="8326"/>
    <n v="18812"/>
    <n v="5"/>
    <x v="545"/>
    <n v="4.1965672080238369E-3"/>
    <n v="6696.1908149999999"/>
    <n v="1339.238163"/>
    <n v="500"/>
    <n v="355.95315835636825"/>
    <x v="545"/>
    <n v="4"/>
  </r>
  <r>
    <s v="Online Behavior&gt;United States&gt;Intent&gt;Financial Intent&gt;Banking"/>
    <x v="2"/>
    <s v="Subscribe Today - 10% Discount"/>
    <s v="San Francisco"/>
    <x v="4"/>
    <x v="200"/>
    <x v="2"/>
    <x v="0"/>
    <n v="9238"/>
    <n v="1"/>
    <n v="4626"/>
    <n v="8264"/>
    <n v="15"/>
    <x v="546"/>
    <n v="1.0824853864472829E-2"/>
    <n v="6683.2254869999997"/>
    <n v="445.5483658"/>
    <n v="1500"/>
    <n v="808.71557199903191"/>
    <x v="546"/>
    <n v="5"/>
  </r>
  <r>
    <s v="Online Behavior&gt;United States&gt;Beauty and Fitness&gt;Fashion and Style&gt;Couture Fashion"/>
    <x v="1"/>
    <s v="10% Discount - Ends 6/1"/>
    <s v="Chicago"/>
    <x v="2"/>
    <x v="201"/>
    <x v="1"/>
    <x v="0"/>
    <n v="6902"/>
    <n v="1"/>
    <n v="3884"/>
    <n v="5793"/>
    <n v="1"/>
    <x v="547"/>
    <n v="1.4488554042306579E-2"/>
    <n v="6673.327432"/>
    <n v="6673.327432"/>
    <n v="100"/>
    <n v="1151.9639965475574"/>
    <x v="547"/>
    <n v="5"/>
  </r>
  <r>
    <s v="Online Behavior&gt;United States&gt;Autos and Vehicles&gt;Vehicle Shopping"/>
    <x v="0"/>
    <s v="10% Discount - Ends 6/1"/>
    <s v="Miami-Ft. Lauderdale"/>
    <x v="1"/>
    <x v="105"/>
    <x v="5"/>
    <x v="0"/>
    <n v="1455"/>
    <n v="1"/>
    <n v="713"/>
    <n v="1355"/>
    <n v="3"/>
    <x v="548"/>
    <n v="6.8728522336769765E-2"/>
    <n v="6651.9811110000001"/>
    <n v="2217.327037"/>
    <n v="300"/>
    <n v="4909.2111520295202"/>
    <x v="548"/>
    <n v="4"/>
  </r>
  <r>
    <s v="Online Behavior&gt;United States&gt;Home and Garden&gt;Home Storage and Shelving"/>
    <x v="0"/>
    <s v="Sign up Now - 10% Off"/>
    <s v="Chicago"/>
    <x v="2"/>
    <x v="202"/>
    <x v="5"/>
    <x v="0"/>
    <n v="310"/>
    <n v="1"/>
    <n v="24"/>
    <n v="273"/>
    <n v="2"/>
    <x v="549"/>
    <n v="0.32258064516129031"/>
    <n v="6552.7216410000001"/>
    <n v="3276.3608205"/>
    <n v="200"/>
    <n v="24002.643373626372"/>
    <x v="549"/>
    <n v="4"/>
  </r>
  <r>
    <s v="Online Behavior&gt;United States&gt;Arts and Entertainment&gt;Arts and Entertainment"/>
    <x v="0"/>
    <s v="Subscribe Today - 10% Discount"/>
    <s v="Orlando-Daytona Beach"/>
    <x v="1"/>
    <x v="45"/>
    <x v="2"/>
    <x v="0"/>
    <n v="7248"/>
    <n v="1"/>
    <n v="3988"/>
    <n v="6863"/>
    <n v="7"/>
    <x v="550"/>
    <n v="1.379690949227373E-2"/>
    <n v="6548.0725650000004"/>
    <n v="935.43893785714295"/>
    <n v="700"/>
    <n v="954.11227815823986"/>
    <x v="550"/>
    <n v="4"/>
  </r>
  <r>
    <s v="Online Behavior&gt;United States&gt;Life Event&gt;Job Search"/>
    <x v="0"/>
    <s v="10% Discount - Ends 6/1"/>
    <s v="New York City"/>
    <x v="0"/>
    <x v="203"/>
    <x v="2"/>
    <x v="0"/>
    <n v="18081"/>
    <n v="1"/>
    <n v="4545"/>
    <n v="15617"/>
    <n v="5"/>
    <x v="551"/>
    <n v="5.5306675515734748E-3"/>
    <n v="6522.6375260000004"/>
    <n v="1304.5275052000002"/>
    <n v="500"/>
    <n v="417.66264493820836"/>
    <x v="551"/>
    <n v="4"/>
  </r>
  <r>
    <s v="Online Behavior&gt;United States&gt;Travel&gt;Tourist Destinations&gt;Historical Sites and Buildings"/>
    <x v="0"/>
    <s v="10% Discount - Ends 6/1"/>
    <s v="San Francisco"/>
    <x v="4"/>
    <x v="138"/>
    <x v="8"/>
    <x v="0"/>
    <n v="47360"/>
    <n v="1"/>
    <n v="8047"/>
    <n v="33641"/>
    <n v="2"/>
    <x v="552"/>
    <n v="2.1114864864864866E-3"/>
    <n v="6502.2749329999997"/>
    <n v="3251.1374664999998"/>
    <n v="200"/>
    <n v="193.28423450551409"/>
    <x v="552"/>
    <n v="5"/>
  </r>
  <r>
    <s v="Online Behavior&gt;United States&gt;Intent&gt;Shopping&gt;Drug Stores"/>
    <x v="0"/>
    <s v="Sign up Now - 10% Off"/>
    <s v="Jacksonville"/>
    <x v="1"/>
    <x v="153"/>
    <x v="2"/>
    <x v="0"/>
    <n v="7687"/>
    <n v="1"/>
    <n v="5311"/>
    <n v="7266"/>
    <n v="6"/>
    <x v="553"/>
    <n v="1.3008976193573565E-2"/>
    <n v="6486.8539090000004"/>
    <n v="1081.1423181666667"/>
    <n v="600"/>
    <n v="892.76822309386182"/>
    <x v="553"/>
    <n v="5"/>
  </r>
  <r>
    <s v="Online Behavior&gt;United States&gt;Food and Drink&gt;Beverages&gt;Beer"/>
    <x v="1"/>
    <s v="10% Discount - Ends 6/1"/>
    <s v="Chicago"/>
    <x v="2"/>
    <x v="115"/>
    <x v="8"/>
    <x v="2"/>
    <n v="26212"/>
    <n v="1"/>
    <n v="12726"/>
    <n v="24442"/>
    <n v="11"/>
    <x v="554"/>
    <n v="3.8150465435678313E-3"/>
    <n v="6452.9350100000001"/>
    <n v="586.63045545454543"/>
    <n v="1100"/>
    <n v="264.01010596514197"/>
    <x v="554"/>
    <n v="5"/>
  </r>
  <r>
    <s v="Online Behavior&gt;United States&gt;Intent&gt;Shopping&gt;Consumer Electronics&gt;Computers, Laptops"/>
    <x v="0"/>
    <s v="Sign up Today - 10% Off"/>
    <s v="Knoxville"/>
    <x v="5"/>
    <x v="79"/>
    <x v="9"/>
    <x v="0"/>
    <n v="16644"/>
    <n v="1"/>
    <n v="5055"/>
    <n v="15831"/>
    <n v="5"/>
    <x v="555"/>
    <n v="6.0081711127132897E-3"/>
    <n v="6386.4642320000003"/>
    <n v="1277.2928464000001"/>
    <n v="500"/>
    <n v="403.41508634956728"/>
    <x v="555"/>
    <n v="6"/>
  </r>
  <r>
    <s v="Online Behavior&gt;United States&gt;Intent&gt;Auto Buyers&gt;Car Make&gt;Vauxhall"/>
    <x v="0"/>
    <s v="Sign up Now - 10% Off"/>
    <s v="San Francisco"/>
    <x v="4"/>
    <x v="7"/>
    <x v="2"/>
    <x v="0"/>
    <n v="14038"/>
    <n v="1"/>
    <n v="1600"/>
    <n v="11345"/>
    <n v="8"/>
    <x v="556"/>
    <n v="7.1235218692121387E-3"/>
    <n v="6368.8629129999999"/>
    <n v="796.10786412499999"/>
    <n v="800"/>
    <n v="561.38060052886726"/>
    <x v="556"/>
    <n v="6"/>
  </r>
  <r>
    <s v="Online Behavior&gt;United States&gt;Online Communities&gt;Dating and Personals"/>
    <x v="0"/>
    <s v="Sign up Today - 10% Off"/>
    <s v="Nashville"/>
    <x v="5"/>
    <x v="12"/>
    <x v="2"/>
    <x v="0"/>
    <n v="39844"/>
    <n v="1"/>
    <n v="11077"/>
    <n v="30190"/>
    <n v="6"/>
    <x v="557"/>
    <n v="2.5097881738781248E-3"/>
    <n v="6367.8699290000004"/>
    <n v="1061.3116548333335"/>
    <n v="600"/>
    <n v="210.92646336535279"/>
    <x v="557"/>
    <n v="4"/>
  </r>
  <r>
    <s v="Online Behavior&gt;United States&gt;Life Event&gt;Bride"/>
    <x v="0"/>
    <s v="Subscribe Today - 10% Discount"/>
    <s v="Nashville"/>
    <x v="5"/>
    <x v="37"/>
    <x v="0"/>
    <x v="0"/>
    <n v="11919"/>
    <n v="1"/>
    <n v="8100"/>
    <n v="11524"/>
    <n v="1"/>
    <x v="558"/>
    <n v="8.3899656011410355E-3"/>
    <n v="6350.916905"/>
    <n v="6350.916905"/>
    <n v="100"/>
    <n v="551.10351483859779"/>
    <x v="558"/>
    <n v="4"/>
  </r>
  <r>
    <s v="Online Behavior&gt;United States&gt;Intent&gt;Auto Buyers&gt;Car Make&gt;Mercedes"/>
    <x v="0"/>
    <s v="Subscribe Today - 10% Discount"/>
    <s v="Lansing"/>
    <x v="6"/>
    <x v="50"/>
    <x v="8"/>
    <x v="0"/>
    <n v="42459"/>
    <n v="1"/>
    <n v="15187"/>
    <n v="37408"/>
    <n v="1"/>
    <x v="559"/>
    <n v="2.3552132645611058E-3"/>
    <n v="6321.4916890000004"/>
    <n v="6321.4916890000004"/>
    <n v="100"/>
    <n v="168.9876948513687"/>
    <x v="559"/>
    <n v="6"/>
  </r>
  <r>
    <s v="Online Behavior&gt;United States&gt;Intent&gt;Auto Buyers&gt;Car Make&gt;Jeep"/>
    <x v="1"/>
    <s v="Sign up Today - 10% Off"/>
    <s v="New York City"/>
    <x v="0"/>
    <x v="12"/>
    <x v="10"/>
    <x v="1"/>
    <n v="96779"/>
    <n v="1"/>
    <n v="9831"/>
    <n v="63640"/>
    <n v="10"/>
    <x v="560"/>
    <n v="1.0332820136599882E-3"/>
    <n v="6317.5107539999999"/>
    <n v="631.75107539999999"/>
    <n v="1000"/>
    <n v="99.269496448774348"/>
    <x v="560"/>
    <n v="6"/>
  </r>
  <r>
    <s v="Online Behavior&gt;United States&gt;Intent&gt;Auto Buyers&gt;Auto Buyers"/>
    <x v="2"/>
    <s v="Sign up Today - 10% Off"/>
    <s v="Jacksonville"/>
    <x v="1"/>
    <x v="204"/>
    <x v="2"/>
    <x v="0"/>
    <n v="2770"/>
    <n v="1"/>
    <n v="1427"/>
    <n v="2612"/>
    <n v="3"/>
    <x v="561"/>
    <n v="3.6101083032490974E-2"/>
    <n v="6312.4127349999999"/>
    <n v="2104.1375783333333"/>
    <n v="300"/>
    <n v="2416.6970654670749"/>
    <x v="561"/>
    <n v="5"/>
  </r>
  <r>
    <s v="Online Behavior&gt;United States&gt;Intent&gt;Auto Buyers&gt;Type&gt;Truck"/>
    <x v="1"/>
    <s v="Sign up Now - 10% Off"/>
    <s v="Tampa-St Petersburg (Sarasota)"/>
    <x v="1"/>
    <x v="4"/>
    <x v="1"/>
    <x v="0"/>
    <n v="12974"/>
    <n v="1"/>
    <n v="7521"/>
    <n v="10959"/>
    <n v="5"/>
    <x v="562"/>
    <n v="7.7077231385848629E-3"/>
    <n v="6301.8688469999997"/>
    <n v="1260.3737693999999"/>
    <n v="500"/>
    <n v="575.04050068436891"/>
    <x v="562"/>
    <n v="6"/>
  </r>
  <r>
    <s v="Online Behavior&gt;United States&gt;Intent&gt;Auto Buyers&gt;Car Make&gt;Audi"/>
    <x v="1"/>
    <s v="10% Discount - Ends 6/1"/>
    <s v="New York City"/>
    <x v="0"/>
    <x v="205"/>
    <x v="3"/>
    <x v="0"/>
    <n v="1036"/>
    <n v="1"/>
    <n v="807"/>
    <n v="940"/>
    <n v="6"/>
    <x v="563"/>
    <n v="9.6525096525096526E-2"/>
    <n v="6257.9280559999997"/>
    <n v="1042.9880093333334"/>
    <n v="600"/>
    <n v="6657.3702723404249"/>
    <x v="563"/>
    <n v="6"/>
  </r>
  <r>
    <s v="Online Behavior&gt;United States&gt;Intent&gt;Shopping&gt;CPG&gt;Beverages"/>
    <x v="1"/>
    <s v="Sign up Today - 10% Off"/>
    <s v="Chicago"/>
    <x v="2"/>
    <x v="206"/>
    <x v="2"/>
    <x v="1"/>
    <n v="2772"/>
    <n v="1"/>
    <n v="1154"/>
    <n v="2536"/>
    <n v="9"/>
    <x v="564"/>
    <n v="3.6075036075036072E-2"/>
    <n v="6235.4603779999998"/>
    <n v="692.82893088888886"/>
    <n v="900"/>
    <n v="2458.7777515772868"/>
    <x v="564"/>
    <n v="6"/>
  </r>
  <r>
    <s v="Online Behavior&gt;United States&gt;Food and Drink&gt;Restaurants&gt;Fine Dining"/>
    <x v="1"/>
    <s v="Sign up Now - 10% Off"/>
    <s v="New York City"/>
    <x v="0"/>
    <x v="203"/>
    <x v="2"/>
    <x v="1"/>
    <n v="95655"/>
    <n v="1"/>
    <n v="9202"/>
    <n v="85273"/>
    <n v="24"/>
    <x v="565"/>
    <n v="1.045423657937379E-3"/>
    <n v="6189.4160819999997"/>
    <n v="257.89233674999997"/>
    <n v="2400"/>
    <n v="72.583538540921509"/>
    <x v="565"/>
    <n v="5"/>
  </r>
  <r>
    <s v="Online Behavior&gt;United States&gt;Intent&gt;Auto Buyers&gt;Car Make&gt;Honda"/>
    <x v="1"/>
    <s v="Subscribe Today - 10% Discount"/>
    <s v="Nashville"/>
    <x v="5"/>
    <x v="201"/>
    <x v="9"/>
    <x v="0"/>
    <n v="8000"/>
    <n v="1"/>
    <n v="4400"/>
    <n v="6379"/>
    <n v="1"/>
    <x v="566"/>
    <n v="1.2500000000000001E-2"/>
    <n v="6159.3669019999998"/>
    <n v="6159.3669019999998"/>
    <n v="100"/>
    <n v="965.56935287662634"/>
    <x v="566"/>
    <n v="6"/>
  </r>
  <r>
    <s v="Online Behavior&gt;United States&gt;Sports&gt;Sports League&gt;Premier League"/>
    <x v="1"/>
    <s v="Sign up Today - 10% Off"/>
    <s v="Chicago"/>
    <x v="2"/>
    <x v="169"/>
    <x v="1"/>
    <x v="0"/>
    <n v="8217"/>
    <n v="1"/>
    <n v="5740"/>
    <n v="8009"/>
    <n v="1"/>
    <x v="567"/>
    <n v="1.2169891687963978E-2"/>
    <n v="6051.3346229999997"/>
    <n v="6051.3346229999997"/>
    <n v="100"/>
    <n v="755.56681520789107"/>
    <x v="567"/>
    <n v="5"/>
  </r>
  <r>
    <s v="Online Behavior&gt;United States&gt;Intent&gt;Services&gt;Arts and Entertainment"/>
    <x v="1"/>
    <s v="Sign up Today - 10% Off"/>
    <s v="Chicago"/>
    <x v="2"/>
    <x v="4"/>
    <x v="2"/>
    <x v="2"/>
    <n v="29834"/>
    <n v="1"/>
    <n v="14599"/>
    <n v="24656"/>
    <n v="2"/>
    <x v="568"/>
    <n v="3.3518804049071532E-3"/>
    <n v="6032.8371139999999"/>
    <n v="3016.418557"/>
    <n v="200"/>
    <n v="244.68028528552887"/>
    <x v="568"/>
    <n v="5"/>
  </r>
  <r>
    <s v="Online Behavior&gt;United States&gt;Intent&gt;Auto Buyers&gt;Car Make&gt;Nissan"/>
    <x v="0"/>
    <s v="Subscribe Today - 10% Discount"/>
    <s v="Miami-Ft. Lauderdale"/>
    <x v="1"/>
    <x v="207"/>
    <x v="2"/>
    <x v="0"/>
    <n v="8068"/>
    <n v="1"/>
    <n v="5545"/>
    <n v="7554"/>
    <n v="1"/>
    <x v="569"/>
    <n v="1.2394645513138323E-2"/>
    <n v="5995.0410019999999"/>
    <n v="5995.0410019999999"/>
    <n v="100"/>
    <n v="793.62470240931964"/>
    <x v="569"/>
    <n v="6"/>
  </r>
  <r>
    <s v="Online Behavior&gt;United States&gt;Online Communities&gt;Social Influencer"/>
    <x v="0"/>
    <s v="Subscribe Today - 10% Discount"/>
    <s v="Los Angeles"/>
    <x v="4"/>
    <x v="101"/>
    <x v="9"/>
    <x v="0"/>
    <n v="5873"/>
    <n v="1"/>
    <n v="2703"/>
    <n v="5141"/>
    <n v="3"/>
    <x v="570"/>
    <n v="1.7027073046143367E-2"/>
    <n v="5949.9386940000004"/>
    <n v="1983.3128980000001"/>
    <n v="300"/>
    <n v="1157.3504559424237"/>
    <x v="570"/>
    <n v="4"/>
  </r>
  <r>
    <s v="Online Behavior&gt;United States&gt;Finance&gt;Investing&gt;Real Estate Investment Trusts"/>
    <x v="0"/>
    <s v="Subscribe Today - 10% Discount"/>
    <s v="Flint-Saginaw-Bay City"/>
    <x v="6"/>
    <x v="208"/>
    <x v="5"/>
    <x v="0"/>
    <n v="6922"/>
    <n v="1"/>
    <n v="3974"/>
    <n v="6498"/>
    <n v="1"/>
    <x v="571"/>
    <n v="1.4446691707598961E-2"/>
    <n v="5886.8659710000002"/>
    <n v="5886.8659710000002"/>
    <n v="100"/>
    <n v="905.95044182825495"/>
    <x v="571"/>
    <n v="5"/>
  </r>
  <r>
    <s v="Online Behavior&gt;United States&gt;Real Estate&gt;Apartments and Residential Rentals"/>
    <x v="0"/>
    <s v="Sign up Now - 10% Off"/>
    <s v="New York City"/>
    <x v="0"/>
    <x v="49"/>
    <x v="2"/>
    <x v="0"/>
    <n v="9515"/>
    <n v="1"/>
    <n v="6169"/>
    <n v="9138"/>
    <n v="1"/>
    <x v="572"/>
    <n v="1.0509721492380452E-2"/>
    <n v="5776.508186"/>
    <n v="5776.508186"/>
    <n v="100"/>
    <n v="632.14140796673234"/>
    <x v="572"/>
    <n v="4"/>
  </r>
  <r>
    <s v="Online Behavior&gt;United States&gt;Autos and Vehicles&gt;Brands&gt;Jeep"/>
    <x v="0"/>
    <s v="Sign up Now - 10% Off"/>
    <s v="Los Angeles"/>
    <x v="4"/>
    <x v="17"/>
    <x v="2"/>
    <x v="0"/>
    <n v="23711"/>
    <n v="1"/>
    <n v="4337"/>
    <n v="17211"/>
    <n v="1"/>
    <x v="573"/>
    <n v="4.2174518156130065E-3"/>
    <n v="5740.9522189999998"/>
    <n v="5740.9522189999998"/>
    <n v="100"/>
    <n v="333.56296664923593"/>
    <x v="573"/>
    <n v="5"/>
  </r>
  <r>
    <s v="Online Behavior&gt;United States&gt;Intent&gt;Shopping&gt;Pet Food&gt;Cat"/>
    <x v="1"/>
    <s v="Sign up Today - 10% Off"/>
    <s v="New York City"/>
    <x v="0"/>
    <x v="209"/>
    <x v="4"/>
    <x v="0"/>
    <n v="4473"/>
    <n v="1"/>
    <n v="4184"/>
    <n v="4346"/>
    <n v="3"/>
    <x v="574"/>
    <n v="2.23563603845294E-2"/>
    <n v="5673.320874"/>
    <n v="1891.1069580000001"/>
    <n v="300"/>
    <n v="1305.4120740911183"/>
    <x v="574"/>
    <n v="6"/>
  </r>
  <r>
    <s v="Online Behavior&gt;United States&gt;Autos and Vehicles&gt;Brands&gt;Peugeot"/>
    <x v="0"/>
    <s v="10% Discount - Ends 6/1"/>
    <s v="Chicago"/>
    <x v="2"/>
    <x v="210"/>
    <x v="2"/>
    <x v="0"/>
    <n v="17317"/>
    <n v="1"/>
    <n v="8055"/>
    <n v="12724"/>
    <n v="1"/>
    <x v="575"/>
    <n v="5.7746722873476932E-3"/>
    <n v="5668.8570790000003"/>
    <n v="5668.8570790000003"/>
    <n v="100"/>
    <n v="445.52476257466208"/>
    <x v="575"/>
    <n v="5"/>
  </r>
  <r>
    <s v="Online Behavior&gt;United States&gt;Autos and Vehicles&gt;Brands&gt;Pontiac"/>
    <x v="0"/>
    <s v="Subscribe Today - 10% Discount"/>
    <s v="San Francisco"/>
    <x v="4"/>
    <x v="55"/>
    <x v="1"/>
    <x v="0"/>
    <n v="7769"/>
    <n v="1"/>
    <n v="3152"/>
    <n v="6464"/>
    <n v="1"/>
    <x v="576"/>
    <n v="1.2871669455528383E-2"/>
    <n v="5603.0481319999999"/>
    <n v="5603.0481319999999"/>
    <n v="100"/>
    <n v="866.80818873762382"/>
    <x v="576"/>
    <n v="5"/>
  </r>
  <r>
    <s v="Online Behavior&gt;United States&gt;Intent&gt;Shopping&gt;Consumer Electronics&gt;Tablets"/>
    <x v="0"/>
    <s v="Subscribe Today - 10% Discount"/>
    <s v="Nashville"/>
    <x v="5"/>
    <x v="211"/>
    <x v="2"/>
    <x v="0"/>
    <n v="9533"/>
    <n v="1"/>
    <n v="6548"/>
    <n v="9042"/>
    <n v="16"/>
    <x v="577"/>
    <n v="1.0489877268435959E-2"/>
    <n v="5574.5435049999996"/>
    <n v="348.40896906249998"/>
    <n v="1600"/>
    <n v="616.51664510064143"/>
    <x v="577"/>
    <n v="6"/>
  </r>
  <r>
    <s v="Online Behavior&gt;United States&gt;Arts and Entertainment&gt;Events and Listings&gt;Expos and Conventions"/>
    <x v="1"/>
    <s v="Subscribe Today - 10% Discount"/>
    <s v="Los Angeles"/>
    <x v="4"/>
    <x v="115"/>
    <x v="2"/>
    <x v="2"/>
    <n v="20833"/>
    <n v="1"/>
    <n v="1777"/>
    <n v="17211"/>
    <n v="2"/>
    <x v="578"/>
    <n v="4.8000768012288197E-3"/>
    <n v="5542.5121810000001"/>
    <n v="2771.2560905"/>
    <n v="200"/>
    <n v="322.0331288710708"/>
    <x v="578"/>
    <n v="5"/>
  </r>
  <r>
    <s v="Online Behavior&gt;United States&gt;Sports&gt;Individual Sports&gt;Gymnastics"/>
    <x v="0"/>
    <s v="Sign up Now - 10% Off"/>
    <s v="Tampa-St Petersburg (Sarasota)"/>
    <x v="1"/>
    <x v="163"/>
    <x v="5"/>
    <x v="0"/>
    <n v="7061"/>
    <n v="1"/>
    <n v="3728"/>
    <n v="5923"/>
    <n v="3"/>
    <x v="579"/>
    <n v="1.41622999575131E-2"/>
    <n v="5539.7114929999998"/>
    <n v="1846.5704976666666"/>
    <n v="300"/>
    <n v="935.28811294951879"/>
    <x v="579"/>
    <n v="5"/>
  </r>
  <r>
    <s v="Online Behavior&gt;United States&gt;Autos and Vehicles&gt;Brands&gt;GMC"/>
    <x v="2"/>
    <s v="Subscribe Today - 10% Discount"/>
    <s v="Chicago"/>
    <x v="2"/>
    <x v="212"/>
    <x v="2"/>
    <x v="0"/>
    <n v="1870"/>
    <n v="1"/>
    <n v="514"/>
    <n v="1717"/>
    <n v="13"/>
    <x v="580"/>
    <n v="5.3475935828877004E-2"/>
    <n v="5524.7963579999996"/>
    <n v="424.9843352307692"/>
    <n v="1300"/>
    <n v="3217.7031788002328"/>
    <x v="580"/>
    <n v="5"/>
  </r>
  <r>
    <s v="Online Behavior&gt;United States&gt;Autos and Vehicles&gt;Brands&gt;Saab"/>
    <x v="0"/>
    <s v="10% Discount - Ends 6/1"/>
    <s v="Jackson"/>
    <x v="13"/>
    <x v="174"/>
    <x v="2"/>
    <x v="0"/>
    <n v="109709"/>
    <n v="1"/>
    <n v="3064"/>
    <n v="15428"/>
    <n v="20"/>
    <x v="581"/>
    <n v="9.1150224685303846E-4"/>
    <n v="5409.0839550000001"/>
    <n v="270.45419774999999"/>
    <n v="2000"/>
    <n v="350.60176011148565"/>
    <x v="581"/>
    <n v="5"/>
  </r>
  <r>
    <s v="Online Behavior&gt;United States&gt;Intent&gt;Shopping&gt;Drug Stores&gt;CVS"/>
    <x v="1"/>
    <s v="Sign up Now - 10% Off"/>
    <s v="San Francisco"/>
    <x v="4"/>
    <x v="27"/>
    <x v="1"/>
    <x v="0"/>
    <n v="11697"/>
    <n v="1"/>
    <n v="6761"/>
    <n v="10783"/>
    <n v="1"/>
    <x v="582"/>
    <n v="8.5492006497392501E-3"/>
    <n v="5218.0702309999997"/>
    <n v="5218.0702309999997"/>
    <n v="100"/>
    <n v="483.91637123249558"/>
    <x v="582"/>
    <n v="6"/>
  </r>
  <r>
    <s v="Online Behavior&gt;United States&gt;Intent&gt;Shopping&gt;Consumer Electronics&gt;Cameras and Photography Equip"/>
    <x v="1"/>
    <s v="Sign up Today - 10% Off"/>
    <s v="Chicago"/>
    <x v="2"/>
    <x v="213"/>
    <x v="1"/>
    <x v="0"/>
    <n v="11681"/>
    <n v="1"/>
    <n v="4713"/>
    <n v="8230"/>
    <n v="1"/>
    <x v="583"/>
    <n v="8.5609108809177291E-3"/>
    <n v="5216.6488790000003"/>
    <n v="5216.6488790000003"/>
    <n v="100"/>
    <n v="633.85770097205352"/>
    <x v="583"/>
    <n v="6"/>
  </r>
  <r>
    <s v="Online Behavior&gt;United States&gt;Law and Government&gt;Government"/>
    <x v="1"/>
    <s v="Sign up Today - 10% Off"/>
    <s v="Chicago"/>
    <x v="2"/>
    <x v="138"/>
    <x v="3"/>
    <x v="1"/>
    <n v="18537"/>
    <n v="1"/>
    <n v="6473"/>
    <n v="17081"/>
    <n v="1"/>
    <x v="584"/>
    <n v="5.394616173059287E-3"/>
    <n v="5206.2389679999997"/>
    <n v="5206.2389679999997"/>
    <n v="100"/>
    <n v="304.79708260640473"/>
    <x v="584"/>
    <n v="4"/>
  </r>
  <r>
    <s v="Online Behavior&gt;United States&gt;Validated Demographic&gt;Gender and Age Combined&gt;Males 18-54"/>
    <x v="1"/>
    <s v="Sign up Now - 10% Off"/>
    <s v="Nashville"/>
    <x v="5"/>
    <x v="17"/>
    <x v="2"/>
    <x v="0"/>
    <n v="14730"/>
    <n v="1"/>
    <n v="1272"/>
    <n v="12427"/>
    <n v="1"/>
    <x v="585"/>
    <n v="6.788866259334691E-3"/>
    <n v="5190.5359980000003"/>
    <n v="5190.5359980000003"/>
    <n v="100"/>
    <n v="417.68214355838097"/>
    <x v="585"/>
    <n v="5"/>
  </r>
  <r>
    <s v="Online Behavior&gt;United States&gt;Validated Demographic&gt;Age&gt;18-44"/>
    <x v="1"/>
    <s v="Subscribe Today - 10% Discount"/>
    <s v="New York City"/>
    <x v="0"/>
    <x v="55"/>
    <x v="4"/>
    <x v="0"/>
    <n v="7187"/>
    <n v="1"/>
    <n v="2710"/>
    <n v="5928"/>
    <n v="1"/>
    <x v="586"/>
    <n v="1.3914011409489356E-2"/>
    <n v="5154.8713950000001"/>
    <n v="5154.8713950000001"/>
    <n v="100"/>
    <n v="869.58019483805674"/>
    <x v="586"/>
    <n v="5"/>
  </r>
  <r>
    <s v="Online Behavior&gt;United States&gt;Sports&gt;Sports League&gt;NHL"/>
    <x v="1"/>
    <s v="Sign up Now - 10% Off"/>
    <s v="Chicago"/>
    <x v="2"/>
    <x v="11"/>
    <x v="8"/>
    <x v="0"/>
    <n v="56945"/>
    <n v="1"/>
    <n v="20750"/>
    <n v="50714"/>
    <n v="6"/>
    <x v="587"/>
    <n v="1.7560804284836246E-3"/>
    <n v="5144.4743710000002"/>
    <n v="857.41239516666667"/>
    <n v="600"/>
    <n v="101.44091120795048"/>
    <x v="587"/>
    <n v="5"/>
  </r>
  <r>
    <s v="Online Behavior&gt;United States&gt;Arts and Entertainment&gt;Visual Art and Design"/>
    <x v="1"/>
    <s v="10% Discount - Ends 6/1"/>
    <s v="Ft. Myers-Naples"/>
    <x v="1"/>
    <x v="214"/>
    <x v="2"/>
    <x v="0"/>
    <n v="1136"/>
    <n v="1"/>
    <n v="798"/>
    <n v="1059"/>
    <n v="3"/>
    <x v="588"/>
    <n v="8.8028169014084515E-2"/>
    <n v="5121.882603"/>
    <n v="1707.2942009999999"/>
    <n v="300"/>
    <n v="4836.5274815864022"/>
    <x v="588"/>
    <n v="4"/>
  </r>
  <r>
    <s v="Online Behavior&gt;United States&gt;Arts and Entertainment&gt;Events and Listings&gt;Live Sporting Events"/>
    <x v="0"/>
    <s v="Subscribe Today - 10% Discount"/>
    <s v="Chicago"/>
    <x v="2"/>
    <x v="163"/>
    <x v="2"/>
    <x v="0"/>
    <n v="21028"/>
    <n v="1"/>
    <n v="5781"/>
    <n v="16134"/>
    <n v="11"/>
    <x v="589"/>
    <n v="4.7555640098915731E-3"/>
    <n v="5101.3216549999997"/>
    <n v="463.75651409090909"/>
    <n v="1100"/>
    <n v="316.184557766208"/>
    <x v="589"/>
    <n v="5"/>
  </r>
  <r>
    <s v="Online Behavior&gt;United States&gt;Food and Drink&gt;Beverages&gt;Bottled Water"/>
    <x v="0"/>
    <s v="Sign up Now - 10% Off"/>
    <s v="New York City"/>
    <x v="0"/>
    <x v="28"/>
    <x v="2"/>
    <x v="0"/>
    <n v="12879"/>
    <n v="1"/>
    <n v="7225"/>
    <n v="12173"/>
    <n v="7"/>
    <x v="590"/>
    <n v="7.7645779951859614E-3"/>
    <n v="5099.2824899999996"/>
    <n v="728.46892714285707"/>
    <n v="700"/>
    <n v="418.90105068594426"/>
    <x v="590"/>
    <n v="5"/>
  </r>
  <r>
    <s v="Online Behavior&gt;United States&gt;Hobbies and Leisure&gt;Special Occasions&gt;Weddings"/>
    <x v="1"/>
    <s v="10% Discount - Ends 6/1"/>
    <s v="Tri-Cities"/>
    <x v="12"/>
    <x v="215"/>
    <x v="2"/>
    <x v="0"/>
    <n v="4789"/>
    <n v="1"/>
    <n v="2399"/>
    <n v="4538"/>
    <n v="5"/>
    <x v="591"/>
    <n v="2.0881186051367719E-2"/>
    <n v="4945.021565"/>
    <n v="989.00431300000002"/>
    <n v="500"/>
    <n v="1089.6918389158218"/>
    <x v="591"/>
    <n v="5"/>
  </r>
  <r>
    <s v="Online Behavior&gt;United States&gt;Intent&gt;Services&gt;Restaurants"/>
    <x v="1"/>
    <s v="Sign up Now - 10% Off"/>
    <s v="San Francisco"/>
    <x v="4"/>
    <x v="12"/>
    <x v="2"/>
    <x v="2"/>
    <n v="29856"/>
    <n v="1"/>
    <n v="7664"/>
    <n v="21698"/>
    <n v="1"/>
    <x v="592"/>
    <n v="3.3494105037513398E-3"/>
    <n v="4851.3944460000002"/>
    <n v="4851.3944460000002"/>
    <n v="100"/>
    <n v="223.58717144437276"/>
    <x v="592"/>
    <n v="5"/>
  </r>
  <r>
    <s v="Online Behavior&gt;United States&gt;Intent&gt;Auto Buyers&gt;Type&gt;Crossover"/>
    <x v="0"/>
    <s v="Sign up Now - 10% Off"/>
    <s v="Chicago"/>
    <x v="2"/>
    <x v="14"/>
    <x v="2"/>
    <x v="0"/>
    <n v="25539"/>
    <n v="1"/>
    <n v="12130"/>
    <n v="24129"/>
    <n v="15"/>
    <x v="593"/>
    <n v="3.9155800931908059E-3"/>
    <n v="4804.4932330000001"/>
    <n v="320.29954886666667"/>
    <n v="1500"/>
    <n v="199.11696435824115"/>
    <x v="593"/>
    <n v="6"/>
  </r>
  <r>
    <s v="Online Behavior&gt;United States&gt;Validated Demographic&gt;Gender and Age Combined&gt;Females 25-34"/>
    <x v="1"/>
    <s v="10% Discount - Ends 6/1"/>
    <s v="Los Angeles"/>
    <x v="4"/>
    <x v="106"/>
    <x v="8"/>
    <x v="0"/>
    <n v="8273"/>
    <n v="1"/>
    <n v="1929"/>
    <n v="7441"/>
    <n v="1"/>
    <x v="594"/>
    <n v="1.2087513598452799E-2"/>
    <n v="4689.5210239999997"/>
    <n v="4689.5210239999997"/>
    <n v="100"/>
    <n v="630.227257626663"/>
    <x v="594"/>
    <n v="5"/>
  </r>
  <r>
    <s v="US&gt;Reach&gt;Sociodemographic&gt;Dwelling Size&gt;1 Unit"/>
    <x v="2"/>
    <s v="10% Discount - Ends 6/1"/>
    <s v="San Francisco"/>
    <x v="4"/>
    <x v="22"/>
    <x v="1"/>
    <x v="0"/>
    <n v="13686"/>
    <n v="1"/>
    <n v="7928"/>
    <n v="11931"/>
    <n v="16"/>
    <x v="595"/>
    <n v="7.3067368113400553E-3"/>
    <n v="4660.5603689999998"/>
    <n v="291.28502306249999"/>
    <n v="1600"/>
    <n v="390.62613100326877"/>
    <x v="595"/>
    <n v="5"/>
  </r>
  <r>
    <s v="Online Behavior&gt;United States&gt;Intent&gt;Shopping&gt;CPG&gt;Health and Beauty"/>
    <x v="0"/>
    <s v="Sign up Today - 10% Off"/>
    <s v="San Francisco"/>
    <x v="4"/>
    <x v="129"/>
    <x v="5"/>
    <x v="0"/>
    <n v="7136"/>
    <n v="1"/>
    <n v="3411"/>
    <n v="6798"/>
    <n v="1"/>
    <x v="596"/>
    <n v="1.4013452914798207E-2"/>
    <n v="4659.4047970000001"/>
    <n v="4659.4047970000001"/>
    <n v="100"/>
    <n v="685.40817843483387"/>
    <x v="596"/>
    <n v="6"/>
  </r>
  <r>
    <s v="Online Behavior&gt;United States&gt;News&gt;Sports News"/>
    <x v="0"/>
    <s v="Subscribe Today - 10% Discount"/>
    <s v="Chicago"/>
    <x v="2"/>
    <x v="18"/>
    <x v="2"/>
    <x v="0"/>
    <n v="26715"/>
    <n v="1"/>
    <n v="12287"/>
    <n v="25003"/>
    <n v="1"/>
    <x v="597"/>
    <n v="3.7432154220475391E-3"/>
    <n v="4623.0896720000001"/>
    <n v="4623.0896720000001"/>
    <n v="100"/>
    <n v="184.90139871215456"/>
    <x v="597"/>
    <n v="4"/>
  </r>
  <r>
    <s v="Online Behavior&gt;United States&gt;Games&gt;Board Games"/>
    <x v="1"/>
    <s v="Sign up Now - 10% Off"/>
    <s v="New York City"/>
    <x v="0"/>
    <x v="216"/>
    <x v="2"/>
    <x v="0"/>
    <n v="4509"/>
    <n v="1"/>
    <n v="2702"/>
    <n v="4299"/>
    <n v="5"/>
    <x v="598"/>
    <n v="2.2177866489243733E-2"/>
    <n v="4585.35725"/>
    <n v="917.07145000000003"/>
    <n v="500"/>
    <n v="1066.6102000465226"/>
    <x v="598"/>
    <n v="4"/>
  </r>
  <r>
    <s v="US&gt;Reach&gt;Propensity Models&gt;Hobbies and Interest&gt;Food and Drinks&gt;Gourmet Cooking"/>
    <x v="2"/>
    <s v="10% Discount - Ends 6/1"/>
    <s v="Ft. Myers-Naples"/>
    <x v="1"/>
    <x v="217"/>
    <x v="13"/>
    <x v="0"/>
    <n v="4300"/>
    <n v="1"/>
    <n v="2909"/>
    <n v="4208"/>
    <n v="24"/>
    <x v="599"/>
    <n v="2.3255813953488372E-2"/>
    <n v="4311.8545999999997"/>
    <n v="179.66060833333333"/>
    <n v="2400"/>
    <n v="1024.6802756653992"/>
    <x v="599"/>
    <n v="6"/>
  </r>
  <r>
    <s v="Online Behavior&gt;United States&gt;B2B&gt;Occupation&gt;TravelAgent"/>
    <x v="1"/>
    <s v="Sign up Now - 10% Off"/>
    <s v="New York City"/>
    <x v="0"/>
    <x v="218"/>
    <x v="1"/>
    <x v="0"/>
    <n v="1864"/>
    <n v="1"/>
    <n v="513"/>
    <n v="1471"/>
    <n v="9"/>
    <x v="600"/>
    <n v="5.3648068669527899E-2"/>
    <n v="4058.0762949999998"/>
    <n v="450.89736611111107"/>
    <n v="900"/>
    <n v="2758.7194391570356"/>
    <x v="600"/>
    <n v="5"/>
  </r>
  <r>
    <s v="US&gt;Reach&gt;Propensity Models&gt;Hobbies and Interest&gt;Music&gt;Download"/>
    <x v="0"/>
    <s v="10% Discount - Ends 6/1"/>
    <s v="New York City"/>
    <x v="0"/>
    <x v="207"/>
    <x v="2"/>
    <x v="0"/>
    <n v="4521"/>
    <n v="1"/>
    <n v="3385"/>
    <n v="4145"/>
    <n v="9"/>
    <x v="601"/>
    <n v="2.2119000221190004E-2"/>
    <n v="3842.3029040000001"/>
    <n v="426.92254488888892"/>
    <n v="900"/>
    <n v="926.97295633293129"/>
    <x v="601"/>
    <n v="6"/>
  </r>
  <r>
    <s v="US&gt;Reach&gt;Propensity Models&gt;Hobbies and Interest&gt;Music&gt;Listens to Pop Music"/>
    <x v="0"/>
    <s v="Sign up Today - 10% Off"/>
    <s v="San Francisco"/>
    <x v="4"/>
    <x v="33"/>
    <x v="2"/>
    <x v="0"/>
    <n v="18771"/>
    <n v="1"/>
    <n v="10871"/>
    <n v="17138"/>
    <n v="3"/>
    <x v="602"/>
    <n v="5.3273666826487666E-3"/>
    <n v="3827.3663809999998"/>
    <n v="1275.7887936666666"/>
    <n v="300"/>
    <n v="223.32631468082621"/>
    <x v="602"/>
    <n v="6"/>
  </r>
  <r>
    <s v="Online Behavior&gt;United States&gt;B2B&gt;Occupation&gt;Architect"/>
    <x v="1"/>
    <s v="Subscribe Today - 10% Discount"/>
    <s v="Miami-Ft. Lauderdale"/>
    <x v="1"/>
    <x v="143"/>
    <x v="2"/>
    <x v="0"/>
    <n v="11420"/>
    <n v="1"/>
    <n v="4647"/>
    <n v="9909"/>
    <n v="1"/>
    <x v="603"/>
    <n v="8.7565674255691769E-3"/>
    <n v="3804.64417"/>
    <n v="3804.64417"/>
    <n v="100"/>
    <n v="383.95843879301646"/>
    <x v="603"/>
    <n v="5"/>
  </r>
  <r>
    <s v="Online Behavior&gt;United States&gt;Validated Demographic&gt;Gender and Age Combined&gt;Males 45-54"/>
    <x v="2"/>
    <s v="10% Discount - Ends 6/1"/>
    <s v="San Francisco"/>
    <x v="4"/>
    <x v="219"/>
    <x v="5"/>
    <x v="0"/>
    <n v="565"/>
    <n v="1"/>
    <n v="259"/>
    <n v="474"/>
    <n v="2"/>
    <x v="604"/>
    <n v="0.17699115044247787"/>
    <n v="3779.0209300000001"/>
    <n v="1889.5104650000001"/>
    <n v="200"/>
    <n v="7972.6179957805907"/>
    <x v="604"/>
    <n v="5"/>
  </r>
  <r>
    <s v="Online Behavior&gt;United States&gt;B2B&gt;Occupation&gt;Teacher"/>
    <x v="1"/>
    <s v="Sign up Today - 10% Off"/>
    <s v="Chicago"/>
    <x v="2"/>
    <x v="52"/>
    <x v="3"/>
    <x v="0"/>
    <n v="49014"/>
    <n v="1"/>
    <n v="30349"/>
    <n v="46446"/>
    <n v="4"/>
    <x v="605"/>
    <n v="2.0402334027012688E-3"/>
    <n v="3628.3461699999998"/>
    <n v="907.08654249999995"/>
    <n v="400"/>
    <n v="78.119669508676736"/>
    <x v="605"/>
    <n v="5"/>
  </r>
  <r>
    <s v="US&gt;Reach&gt;Propensity Models&gt;Lifestyle&gt;Loyalty Programs&gt;Loyalty Card User"/>
    <x v="1"/>
    <s v="Sign up Today - 10% Off"/>
    <s v="New York City"/>
    <x v="0"/>
    <x v="110"/>
    <x v="5"/>
    <x v="0"/>
    <n v="13100"/>
    <n v="1"/>
    <n v="6507"/>
    <n v="10895"/>
    <n v="1"/>
    <x v="606"/>
    <n v="7.6335877862595426E-3"/>
    <n v="3411.590029"/>
    <n v="3411.590029"/>
    <n v="100"/>
    <n v="313.13355016062417"/>
    <x v="606"/>
    <n v="6"/>
  </r>
  <r>
    <s v="Online Behavior&gt;United States&gt;Finance&gt;Financial Planning and Management&gt;Asset and Portfolio Management"/>
    <x v="1"/>
    <s v="Subscribe Today - 10% Discount"/>
    <s v="Chicago"/>
    <x v="2"/>
    <x v="220"/>
    <x v="2"/>
    <x v="0"/>
    <n v="9328"/>
    <n v="1"/>
    <n v="7102"/>
    <n v="8925"/>
    <n v="1"/>
    <x v="607"/>
    <n v="1.072041166380789E-2"/>
    <n v="3408.0760489999998"/>
    <n v="3408.0760489999998"/>
    <n v="100"/>
    <n v="381.85726039215683"/>
    <x v="607"/>
    <n v="5"/>
  </r>
  <r>
    <s v="Online Behavior&gt;United States&gt;B2B&gt;Occupation&gt;PropertyManager"/>
    <x v="1"/>
    <s v="10% Discount - Ends 6/1"/>
    <s v="Chicago"/>
    <x v="2"/>
    <x v="101"/>
    <x v="2"/>
    <x v="2"/>
    <n v="7447"/>
    <n v="1"/>
    <n v="4163"/>
    <n v="5586"/>
    <n v="19"/>
    <x v="608"/>
    <n v="1.3428226131328051E-2"/>
    <n v="3311.9412459999999"/>
    <n v="174.31269715789472"/>
    <n v="1900"/>
    <n v="592.90033046902965"/>
    <x v="608"/>
    <n v="5"/>
  </r>
  <r>
    <s v="US&gt;Reach&gt;Propensity Models&gt;Lifestyle&gt;Loyalty Programs&gt;Frequent Flyer Program Member"/>
    <x v="2"/>
    <s v="Subscribe Today - 10% Discount"/>
    <s v="New York City"/>
    <x v="0"/>
    <x v="221"/>
    <x v="1"/>
    <x v="0"/>
    <n v="4975"/>
    <n v="1"/>
    <n v="1757"/>
    <n v="4498"/>
    <n v="11"/>
    <x v="609"/>
    <n v="2.0100502512562814E-2"/>
    <n v="3307.5648630000001"/>
    <n v="300.6877148181818"/>
    <n v="1100"/>
    <n v="735.34123232547802"/>
    <x v="609"/>
    <n v="6"/>
  </r>
  <r>
    <s v="US&gt;Reach&gt;Propensity Models&gt;Hobbies and Interest&gt;Sports&gt;Plays Soccer"/>
    <x v="1"/>
    <s v="Sign up Now - 10% Off"/>
    <s v="Savannah"/>
    <x v="8"/>
    <x v="222"/>
    <x v="2"/>
    <x v="0"/>
    <n v="8730"/>
    <n v="1"/>
    <n v="3725"/>
    <n v="7413"/>
    <n v="1"/>
    <x v="610"/>
    <n v="1.1454753722794959E-2"/>
    <n v="3268.007134"/>
    <n v="3268.007134"/>
    <n v="100"/>
    <n v="440.84812275731821"/>
    <x v="610"/>
    <n v="6"/>
  </r>
  <r>
    <s v="US&gt;Reach&gt;Propensity Models&gt;Household Consumer Expenditures&gt;Kitchen"/>
    <x v="0"/>
    <s v="Sign up Now - 10% Off"/>
    <s v="San Francisco"/>
    <x v="4"/>
    <x v="223"/>
    <x v="2"/>
    <x v="0"/>
    <n v="10093"/>
    <n v="1"/>
    <n v="3901"/>
    <n v="9645"/>
    <n v="1"/>
    <x v="611"/>
    <n v="9.9078569305459229E-3"/>
    <n v="3105.2830039999999"/>
    <n v="3105.2830039999999"/>
    <n v="100"/>
    <n v="321.95780238465528"/>
    <x v="611"/>
    <n v="5"/>
  </r>
  <r>
    <s v="US&gt;Reach&gt;Propensity Models&gt;Hobbies and Interest&gt;Food and Drinks&gt;Eats at Fast Food Restaurants"/>
    <x v="1"/>
    <s v="Subscribe Today - 10% Discount"/>
    <s v="New York City"/>
    <x v="0"/>
    <x v="224"/>
    <x v="1"/>
    <x v="0"/>
    <n v="18458"/>
    <n v="1"/>
    <n v="3623"/>
    <n v="16934"/>
    <n v="3"/>
    <x v="612"/>
    <n v="5.4177050601365261E-3"/>
    <n v="2866.4966709999999"/>
    <n v="955.49889033333329"/>
    <n v="300"/>
    <n v="169.27463511279083"/>
    <x v="612"/>
    <n v="6"/>
  </r>
  <r>
    <s v="US&gt;Reach&gt;Propensity Models&gt;Household Consumer Expenditures&gt;Furniture"/>
    <x v="0"/>
    <s v="Subscribe Today - 10% Discount"/>
    <s v="Louisville"/>
    <x v="18"/>
    <x v="83"/>
    <x v="5"/>
    <x v="0"/>
    <n v="68114"/>
    <n v="1"/>
    <n v="569"/>
    <n v="2059"/>
    <n v="15"/>
    <x v="613"/>
    <n v="1.4681269636198139E-3"/>
    <n v="2753.7119859999998"/>
    <n v="183.58079906666666"/>
    <n v="1500"/>
    <n v="1337.4026158329284"/>
    <x v="613"/>
    <n v="5"/>
  </r>
  <r>
    <s v="US&gt;AUTO&gt;Primary Vehicle&gt;Owned or Leased&gt;Privately owned"/>
    <x v="1"/>
    <s v="10% Discount - Ends 6/1"/>
    <s v="Lansing"/>
    <x v="6"/>
    <x v="201"/>
    <x v="7"/>
    <x v="1"/>
    <n v="3489"/>
    <n v="1"/>
    <n v="1426"/>
    <n v="2214"/>
    <n v="1"/>
    <x v="614"/>
    <n v="2.8661507595299514E-2"/>
    <n v="2668.6065560000002"/>
    <n v="2668.6065560000002"/>
    <n v="100"/>
    <n v="1205.3326811201446"/>
    <x v="614"/>
    <n v="5"/>
  </r>
  <r>
    <s v="US&gt;Reach&gt;Propensity Models&gt;Hobbies and Interest&gt;Sports&gt;Canoeing&gt;Kayaking"/>
    <x v="1"/>
    <s v="Subscribe Today - 10% Discount"/>
    <s v="San Francisco"/>
    <x v="4"/>
    <x v="225"/>
    <x v="1"/>
    <x v="0"/>
    <n v="10653"/>
    <n v="1"/>
    <n v="5263"/>
    <n v="9921"/>
    <n v="11"/>
    <x v="615"/>
    <n v="9.387027128508401E-3"/>
    <n v="2641.4783969999999"/>
    <n v="240.13439972727272"/>
    <n v="1100"/>
    <n v="266.25122437254305"/>
    <x v="615"/>
    <n v="7"/>
  </r>
  <r>
    <s v="US&gt;Response Performance&gt;Direct Marketing Purchasers"/>
    <x v="1"/>
    <s v="Subscribe Today - 10% Discount"/>
    <s v="Champaign &amp; Springfield-Decatur"/>
    <x v="9"/>
    <x v="226"/>
    <x v="2"/>
    <x v="0"/>
    <n v="13183"/>
    <n v="1"/>
    <n v="4337"/>
    <n v="10596"/>
    <n v="1"/>
    <x v="616"/>
    <n v="7.5855268148372901E-3"/>
    <n v="2430.2436640000001"/>
    <n v="2430.2436640000001"/>
    <n v="100"/>
    <n v="229.35481917704794"/>
    <x v="616"/>
    <n v="3"/>
  </r>
  <r>
    <s v="US&gt;Reach&gt;Propensity Models&gt;Hobbies and Interest&gt;Cultural Arts"/>
    <x v="1"/>
    <s v="Subscribe Today - 10% Discount"/>
    <s v="Peoria-Bloomington"/>
    <x v="2"/>
    <x v="30"/>
    <x v="2"/>
    <x v="0"/>
    <n v="17620"/>
    <n v="1"/>
    <n v="11197"/>
    <n v="16687"/>
    <n v="3"/>
    <x v="617"/>
    <n v="5.6753688989784334E-3"/>
    <n v="2407.7943249999998"/>
    <n v="802.59810833333324"/>
    <n v="300"/>
    <n v="144.29162371906273"/>
    <x v="617"/>
    <n v="5"/>
  </r>
  <r>
    <s v="Media and Entertainment&gt;Audio and Video Streaming&gt;Streaming Video&gt;Interest (Affinity)"/>
    <x v="0"/>
    <s v="Sign up Today - 10% Off"/>
    <s v="Chicago"/>
    <x v="2"/>
    <x v="84"/>
    <x v="2"/>
    <x v="0"/>
    <n v="16239"/>
    <n v="1"/>
    <n v="9375"/>
    <n v="15562"/>
    <n v="1"/>
    <x v="618"/>
    <n v="6.1580146560748809E-3"/>
    <n v="2387.686295"/>
    <n v="2387.686295"/>
    <n v="100"/>
    <n v="153.43055487726511"/>
    <x v="618"/>
    <n v="4"/>
  </r>
  <r>
    <s v="US&gt;Reach&gt;Propensity Models&gt;Travel&gt;High Frequency Travel&gt;Business Traveler"/>
    <x v="1"/>
    <s v="Subscribe Today - 10% Discount"/>
    <s v="San Francisco"/>
    <x v="4"/>
    <x v="227"/>
    <x v="2"/>
    <x v="2"/>
    <n v="5322"/>
    <n v="1"/>
    <n v="2688"/>
    <n v="4263"/>
    <n v="2"/>
    <x v="619"/>
    <n v="1.8789928598271326E-2"/>
    <n v="2363.066554"/>
    <n v="1181.533277"/>
    <n v="200"/>
    <n v="554.32009242317611"/>
    <x v="619"/>
    <n v="6"/>
  </r>
  <r>
    <s v="US&gt;Sociodemographic&gt;ConneXions Lifestage&gt;Y2 Emerging Techies"/>
    <x v="1"/>
    <s v="Sign up Today - 10% Off"/>
    <s v="Memphis"/>
    <x v="5"/>
    <x v="228"/>
    <x v="2"/>
    <x v="0"/>
    <n v="10485"/>
    <n v="1"/>
    <n v="4255"/>
    <n v="7669"/>
    <n v="1"/>
    <x v="620"/>
    <n v="9.5374344301382922E-3"/>
    <n v="2239.262819"/>
    <n v="2239.262819"/>
    <n v="100"/>
    <n v="291.98889281523014"/>
    <x v="620"/>
    <n v="4"/>
  </r>
  <r>
    <s v="OnAudience"/>
    <x v="1"/>
    <s v="Sign up Today - 10% Off"/>
    <s v="San Francisco"/>
    <x v="4"/>
    <x v="229"/>
    <x v="2"/>
    <x v="0"/>
    <n v="7472"/>
    <n v="1"/>
    <n v="1191"/>
    <n v="5883"/>
    <n v="1"/>
    <x v="621"/>
    <n v="1.3383297644539615E-2"/>
    <n v="2183.952037"/>
    <n v="2183.952037"/>
    <n v="100"/>
    <n v="371.23101087880332"/>
    <x v="621"/>
    <n v="1"/>
  </r>
  <r>
    <s v="US&gt;B2B&gt;B2B Decision Maker Responsibilities&gt;Security Services"/>
    <x v="0"/>
    <s v="Subscribe Today - 10% Discount"/>
    <s v="Nashville"/>
    <x v="5"/>
    <x v="138"/>
    <x v="5"/>
    <x v="0"/>
    <n v="12488"/>
    <n v="1"/>
    <n v="4021"/>
    <n v="11403"/>
    <n v="1"/>
    <x v="622"/>
    <n v="8.0076873798846891E-3"/>
    <n v="2176.6574690000002"/>
    <n v="2176.6574690000002"/>
    <n v="100"/>
    <n v="190.88463290362188"/>
    <x v="622"/>
    <n v="4"/>
  </r>
  <r>
    <s v="US&gt;Reach&gt;Propensity Models&gt;Finance&gt;Credit&gt;Debit Card&gt;Store Credit Card User"/>
    <x v="0"/>
    <s v="Subscribe Today - 10% Discount"/>
    <s v="Chicago"/>
    <x v="2"/>
    <x v="50"/>
    <x v="4"/>
    <x v="0"/>
    <n v="51515"/>
    <n v="1"/>
    <n v="18304"/>
    <n v="44891"/>
    <n v="14"/>
    <x v="623"/>
    <n v="1.9411821799475879E-3"/>
    <n v="2160.3073250000002"/>
    <n v="154.3076660714286"/>
    <n v="1400"/>
    <n v="48.123395001225191"/>
    <x v="623"/>
    <n v="7"/>
  </r>
  <r>
    <s v="US&gt;Reach&gt;Propensity Models&gt;Household Consumer Expenditures&gt;Pets"/>
    <x v="0"/>
    <s v="Sign up Now - 10% Off"/>
    <s v="Los Angeles"/>
    <x v="4"/>
    <x v="54"/>
    <x v="1"/>
    <x v="0"/>
    <n v="4780"/>
    <n v="1"/>
    <n v="2156"/>
    <n v="4558"/>
    <n v="10"/>
    <x v="624"/>
    <n v="2.0920502092050208E-2"/>
    <n v="2136.0819900000001"/>
    <n v="213.60819900000001"/>
    <n v="1000"/>
    <n v="468.64457876261525"/>
    <x v="624"/>
    <n v="5"/>
  </r>
  <r>
    <s v="US&gt;Multibuyer Behaviors&gt;Paid with Credit Card"/>
    <x v="1"/>
    <s v="Subscribe Today - 10% Discount"/>
    <s v="New York City"/>
    <x v="0"/>
    <x v="230"/>
    <x v="1"/>
    <x v="2"/>
    <n v="12770"/>
    <n v="1"/>
    <n v="6224"/>
    <n v="11110"/>
    <n v="21"/>
    <x v="625"/>
    <n v="7.8308535630383716E-3"/>
    <n v="2087.5098269999999"/>
    <n v="99.405229857142857"/>
    <n v="2100"/>
    <n v="187.89467389738974"/>
    <x v="625"/>
    <n v="3"/>
  </r>
  <r>
    <s v="OnAudience&gt;Interest&gt;News &amp; Magazines"/>
    <x v="0"/>
    <s v="Sign up Now - 10% Off"/>
    <s v="Chicago"/>
    <x v="2"/>
    <x v="4"/>
    <x v="2"/>
    <x v="0"/>
    <n v="80456"/>
    <n v="1"/>
    <n v="46039"/>
    <n v="65383"/>
    <n v="3"/>
    <x v="626"/>
    <n v="1.2429153823207716E-3"/>
    <n v="2039.848792"/>
    <n v="679.94959733333337"/>
    <n v="300"/>
    <n v="31.198458192496521"/>
    <x v="626"/>
    <n v="3"/>
  </r>
  <r>
    <s v="US&gt;Brand Propensities&gt;Travel&gt;Sandals Resorts Buyer Propensity"/>
    <x v="2"/>
    <s v="Sign up Today - 10% Off"/>
    <s v="Miami-Ft. Lauderdale"/>
    <x v="1"/>
    <x v="118"/>
    <x v="2"/>
    <x v="0"/>
    <n v="53561"/>
    <n v="1"/>
    <n v="37063"/>
    <n v="51480"/>
    <n v="14"/>
    <x v="627"/>
    <n v="1.8670301151957581E-3"/>
    <n v="2039.3550600000001"/>
    <n v="145.66821857142858"/>
    <n v="1400"/>
    <n v="39.614511655011654"/>
    <x v="627"/>
    <n v="4"/>
  </r>
  <r>
    <s v="OnAudience&gt;Interest&gt;Business"/>
    <x v="1"/>
    <s v="Sign up Today - 10% Off"/>
    <s v="San Francisco"/>
    <x v="4"/>
    <x v="0"/>
    <x v="5"/>
    <x v="0"/>
    <n v="13700"/>
    <n v="1"/>
    <n v="3609"/>
    <n v="12644"/>
    <n v="1"/>
    <x v="628"/>
    <n v="7.2992700729927014E-3"/>
    <n v="2032.700147"/>
    <n v="2032.700147"/>
    <n v="100"/>
    <n v="160.76401036064536"/>
    <x v="628"/>
    <n v="3"/>
  </r>
  <r>
    <s v="Media and Entertainment&gt;Audio and Video Streaming"/>
    <x v="1"/>
    <s v="Subscribe Today - 10% Discount"/>
    <s v="Chattanooga"/>
    <x v="5"/>
    <x v="231"/>
    <x v="9"/>
    <x v="2"/>
    <n v="6198"/>
    <n v="1"/>
    <n v="1297"/>
    <n v="5737"/>
    <n v="1"/>
    <x v="629"/>
    <n v="1.6134236850596968E-2"/>
    <n v="2006.9516570000001"/>
    <n v="2006.9516570000001"/>
    <n v="100"/>
    <n v="349.8259816977515"/>
    <x v="629"/>
    <n v="2"/>
  </r>
  <r>
    <s v="US&gt;AUTO&gt;Primary Vehicle&gt;Owned or Leased&gt;Company Car"/>
    <x v="0"/>
    <s v="10% Discount - Ends 6/1"/>
    <s v="Hattiesburg-Laurel"/>
    <x v="13"/>
    <x v="232"/>
    <x v="4"/>
    <x v="0"/>
    <n v="19829"/>
    <n v="1"/>
    <n v="15071"/>
    <n v="19095"/>
    <n v="2"/>
    <x v="630"/>
    <n v="5.0431186645821776E-3"/>
    <n v="1952.4637729999999"/>
    <n v="976.23188649999997"/>
    <n v="200"/>
    <n v="102.25000120450379"/>
    <x v="630"/>
    <n v="5"/>
  </r>
  <r>
    <s v="Media and Entertainment&gt;Sports and Recreational Activities&gt;Interest (Affinity)&gt;Olympics"/>
    <x v="1"/>
    <s v="Subscribe Today - 10% Discount"/>
    <s v="Panama City"/>
    <x v="1"/>
    <x v="206"/>
    <x v="2"/>
    <x v="0"/>
    <n v="10883"/>
    <n v="1"/>
    <n v="1652"/>
    <n v="8869"/>
    <n v="16"/>
    <x v="631"/>
    <n v="9.1886428374529077E-3"/>
    <n v="1942.482395"/>
    <n v="121.4051496875"/>
    <n v="1600"/>
    <n v="219.01932517758485"/>
    <x v="631"/>
    <n v="4"/>
  </r>
  <r>
    <s v="OnAudience&gt;Interest&gt;Society"/>
    <x v="2"/>
    <s v="Subscribe Today - 10% Discount"/>
    <s v="Tampa-St Petersburg (Sarasota)"/>
    <x v="1"/>
    <x v="233"/>
    <x v="5"/>
    <x v="0"/>
    <n v="7531"/>
    <n v="1"/>
    <n v="3059"/>
    <n v="6523"/>
    <n v="1"/>
    <x v="632"/>
    <n v="1.3278449077147789E-2"/>
    <n v="1937.0583879999999"/>
    <n v="1937.0583879999999"/>
    <n v="100"/>
    <n v="296.95820757320251"/>
    <x v="632"/>
    <n v="3"/>
  </r>
  <r>
    <s v="World Localities"/>
    <x v="0"/>
    <s v="10% Discount - Ends 6/1"/>
    <s v="Louisville"/>
    <x v="18"/>
    <x v="37"/>
    <x v="2"/>
    <x v="0"/>
    <n v="1282"/>
    <n v="1"/>
    <n v="646"/>
    <n v="1132"/>
    <n v="2"/>
    <x v="633"/>
    <n v="7.8003120124804995E-2"/>
    <n v="1915.523813"/>
    <n v="957.76190650000001"/>
    <n v="200"/>
    <n v="1692.1588454063606"/>
    <x v="633"/>
    <n v="1"/>
  </r>
  <r>
    <s v="Real Estate&gt;Property Type&gt;Residential"/>
    <x v="1"/>
    <s v="10% Discount - Ends 6/1"/>
    <s v="Peoria-Bloomington"/>
    <x v="2"/>
    <x v="89"/>
    <x v="2"/>
    <x v="2"/>
    <n v="11043"/>
    <n v="1"/>
    <n v="4547"/>
    <n v="9666"/>
    <n v="13"/>
    <x v="634"/>
    <n v="9.0555102780041658E-3"/>
    <n v="1858.132171"/>
    <n v="142.93324392307693"/>
    <n v="1300"/>
    <n v="192.23382691909788"/>
    <x v="634"/>
    <n v="3"/>
  </r>
  <r>
    <s v="US&gt;Brand Propensities&gt;Apparel&gt;Lady Foot Locker Buyer Propensity"/>
    <x v="1"/>
    <s v="Subscribe Today - 10% Discount"/>
    <s v="Shreveport"/>
    <x v="14"/>
    <x v="203"/>
    <x v="5"/>
    <x v="1"/>
    <n v="57257"/>
    <n v="1"/>
    <n v="3797"/>
    <n v="51520"/>
    <n v="1"/>
    <x v="635"/>
    <n v="1.7465113435911766E-3"/>
    <n v="1841.3581260000001"/>
    <n v="1841.3581260000001"/>
    <n v="100"/>
    <n v="35.740646855590064"/>
    <x v="635"/>
    <n v="4"/>
  </r>
  <r>
    <s v="US&gt;Brand Propensities&gt;Travel&gt;American Airlines Buyer Propensity"/>
    <x v="1"/>
    <s v="Subscribe Today - 10% Discount"/>
    <s v="New York City"/>
    <x v="0"/>
    <x v="148"/>
    <x v="14"/>
    <x v="2"/>
    <n v="12176"/>
    <n v="1"/>
    <n v="5460"/>
    <n v="11154"/>
    <n v="10"/>
    <x v="636"/>
    <n v="8.2128777923784497E-3"/>
    <n v="1816.030806"/>
    <n v="181.6030806"/>
    <n v="1000"/>
    <n v="162.81430930607854"/>
    <x v="636"/>
    <n v="4"/>
  </r>
  <r>
    <s v="Travel and Tourism&gt;Interest (Affinity)&gt;Destinations&gt;North America"/>
    <x v="0"/>
    <s v="Sign up Now - 10% Off"/>
    <s v="South Bend-Elkhart"/>
    <x v="3"/>
    <x v="154"/>
    <x v="4"/>
    <x v="0"/>
    <n v="12354"/>
    <n v="1"/>
    <n v="8561"/>
    <n v="11782"/>
    <n v="1"/>
    <x v="637"/>
    <n v="8.0945442771571969E-3"/>
    <n v="1808.307918"/>
    <n v="1808.307918"/>
    <n v="100"/>
    <n v="153.48055661178068"/>
    <x v="637"/>
    <n v="4"/>
  </r>
  <r>
    <s v="US&gt;B2B&gt;B2B Decision Maker Responsibilities&gt;Sales"/>
    <x v="1"/>
    <s v="Sign up Today - 10% Off"/>
    <s v="Tampa-St Petersburg (Sarasota)"/>
    <x v="1"/>
    <x v="16"/>
    <x v="2"/>
    <x v="1"/>
    <n v="19951"/>
    <n v="1"/>
    <n v="10511"/>
    <n v="18132"/>
    <n v="15"/>
    <x v="638"/>
    <n v="5.012280086211217E-3"/>
    <n v="1801.14885"/>
    <n v="120.07659"/>
    <n v="1500"/>
    <n v="99.335365651886164"/>
    <x v="638"/>
    <n v="4"/>
  </r>
  <r>
    <s v="Travel and Tourism&gt;Interest (Affinity)&gt;Destinations&gt;North America&gt;United States"/>
    <x v="2"/>
    <s v="Subscribe Today - 10% Discount"/>
    <s v="Los Angeles"/>
    <x v="4"/>
    <x v="81"/>
    <x v="2"/>
    <x v="0"/>
    <n v="9730"/>
    <n v="1"/>
    <n v="2971"/>
    <n v="5102"/>
    <n v="1"/>
    <x v="639"/>
    <n v="1.0277492291880781E-2"/>
    <n v="1778.9379349999999"/>
    <n v="1778.9379349999999"/>
    <n v="100"/>
    <n v="348.6746246569972"/>
    <x v="639"/>
    <n v="5"/>
  </r>
  <r>
    <s v="Media and Entertainment&gt;Consumer Entertainment Technology&gt;Interest"/>
    <x v="1"/>
    <s v="Sign up Now - 10% Off"/>
    <s v="Nashville"/>
    <x v="5"/>
    <x v="234"/>
    <x v="2"/>
    <x v="0"/>
    <n v="1384"/>
    <n v="1"/>
    <n v="1050"/>
    <n v="1278"/>
    <n v="7"/>
    <x v="640"/>
    <n v="7.2254335260115599E-2"/>
    <n v="1764.38004"/>
    <n v="252.05429142857142"/>
    <n v="700"/>
    <n v="1380.5790610328638"/>
    <x v="640"/>
    <n v="3"/>
  </r>
  <r>
    <s v="OnAudience&gt;Interest&gt;Sports"/>
    <x v="1"/>
    <s v="Sign up Now - 10% Off"/>
    <s v="Chicago"/>
    <x v="2"/>
    <x v="25"/>
    <x v="2"/>
    <x v="0"/>
    <n v="11375"/>
    <n v="1"/>
    <n v="7171"/>
    <n v="8151"/>
    <n v="1"/>
    <x v="641"/>
    <n v="8.7912087912087912E-3"/>
    <n v="1763.7840610000001"/>
    <n v="1763.7840610000001"/>
    <n v="100"/>
    <n v="216.38867145135569"/>
    <x v="641"/>
    <n v="3"/>
  </r>
  <r>
    <s v="OnAudience&gt;Interest&gt;Education"/>
    <x v="0"/>
    <s v="Sign up Today - 10% Off"/>
    <s v="Miami-Ft. Lauderdale"/>
    <x v="1"/>
    <x v="191"/>
    <x v="1"/>
    <x v="0"/>
    <n v="20165"/>
    <n v="1"/>
    <n v="6601"/>
    <n v="18909"/>
    <n v="10"/>
    <x v="642"/>
    <n v="4.9590875278948676E-3"/>
    <n v="1743.0786869999999"/>
    <n v="174.3078687"/>
    <n v="1000"/>
    <n v="92.18248913215929"/>
    <x v="642"/>
    <n v="3"/>
  </r>
  <r>
    <s v="US Demographic&gt;Preferred Language&gt;Individual&gt;Non-Hispanic"/>
    <x v="1"/>
    <s v="Subscribe Today - 10% Discount"/>
    <s v="New York City"/>
    <x v="0"/>
    <x v="235"/>
    <x v="1"/>
    <x v="0"/>
    <n v="7356"/>
    <n v="1"/>
    <n v="1588"/>
    <n v="7088"/>
    <n v="1"/>
    <x v="643"/>
    <n v="1.3594344752582924E-2"/>
    <n v="1730.37357"/>
    <n v="1730.37357"/>
    <n v="100"/>
    <n v="244.1271966704289"/>
    <x v="643"/>
    <n v="4"/>
  </r>
  <r>
    <s v="US&gt;Interest Propensities&gt;Insurance&gt;Aetna Group"/>
    <x v="1"/>
    <s v="10% Discount - Ends 6/1"/>
    <s v="Nashville"/>
    <x v="5"/>
    <x v="236"/>
    <x v="2"/>
    <x v="2"/>
    <n v="12436"/>
    <n v="1"/>
    <n v="7055"/>
    <n v="11497"/>
    <n v="15"/>
    <x v="644"/>
    <n v="8.0411707944676742E-3"/>
    <n v="1720.870126"/>
    <n v="114.72467506666666"/>
    <n v="1500"/>
    <n v="149.67992745933722"/>
    <x v="644"/>
    <n v="4"/>
  </r>
  <r>
    <s v="US&gt;Interest Propensities&gt;Activities and Interests&gt;Local News"/>
    <x v="0"/>
    <s v="Sign up Today - 10% Off"/>
    <s v="Grand Rapids-Kalamazoo"/>
    <x v="6"/>
    <x v="72"/>
    <x v="4"/>
    <x v="0"/>
    <n v="16151"/>
    <n v="1"/>
    <n v="4360"/>
    <n v="11358"/>
    <n v="3"/>
    <x v="645"/>
    <n v="6.1915670856293728E-3"/>
    <n v="1706.224318"/>
    <n v="568.74143933333335"/>
    <n v="300"/>
    <n v="150.22225022010917"/>
    <x v="645"/>
    <n v="4"/>
  </r>
  <r>
    <s v="OnAudience&gt;Interest&gt;Finance"/>
    <x v="0"/>
    <s v="Subscribe Today - 10% Discount"/>
    <s v="Charleston"/>
    <x v="10"/>
    <x v="237"/>
    <x v="2"/>
    <x v="0"/>
    <n v="3145"/>
    <n v="1"/>
    <n v="1817"/>
    <n v="2962"/>
    <n v="7"/>
    <x v="646"/>
    <n v="3.1796502384737677E-2"/>
    <n v="1703.8057699999999"/>
    <n v="243.40082428571426"/>
    <n v="700"/>
    <n v="575.22139432815663"/>
    <x v="646"/>
    <n v="3"/>
  </r>
  <r>
    <s v="US&gt;Brand Propensities&gt;Food and Drug&gt;Postmates Buyer Propensity"/>
    <x v="1"/>
    <s v="Sign up Now - 10% Off"/>
    <s v="Mobile"/>
    <x v="16"/>
    <x v="90"/>
    <x v="2"/>
    <x v="0"/>
    <n v="13202"/>
    <n v="1"/>
    <n v="10871"/>
    <n v="12885"/>
    <n v="3"/>
    <x v="647"/>
    <n v="7.5746099075897598E-3"/>
    <n v="1699.0608090000001"/>
    <n v="566.35360300000002"/>
    <n v="300"/>
    <n v="131.86346984866123"/>
    <x v="647"/>
    <n v="4"/>
  </r>
  <r>
    <s v="US&gt;Interest Propensities&gt;Activities and Interests&gt;Buying and Selling Homes&gt;Real Estate"/>
    <x v="1"/>
    <s v="Subscribe Today - 10% Discount"/>
    <s v="Miami-Ft. Lauderdale"/>
    <x v="1"/>
    <x v="1"/>
    <x v="2"/>
    <x v="0"/>
    <n v="14799"/>
    <n v="1"/>
    <n v="1403"/>
    <n v="13410"/>
    <n v="9"/>
    <x v="648"/>
    <n v="6.7572133252246768E-3"/>
    <n v="1693.7604349999999"/>
    <n v="188.19560388888888"/>
    <n v="900"/>
    <n v="126.30577442207309"/>
    <x v="648"/>
    <n v="5"/>
  </r>
  <r>
    <s v="US&gt;Sociodemographic&gt;PRIZM Premier Social&gt;C2 City Centers"/>
    <x v="1"/>
    <s v="10% Discount - Ends 6/1"/>
    <s v="Lansing"/>
    <x v="6"/>
    <x v="178"/>
    <x v="2"/>
    <x v="1"/>
    <n v="34278"/>
    <n v="1"/>
    <n v="3704"/>
    <n v="30227"/>
    <n v="2"/>
    <x v="649"/>
    <n v="2.9173230643561466E-3"/>
    <n v="1689.0831860000001"/>
    <n v="844.54159300000003"/>
    <n v="200"/>
    <n v="55.879947927349725"/>
    <x v="649"/>
    <n v="4"/>
  </r>
  <r>
    <s v="US&gt;Brand Propensities&gt;Telecom and Service Providers&gt;PureTalk USA Buyer Propensity"/>
    <x v="0"/>
    <s v="10% Discount - Ends 6/1"/>
    <s v="Orlando-Daytona Beach"/>
    <x v="1"/>
    <x v="238"/>
    <x v="2"/>
    <x v="0"/>
    <n v="770"/>
    <n v="1"/>
    <n v="487"/>
    <n v="738"/>
    <n v="2"/>
    <x v="650"/>
    <n v="0.12987012987012986"/>
    <n v="1686.77001"/>
    <n v="843.38500499999998"/>
    <n v="200"/>
    <n v="2285.5962195121951"/>
    <x v="650"/>
    <n v="4"/>
  </r>
  <r>
    <s v="US&gt;Brand Propensities&gt;Personas&gt;Black Friday Buyer Propensity"/>
    <x v="0"/>
    <s v="Sign up Now - 10% Off"/>
    <s v="Chicago"/>
    <x v="2"/>
    <x v="239"/>
    <x v="2"/>
    <x v="0"/>
    <n v="3624"/>
    <n v="1"/>
    <n v="1797"/>
    <n v="3258"/>
    <n v="24"/>
    <x v="651"/>
    <n v="2.759381898454746E-2"/>
    <n v="1678.2856770000001"/>
    <n v="69.928569875000008"/>
    <n v="2400"/>
    <n v="515.12758655616938"/>
    <x v="651"/>
    <n v="4"/>
  </r>
  <r>
    <s v="Mobile - US&gt;Food&gt;Restaurant&gt;Brand&gt;Moes Southwest Grill"/>
    <x v="0"/>
    <s v="Sign up Today - 10% Off"/>
    <s v="Jacksonville"/>
    <x v="1"/>
    <x v="104"/>
    <x v="8"/>
    <x v="0"/>
    <n v="21903"/>
    <n v="1"/>
    <n v="18831"/>
    <n v="20922"/>
    <n v="4"/>
    <x v="652"/>
    <n v="4.5655846231109892E-3"/>
    <n v="1661.167909"/>
    <n v="415.29197725"/>
    <n v="400"/>
    <n v="79.39814114329414"/>
    <x v="652"/>
    <n v="5"/>
  </r>
  <r>
    <s v="Lotame&gt;Style, Fashion &amp; Clothing"/>
    <x v="0"/>
    <s v="Subscribe Today - 10% Discount"/>
    <s v="Tri-Cities"/>
    <x v="12"/>
    <x v="240"/>
    <x v="2"/>
    <x v="0"/>
    <n v="13168"/>
    <n v="1"/>
    <n v="8527"/>
    <n v="12625"/>
    <n v="4"/>
    <x v="653"/>
    <n v="7.5941676792223569E-3"/>
    <n v="1639.72335"/>
    <n v="409.9308375"/>
    <n v="400"/>
    <n v="129.87907722772277"/>
    <x v="653"/>
    <n v="2"/>
  </r>
  <r>
    <s v="US&gt;AUTO&gt;Auto Car Purchase Next Year&gt;Yes"/>
    <x v="0"/>
    <s v="Subscribe Today - 10% Discount"/>
    <s v="Grand Rapids-Kalamazoo"/>
    <x v="6"/>
    <x v="101"/>
    <x v="8"/>
    <x v="0"/>
    <n v="31359"/>
    <n v="1"/>
    <n v="18348"/>
    <n v="25950"/>
    <n v="24"/>
    <x v="654"/>
    <n v="3.1888771963391694E-3"/>
    <n v="1623.614838"/>
    <n v="67.650618249999994"/>
    <n v="2400"/>
    <n v="62.567045780346817"/>
    <x v="654"/>
    <n v="4"/>
  </r>
  <r>
    <s v="Net Asset Value&gt;$100,000 - $249,999"/>
    <x v="0"/>
    <s v="10% Discount - Ends 6/1"/>
    <s v="Jacksonville"/>
    <x v="1"/>
    <x v="241"/>
    <x v="2"/>
    <x v="0"/>
    <n v="3274"/>
    <n v="1"/>
    <n v="1633"/>
    <n v="3112"/>
    <n v="12"/>
    <x v="655"/>
    <n v="3.0543677458766037E-2"/>
    <n v="1616.9657"/>
    <n v="134.74714166666666"/>
    <n v="1200"/>
    <n v="519.59052056555265"/>
    <x v="655"/>
    <n v="2"/>
  </r>
  <r>
    <s v="US Buying Channel Preference&gt;Online"/>
    <x v="0"/>
    <s v="Sign up Now - 10% Off"/>
    <s v="Grand Rapids-Kalamazoo"/>
    <x v="6"/>
    <x v="242"/>
    <x v="1"/>
    <x v="0"/>
    <n v="10707"/>
    <n v="1"/>
    <n v="6300"/>
    <n v="10089"/>
    <n v="1"/>
    <x v="656"/>
    <n v="9.3396843186700287E-3"/>
    <n v="1603.8592639999999"/>
    <n v="1603.8592639999999"/>
    <n v="100"/>
    <n v="158.97108375458419"/>
    <x v="656"/>
    <n v="2"/>
  </r>
  <r>
    <s v="US&gt;Brand Propensities&gt;Media and Entertainment&gt;wwe.com Buyer Propensity"/>
    <x v="1"/>
    <s v="Sign up Now - 10% Off"/>
    <s v="Ft. Myers-Naples"/>
    <x v="1"/>
    <x v="243"/>
    <x v="2"/>
    <x v="1"/>
    <n v="20348"/>
    <n v="1"/>
    <n v="14945"/>
    <n v="19548"/>
    <n v="1"/>
    <x v="657"/>
    <n v="4.9144879103597411E-3"/>
    <n v="1596.552373"/>
    <n v="1596.552373"/>
    <n v="100"/>
    <n v="81.673438356865148"/>
    <x v="657"/>
    <n v="4"/>
  </r>
  <r>
    <s v="US&gt;B2B&gt;B2B Decision Maker Responsibilities&gt;Advertising Services"/>
    <x v="0"/>
    <s v="Sign up Now - 10% Off"/>
    <s v="Grand Rapids-Kalamazoo"/>
    <x v="6"/>
    <x v="244"/>
    <x v="1"/>
    <x v="0"/>
    <n v="14917"/>
    <n v="1"/>
    <n v="3065"/>
    <n v="13109"/>
    <n v="1"/>
    <x v="658"/>
    <n v="6.7037608098143063E-3"/>
    <n v="1583.537104"/>
    <n v="1583.537104"/>
    <n v="100"/>
    <n v="120.79770417270578"/>
    <x v="658"/>
    <n v="4"/>
  </r>
  <r>
    <s v="Mobile Audience&gt;Lifestyle&gt;Arts Enthusiasts"/>
    <x v="1"/>
    <s v="10% Discount - Ends 6/1"/>
    <s v="Miami-Ft. Lauderdale"/>
    <x v="1"/>
    <x v="12"/>
    <x v="5"/>
    <x v="0"/>
    <n v="40519"/>
    <n v="1"/>
    <n v="6105"/>
    <n v="26283"/>
    <n v="10"/>
    <x v="659"/>
    <n v="2.4679779856363682E-3"/>
    <n v="1582.410977"/>
    <n v="158.24109770000001"/>
    <n v="1000"/>
    <n v="60.206634592702507"/>
    <x v="659"/>
    <n v="3"/>
  </r>
  <r>
    <s v="OnAudience&gt;Interest&gt;Science&gt;Weather"/>
    <x v="1"/>
    <s v="Sign up Today - 10% Off"/>
    <s v="Orlando-Daytona Beach"/>
    <x v="1"/>
    <x v="245"/>
    <x v="4"/>
    <x v="0"/>
    <n v="13823"/>
    <n v="1"/>
    <n v="10671"/>
    <n v="12937"/>
    <n v="1"/>
    <x v="660"/>
    <n v="7.2343196122404687E-3"/>
    <n v="1574.709734"/>
    <n v="1574.709734"/>
    <n v="100"/>
    <n v="121.72139862410141"/>
    <x v="660"/>
    <n v="4"/>
  </r>
  <r>
    <s v="Lotame&gt;Style, Fashion &amp; Clothing&gt;Children's Clothing Shoppers"/>
    <x v="0"/>
    <s v="Sign up Today - 10% Off"/>
    <s v="Knoxville"/>
    <x v="5"/>
    <x v="246"/>
    <x v="13"/>
    <x v="0"/>
    <n v="9014"/>
    <n v="1"/>
    <n v="5054"/>
    <n v="7227"/>
    <n v="1"/>
    <x v="661"/>
    <n v="1.1093854004881297E-2"/>
    <n v="1539.60069"/>
    <n v="1539.60069"/>
    <n v="100"/>
    <n v="213.03454960564551"/>
    <x v="661"/>
    <n v="3"/>
  </r>
  <r>
    <s v="US&gt;B2B&gt;B2B Decision Maker Responsibilities&gt;Real Estate Services"/>
    <x v="1"/>
    <s v="10% Discount - Ends 6/1"/>
    <s v="Jacksonville"/>
    <x v="1"/>
    <x v="115"/>
    <x v="1"/>
    <x v="0"/>
    <n v="9790"/>
    <n v="1"/>
    <n v="1295"/>
    <n v="9196"/>
    <n v="1"/>
    <x v="662"/>
    <n v="1.0214504596527068E-2"/>
    <n v="1532.1488810000001"/>
    <n v="1532.1488810000001"/>
    <n v="100"/>
    <n v="166.61036113527621"/>
    <x v="662"/>
    <n v="4"/>
  </r>
  <r>
    <s v="OnAudience&gt;Interest&gt;Technology &amp; Computing&gt;Internet Technology"/>
    <x v="1"/>
    <s v="Subscribe Today - 10% Discount"/>
    <s v="Panama City"/>
    <x v="1"/>
    <x v="106"/>
    <x v="3"/>
    <x v="0"/>
    <n v="13833"/>
    <n v="1"/>
    <n v="7693"/>
    <n v="13237"/>
    <n v="1"/>
    <x v="663"/>
    <n v="7.2290898575869296E-3"/>
    <n v="1526.7870660000001"/>
    <n v="1526.7870660000001"/>
    <n v="100"/>
    <n v="115.34237863564252"/>
    <x v="663"/>
    <n v="4"/>
  </r>
  <r>
    <s v="US&gt;Demographic&gt;Family&gt;Male Head of Household"/>
    <x v="0"/>
    <s v="Sign up Now - 10% Off"/>
    <s v="Miami-Ft. Lauderdale"/>
    <x v="1"/>
    <x v="138"/>
    <x v="1"/>
    <x v="0"/>
    <n v="12510"/>
    <n v="1"/>
    <n v="4391"/>
    <n v="9098"/>
    <n v="1"/>
    <x v="664"/>
    <n v="7.9936051159072742E-3"/>
    <n v="1524.470523"/>
    <n v="1524.470523"/>
    <n v="100"/>
    <n v="167.56105990327544"/>
    <x v="664"/>
    <n v="4"/>
  </r>
  <r>
    <s v="US&gt;Brand Propensities&gt;Travel&gt;MGM Resorts International Buyer Propensity"/>
    <x v="2"/>
    <s v="Subscribe Today - 10% Discount"/>
    <s v="New York City"/>
    <x v="0"/>
    <x v="128"/>
    <x v="1"/>
    <x v="0"/>
    <n v="32400"/>
    <n v="1"/>
    <n v="5152"/>
    <n v="30383"/>
    <n v="9"/>
    <x v="665"/>
    <n v="3.08641975308642E-3"/>
    <n v="1522.352623"/>
    <n v="169.15029144444443"/>
    <n v="900"/>
    <n v="50.105408386268643"/>
    <x v="665"/>
    <n v="4"/>
  </r>
  <r>
    <s v="Lotame&gt;Personal Finance&gt;Online Banking"/>
    <x v="0"/>
    <s v="Sign up Today - 10% Off"/>
    <s v="San Francisco"/>
    <x v="4"/>
    <x v="247"/>
    <x v="2"/>
    <x v="0"/>
    <n v="187"/>
    <n v="1"/>
    <n v="28"/>
    <n v="171"/>
    <n v="3"/>
    <x v="666"/>
    <n v="0.53475935828876997"/>
    <n v="1505.8810880000001"/>
    <n v="501.9603626666667"/>
    <n v="300"/>
    <n v="8806.3221520467832"/>
    <x v="666"/>
    <n v="3"/>
  </r>
  <r>
    <s v="US&gt;Health and Wellbeing&gt;Health and Wellbeing"/>
    <x v="0"/>
    <s v="Sign up Today - 10% Off"/>
    <s v="Chicago"/>
    <x v="2"/>
    <x v="58"/>
    <x v="4"/>
    <x v="0"/>
    <n v="9881"/>
    <n v="1"/>
    <n v="2344"/>
    <n v="7324"/>
    <n v="1"/>
    <x v="667"/>
    <n v="1.0120433154539015E-2"/>
    <n v="1505.0115499999999"/>
    <n v="1505.0115499999999"/>
    <n v="100"/>
    <n v="205.49038093937739"/>
    <x v="667"/>
    <n v="3"/>
  </r>
  <r>
    <s v="OnAudience&gt;Interest&gt;Arts &amp; Entertainment&gt;Movies"/>
    <x v="1"/>
    <s v="Subscribe Today - 10% Discount"/>
    <s v="Grand Rapids-Kalamazoo"/>
    <x v="6"/>
    <x v="50"/>
    <x v="1"/>
    <x v="0"/>
    <n v="30714"/>
    <n v="1"/>
    <n v="12531"/>
    <n v="28461"/>
    <n v="9"/>
    <x v="668"/>
    <n v="3.2558442404115387E-3"/>
    <n v="1503.4843109999999"/>
    <n v="167.05381233333333"/>
    <n v="900"/>
    <n v="52.826123853694526"/>
    <x v="668"/>
    <n v="4"/>
  </r>
  <r>
    <s v="US&gt;Brand Propensities&gt;Health&gt;Beauty and Cosmetics&gt;Mary Kay Buyer Propensity"/>
    <x v="0"/>
    <s v="Sign up Now - 10% Off"/>
    <s v="Chicago"/>
    <x v="2"/>
    <x v="11"/>
    <x v="4"/>
    <x v="0"/>
    <n v="12088"/>
    <n v="1"/>
    <n v="1124"/>
    <n v="10003"/>
    <n v="2"/>
    <x v="669"/>
    <n v="8.2726671078755792E-3"/>
    <n v="1500.0261519999999"/>
    <n v="750.01307599999996"/>
    <n v="200"/>
    <n v="149.9576279116265"/>
    <x v="669"/>
    <n v="5"/>
  </r>
  <r>
    <s v="US&gt;Sociodemographic&gt;PRIZM Premier Social&gt;T2 Country Comfort"/>
    <x v="0"/>
    <s v="Subscribe Today - 10% Discount"/>
    <s v="New York City"/>
    <x v="0"/>
    <x v="16"/>
    <x v="14"/>
    <x v="0"/>
    <n v="34959"/>
    <n v="1"/>
    <n v="17511"/>
    <n v="31974"/>
    <n v="1"/>
    <x v="670"/>
    <n v="2.860493721216282E-3"/>
    <n v="1477.4933570000001"/>
    <n v="1477.4933570000001"/>
    <n v="100"/>
    <n v="46.209212391317948"/>
    <x v="670"/>
    <n v="4"/>
  </r>
  <r>
    <s v="US&gt;Demo&gt;Age&gt;55-64"/>
    <x v="1"/>
    <s v="Sign up Today - 10% Off"/>
    <s v="Grand Rapids-Kalamazoo"/>
    <x v="6"/>
    <x v="248"/>
    <x v="4"/>
    <x v="0"/>
    <n v="14136"/>
    <n v="1"/>
    <n v="4683"/>
    <n v="13273"/>
    <n v="3"/>
    <x v="671"/>
    <n v="7.0741369552914544E-3"/>
    <n v="1476.5368410000001"/>
    <n v="492.17894700000005"/>
    <n v="300"/>
    <n v="111.24364054848189"/>
    <x v="671"/>
    <n v="4"/>
  </r>
  <r>
    <s v="OnAudience&gt;Interest&gt;Shopping&gt;Shopping Mall Buyers"/>
    <x v="1"/>
    <s v="Sign up Now - 10% Off"/>
    <s v="Memphis"/>
    <x v="5"/>
    <x v="79"/>
    <x v="15"/>
    <x v="0"/>
    <n v="7409"/>
    <n v="1"/>
    <n v="5009"/>
    <n v="7160"/>
    <n v="12"/>
    <x v="672"/>
    <n v="1.3497098123903362E-2"/>
    <n v="1472.110115"/>
    <n v="122.67584291666667"/>
    <n v="1200"/>
    <n v="205.60197136871508"/>
    <x v="672"/>
    <n v="4"/>
  </r>
  <r>
    <s v="US Financial&gt;Method of Payment&gt;Other"/>
    <x v="0"/>
    <s v="Subscribe Today - 10% Discount"/>
    <s v="San Francisco"/>
    <x v="4"/>
    <x v="101"/>
    <x v="4"/>
    <x v="0"/>
    <n v="15311"/>
    <n v="1"/>
    <n v="7757"/>
    <n v="12630"/>
    <n v="19"/>
    <x v="673"/>
    <n v="6.531252041016262E-3"/>
    <n v="1471.187144"/>
    <n v="77.430902315789467"/>
    <n v="1900"/>
    <n v="116.48354267616786"/>
    <x v="673"/>
    <n v="3"/>
  </r>
  <r>
    <s v="Media and Entertainment&gt;Sports and Recreational Activities&gt;Interest (Affinity)&gt;Team Sports&gt;Baseball"/>
    <x v="0"/>
    <s v="Sign up Now - 10% Off"/>
    <s v="Los Angeles"/>
    <x v="4"/>
    <x v="29"/>
    <x v="5"/>
    <x v="0"/>
    <n v="73544"/>
    <n v="1"/>
    <n v="40405"/>
    <n v="67406"/>
    <n v="1"/>
    <x v="674"/>
    <n v="1.3597302295224629E-3"/>
    <n v="1465.8722660000001"/>
    <n v="1465.8722660000001"/>
    <n v="100"/>
    <n v="21.746910749784888"/>
    <x v="674"/>
    <n v="5"/>
  </r>
  <r>
    <s v="OnAudience&gt;Intent&gt;Electronics&gt;Video&gt;Televisions"/>
    <x v="0"/>
    <s v="10% Discount - Ends 6/1"/>
    <s v="Los Angeles"/>
    <x v="4"/>
    <x v="17"/>
    <x v="3"/>
    <x v="0"/>
    <n v="19826"/>
    <n v="1"/>
    <n v="6511"/>
    <n v="15752"/>
    <n v="10"/>
    <x v="675"/>
    <n v="5.0438817714112778E-3"/>
    <n v="1447.873298"/>
    <n v="144.78732980000001"/>
    <n v="1000"/>
    <n v="91.916791391569319"/>
    <x v="675"/>
    <n v="5"/>
  </r>
  <r>
    <s v="OnAudience&gt;Interest&gt;Style &amp; Fashion&gt;Fashion"/>
    <x v="1"/>
    <s v="Sign up Today - 10% Off"/>
    <s v="Nashville"/>
    <x v="5"/>
    <x v="216"/>
    <x v="0"/>
    <x v="1"/>
    <n v="1648"/>
    <n v="1"/>
    <n v="1108"/>
    <n v="1570"/>
    <n v="2"/>
    <x v="676"/>
    <n v="6.0679611650485431E-2"/>
    <n v="1447.5420019999999"/>
    <n v="723.77100099999996"/>
    <n v="200"/>
    <n v="922.00127515923555"/>
    <x v="676"/>
    <n v="4"/>
  </r>
  <r>
    <s v="Online Behavior&gt;United States&gt;News&gt;Politics"/>
    <x v="0"/>
    <s v="Sign up Today - 10% Off"/>
    <s v="New York City"/>
    <x v="0"/>
    <x v="203"/>
    <x v="2"/>
    <x v="0"/>
    <n v="55445"/>
    <n v="0"/>
    <n v="4565"/>
    <n v="53407"/>
    <n v="36"/>
    <x v="677"/>
    <n v="0"/>
    <e v="#DIV/0!"/>
    <n v="220.791132"/>
    <e v="#DIV/0!"/>
    <n v="148.82844481060536"/>
    <x v="677"/>
    <n v="4"/>
  </r>
  <r>
    <s v="Online Behavior&gt;United States&gt;Finance&gt;Insurance&gt;Health Insurance"/>
    <x v="0"/>
    <s v="Sign up Today - 10% Off"/>
    <s v="San Francisco"/>
    <x v="4"/>
    <x v="249"/>
    <x v="5"/>
    <x v="0"/>
    <n v="39881"/>
    <n v="0"/>
    <n v="6331"/>
    <n v="36245"/>
    <n v="1"/>
    <x v="678"/>
    <n v="0"/>
    <e v="#DIV/0!"/>
    <n v="7098.8897059999999"/>
    <e v="#DIV/0!"/>
    <n v="195.85845512484482"/>
    <x v="678"/>
    <n v="5"/>
  </r>
  <r>
    <s v="Online Behavior&gt;United States&gt;Beauty and Fitness&gt;Face and Body Care&gt;Make-Up and Cosmetics"/>
    <x v="1"/>
    <s v="10% Discount - Ends 6/1"/>
    <s v="San Francisco"/>
    <x v="4"/>
    <x v="41"/>
    <x v="1"/>
    <x v="2"/>
    <n v="7585"/>
    <n v="0"/>
    <n v="5396"/>
    <n v="7417"/>
    <n v="24"/>
    <x v="679"/>
    <n v="0"/>
    <e v="#DIV/0!"/>
    <n v="295.11057508333334"/>
    <e v="#DIV/0!"/>
    <n v="954.92163974652817"/>
    <x v="679"/>
    <n v="5"/>
  </r>
  <r>
    <s v="Online Behavior&gt;United States&gt;Online Communities&gt;Online Goodies"/>
    <x v="1"/>
    <s v="10% Discount - Ends 6/1"/>
    <s v="Miami-Ft. Lauderdale"/>
    <x v="1"/>
    <x v="30"/>
    <x v="3"/>
    <x v="0"/>
    <n v="8187"/>
    <n v="0"/>
    <n v="4888"/>
    <n v="7510"/>
    <n v="1"/>
    <x v="680"/>
    <n v="0"/>
    <e v="#DIV/0!"/>
    <n v="6980.2293040000004"/>
    <e v="#DIV/0!"/>
    <n v="929.45796324900141"/>
    <x v="680"/>
    <n v="4"/>
  </r>
  <r>
    <s v="Online Behavior&gt;United States&gt;Arts and Entertainment&gt;Events and Listings&gt;Concerts and Music Festivals"/>
    <x v="2"/>
    <s v="Sign up Today - 10% Off"/>
    <s v="Chicago"/>
    <x v="2"/>
    <x v="250"/>
    <x v="2"/>
    <x v="0"/>
    <n v="194"/>
    <n v="0"/>
    <n v="120"/>
    <n v="160"/>
    <n v="24"/>
    <x v="681"/>
    <n v="0"/>
    <e v="#DIV/0!"/>
    <n v="289.85947358333334"/>
    <e v="#DIV/0!"/>
    <n v="43478.921037500004"/>
    <x v="681"/>
    <n v="5"/>
  </r>
  <r>
    <s v="Online Behavior&gt;United States&gt;Arts and Entertainment&gt;Online Media"/>
    <x v="0"/>
    <s v="10% Discount - Ends 6/1"/>
    <s v="Miami-Ft. Lauderdale"/>
    <x v="1"/>
    <x v="251"/>
    <x v="2"/>
    <x v="0"/>
    <n v="7226"/>
    <n v="0"/>
    <n v="2266"/>
    <n v="4728"/>
    <n v="2"/>
    <x v="682"/>
    <n v="0"/>
    <e v="#DIV/0!"/>
    <n v="3470.1603580000001"/>
    <e v="#DIV/0!"/>
    <n v="1467.9189331641287"/>
    <x v="682"/>
    <n v="4"/>
  </r>
  <r>
    <s v="Online Behavior&gt;United States&gt;Intent&gt;Shopping&gt;Consumer Electronics&gt;Mobile Phones, Smartphones, Cell Phones"/>
    <x v="2"/>
    <s v="Sign up Now - 10% Off"/>
    <s v="New York City"/>
    <x v="0"/>
    <x v="252"/>
    <x v="2"/>
    <x v="0"/>
    <n v="2692"/>
    <n v="0"/>
    <n v="1520"/>
    <n v="2626"/>
    <n v="2"/>
    <x v="683"/>
    <n v="0"/>
    <e v="#DIV/0!"/>
    <n v="3442.4957260000001"/>
    <e v="#DIV/0!"/>
    <n v="2621.8550845392233"/>
    <x v="683"/>
    <n v="6"/>
  </r>
  <r>
    <s v="Online Behavior&gt;United States&gt;Online Communities&gt;Social Networks"/>
    <x v="0"/>
    <s v="10% Discount - Ends 6/1"/>
    <s v="Chicago"/>
    <x v="2"/>
    <x v="196"/>
    <x v="2"/>
    <x v="0"/>
    <n v="9463"/>
    <n v="0"/>
    <n v="1518"/>
    <n v="8191"/>
    <n v="1"/>
    <x v="684"/>
    <n v="0"/>
    <e v="#DIV/0!"/>
    <n v="6879.6017069999998"/>
    <e v="#DIV/0!"/>
    <n v="839.89765681845927"/>
    <x v="684"/>
    <n v="4"/>
  </r>
  <r>
    <s v="Online Behavior&gt;United States&gt;Home and Garden&gt;Bed and Bath"/>
    <x v="1"/>
    <s v="10% Discount - Ends 6/1"/>
    <s v="Los Angeles"/>
    <x v="4"/>
    <x v="34"/>
    <x v="2"/>
    <x v="2"/>
    <n v="28888"/>
    <n v="0"/>
    <n v="21437"/>
    <n v="27586"/>
    <n v="19"/>
    <x v="685"/>
    <n v="0"/>
    <e v="#DIV/0!"/>
    <n v="360.97779568421055"/>
    <e v="#DIV/0!"/>
    <n v="248.625321467411"/>
    <x v="685"/>
    <n v="4"/>
  </r>
  <r>
    <s v="Online Behavior&gt;United States&gt;Law and Government&gt;Military"/>
    <x v="0"/>
    <s v="Sign up Today - 10% Off"/>
    <s v="Grand Rapids-Kalamazoo"/>
    <x v="6"/>
    <x v="81"/>
    <x v="2"/>
    <x v="0"/>
    <n v="17582"/>
    <n v="0"/>
    <n v="9848"/>
    <n v="16558"/>
    <n v="8"/>
    <x v="686"/>
    <n v="0"/>
    <e v="#DIV/0!"/>
    <n v="855.80598937499997"/>
    <e v="#DIV/0!"/>
    <n v="413.48278264283124"/>
    <x v="686"/>
    <n v="4"/>
  </r>
  <r>
    <s v="Online Behavior&gt;United States&gt;Hobbies and Leisure&gt;Outdoors&gt;Fishing"/>
    <x v="1"/>
    <s v="Sign up Today - 10% Off"/>
    <s v="New York City"/>
    <x v="0"/>
    <x v="132"/>
    <x v="5"/>
    <x v="1"/>
    <n v="25206"/>
    <n v="0"/>
    <n v="3588"/>
    <n v="23556"/>
    <n v="19"/>
    <x v="687"/>
    <n v="0"/>
    <e v="#DIV/0!"/>
    <n v="360.33454915789474"/>
    <e v="#DIV/0!"/>
    <n v="290.64172329767365"/>
    <x v="687"/>
    <n v="5"/>
  </r>
  <r>
    <s v="Online Behavior&gt;United States&gt;Autos and Vehicles&gt;Bicycles and Accessories"/>
    <x v="0"/>
    <s v="Sign up Today - 10% Off"/>
    <s v="Ft. Myers-Naples"/>
    <x v="1"/>
    <x v="253"/>
    <x v="2"/>
    <x v="0"/>
    <n v="130"/>
    <n v="0"/>
    <n v="72"/>
    <n v="120"/>
    <n v="23"/>
    <x v="688"/>
    <n v="0"/>
    <e v="#DIV/0!"/>
    <n v="297.11720908695651"/>
    <e v="#DIV/0!"/>
    <n v="56947.465075"/>
    <x v="688"/>
    <n v="4"/>
  </r>
  <r>
    <s v="Online Behavior&gt;United States&gt;The Changing Consumer&gt;Outdoor Activities"/>
    <x v="1"/>
    <s v="Subscribe Today - 10% Discount"/>
    <s v="San Francisco"/>
    <x v="4"/>
    <x v="254"/>
    <x v="2"/>
    <x v="1"/>
    <n v="432"/>
    <n v="0"/>
    <n v="76"/>
    <n v="418"/>
    <n v="18"/>
    <x v="689"/>
    <n v="0"/>
    <e v="#DIV/0!"/>
    <n v="378.91909538888888"/>
    <e v="#DIV/0!"/>
    <n v="16317.090232057413"/>
    <x v="689"/>
    <n v="4"/>
  </r>
  <r>
    <s v="Online Behavior&gt;United States&gt;Internet and Telecom&gt;Service Providers"/>
    <x v="0"/>
    <s v="10% Discount - Ends 6/1"/>
    <s v="Los Angeles"/>
    <x v="4"/>
    <x v="255"/>
    <x v="2"/>
    <x v="0"/>
    <n v="2788"/>
    <n v="0"/>
    <n v="1589"/>
    <n v="2608"/>
    <n v="2"/>
    <x v="690"/>
    <n v="0"/>
    <e v="#DIV/0!"/>
    <n v="3407.9193534999999"/>
    <e v="#DIV/0!"/>
    <n v="2613.4350870398771"/>
    <x v="690"/>
    <n v="4"/>
  </r>
  <r>
    <s v="Online Behavior&gt;United States&gt;Hobbies and Leisure&gt;Outdoors&gt;Hiking and Camping"/>
    <x v="1"/>
    <s v="10% Discount - Ends 6/1"/>
    <s v="Chicago"/>
    <x v="2"/>
    <x v="11"/>
    <x v="4"/>
    <x v="2"/>
    <n v="27592"/>
    <n v="0"/>
    <n v="10901"/>
    <n v="24980"/>
    <n v="17"/>
    <x v="691"/>
    <n v="0"/>
    <e v="#DIV/0!"/>
    <n v="400.55035423529409"/>
    <e v="#DIV/0!"/>
    <n v="272.59231473178539"/>
    <x v="691"/>
    <n v="5"/>
  </r>
  <r>
    <s v="Online Behavior&gt;United States&gt;Finance&gt;Accounting and Auditing&gt;Tax Preparation and Planning"/>
    <x v="1"/>
    <s v="10% Discount - Ends 6/1"/>
    <s v="Chicago"/>
    <x v="2"/>
    <x v="90"/>
    <x v="2"/>
    <x v="1"/>
    <n v="24962"/>
    <n v="0"/>
    <n v="18450"/>
    <n v="24128"/>
    <n v="16"/>
    <x v="692"/>
    <n v="0"/>
    <e v="#DIV/0!"/>
    <n v="425.56600318749997"/>
    <e v="#DIV/0!"/>
    <n v="282.20557240550397"/>
    <x v="692"/>
    <n v="5"/>
  </r>
  <r>
    <s v="Online Behavior&gt;United States&gt;People and Society&gt;Family and Relationships&gt;Dads"/>
    <x v="1"/>
    <s v="Subscribe Today - 10% Discount"/>
    <s v="New York City"/>
    <x v="0"/>
    <x v="256"/>
    <x v="7"/>
    <x v="0"/>
    <n v="6199"/>
    <n v="0"/>
    <n v="1690"/>
    <n v="3865"/>
    <n v="3"/>
    <x v="693"/>
    <n v="0"/>
    <e v="#DIV/0!"/>
    <n v="2250.8958216666665"/>
    <e v="#DIV/0!"/>
    <n v="1747.137765847348"/>
    <x v="693"/>
    <n v="5"/>
  </r>
  <r>
    <s v="Online Behavior&gt;United States&gt;Arts and Entertainment&gt;Performing Arts"/>
    <x v="2"/>
    <s v="Subscribe Today - 10% Discount"/>
    <s v="Chicago"/>
    <x v="2"/>
    <x v="257"/>
    <x v="2"/>
    <x v="0"/>
    <n v="1017"/>
    <n v="0"/>
    <n v="262"/>
    <n v="643"/>
    <n v="3"/>
    <x v="694"/>
    <n v="0"/>
    <e v="#DIV/0!"/>
    <n v="2250.1812709999999"/>
    <e v="#DIV/0!"/>
    <n v="10498.512928460343"/>
    <x v="694"/>
    <n v="4"/>
  </r>
  <r>
    <s v="Online Behavior&gt;United States&gt;Arts and Entertainment&gt;Events and Listings"/>
    <x v="1"/>
    <s v="Sign up Today - 10% Off"/>
    <s v="Nashville"/>
    <x v="5"/>
    <x v="258"/>
    <x v="4"/>
    <x v="0"/>
    <n v="1404"/>
    <n v="0"/>
    <n v="706"/>
    <n v="1290"/>
    <n v="9"/>
    <x v="695"/>
    <n v="0"/>
    <e v="#DIV/0!"/>
    <n v="748.94272477777781"/>
    <e v="#DIV/0!"/>
    <n v="5225.1818007751936"/>
    <x v="695"/>
    <n v="4"/>
  </r>
  <r>
    <s v="Online Behavior&gt;United States&gt;News&gt;Weather"/>
    <x v="1"/>
    <s v="Sign up Now - 10% Off"/>
    <s v="New York City"/>
    <x v="0"/>
    <x v="54"/>
    <x v="2"/>
    <x v="0"/>
    <n v="9404"/>
    <n v="0"/>
    <n v="4781"/>
    <n v="7943"/>
    <n v="1"/>
    <x v="696"/>
    <n v="0"/>
    <e v="#DIV/0!"/>
    <n v="6730.0562829999999"/>
    <e v="#DIV/0!"/>
    <n v="847.2940051617777"/>
    <x v="696"/>
    <n v="4"/>
  </r>
  <r>
    <s v="Online Behavior&gt;United States&gt;Beauty and Fitness&gt;Cosmetic Procedures"/>
    <x v="0"/>
    <s v="Sign up Today - 10% Off"/>
    <s v="Chicago"/>
    <x v="2"/>
    <x v="67"/>
    <x v="7"/>
    <x v="0"/>
    <n v="2339"/>
    <n v="0"/>
    <n v="1087"/>
    <n v="1510"/>
    <n v="2"/>
    <x v="697"/>
    <n v="0"/>
    <e v="#DIV/0!"/>
    <n v="3365.0000020000002"/>
    <e v="#DIV/0!"/>
    <n v="4456.9536450331125"/>
    <x v="697"/>
    <n v="4"/>
  </r>
  <r>
    <s v="Online Behavior&gt;United States&gt;Finance&gt;Investing&gt;Brokerages and Day Trading"/>
    <x v="1"/>
    <s v="10% Discount - Ends 6/1"/>
    <s v="Memphis"/>
    <x v="5"/>
    <x v="111"/>
    <x v="2"/>
    <x v="2"/>
    <n v="7695"/>
    <n v="0"/>
    <n v="3481"/>
    <n v="7050"/>
    <n v="14"/>
    <x v="698"/>
    <n v="0"/>
    <e v="#DIV/0!"/>
    <n v="480.53146421428573"/>
    <e v="#DIV/0!"/>
    <n v="954.24687929078027"/>
    <x v="698"/>
    <n v="5"/>
  </r>
  <r>
    <s v="Online Behavior&gt;United States&gt;Sports&gt;World Sports Competitions&gt;Olympics"/>
    <x v="2"/>
    <s v="Subscribe Today - 10% Discount"/>
    <s v="Los Angeles"/>
    <x v="4"/>
    <x v="259"/>
    <x v="2"/>
    <x v="0"/>
    <n v="389"/>
    <n v="0"/>
    <n v="294"/>
    <n v="346"/>
    <n v="2"/>
    <x v="699"/>
    <n v="0"/>
    <e v="#DIV/0!"/>
    <n v="3349.7376549999999"/>
    <e v="#DIV/0!"/>
    <n v="19362.645404624276"/>
    <x v="699"/>
    <n v="5"/>
  </r>
  <r>
    <s v="Online Behavior&gt;United States&gt;Games&gt;Online Games"/>
    <x v="1"/>
    <s v="Sign up Today - 10% Off"/>
    <s v="Chicago"/>
    <x v="2"/>
    <x v="47"/>
    <x v="8"/>
    <x v="1"/>
    <n v="293"/>
    <n v="0"/>
    <n v="80"/>
    <n v="239"/>
    <n v="13"/>
    <x v="700"/>
    <n v="0"/>
    <e v="#DIV/0!"/>
    <n v="514.82218584615384"/>
    <e v="#DIV/0!"/>
    <n v="28002.880401673639"/>
    <x v="700"/>
    <n v="4"/>
  </r>
  <r>
    <s v="Online Behavior&gt;United States&gt;Internet and Telecom&gt;Teleconferencing"/>
    <x v="1"/>
    <s v="Sign up Now - 10% Off"/>
    <s v="Miami-Ft. Lauderdale"/>
    <x v="1"/>
    <x v="260"/>
    <x v="7"/>
    <x v="0"/>
    <n v="4533"/>
    <n v="0"/>
    <n v="3838"/>
    <n v="4255"/>
    <n v="3"/>
    <x v="701"/>
    <n v="0"/>
    <e v="#DIV/0!"/>
    <n v="2228.9960426666667"/>
    <e v="#DIV/0!"/>
    <n v="1571.5600770857814"/>
    <x v="701"/>
    <n v="4"/>
  </r>
  <r>
    <s v="Online Behavior&gt;United States&gt;Intent&gt;Travel&gt;Car Rentals"/>
    <x v="1"/>
    <s v="Sign up Today - 10% Off"/>
    <s v="West Palm Beach-Ft. Pierce"/>
    <x v="1"/>
    <x v="261"/>
    <x v="4"/>
    <x v="1"/>
    <n v="353"/>
    <n v="0"/>
    <n v="108"/>
    <n v="325"/>
    <n v="13"/>
    <x v="702"/>
    <n v="0"/>
    <e v="#DIV/0!"/>
    <n v="514.25275261538457"/>
    <e v="#DIV/0!"/>
    <n v="20570.110104615385"/>
    <x v="702"/>
    <n v="5"/>
  </r>
  <r>
    <s v="Online Behavior&gt;United States&gt;Arts and Entertainment&gt;Music and Audio"/>
    <x v="1"/>
    <s v="Sign up Today - 10% Off"/>
    <s v="Jacksonville"/>
    <x v="1"/>
    <x v="262"/>
    <x v="2"/>
    <x v="0"/>
    <n v="7628"/>
    <n v="0"/>
    <n v="5048"/>
    <n v="7154"/>
    <n v="1"/>
    <x v="703"/>
    <n v="0"/>
    <e v="#DIV/0!"/>
    <n v="6684.0628040000001"/>
    <e v="#DIV/0!"/>
    <n v="934.31126698350579"/>
    <x v="703"/>
    <n v="4"/>
  </r>
  <r>
    <s v="Online Behavior&gt;United States&gt;Sports&gt;Team Sports&gt;Soccer"/>
    <x v="2"/>
    <s v="Sign up Today - 10% Off"/>
    <s v="Chicago"/>
    <x v="2"/>
    <x v="118"/>
    <x v="2"/>
    <x v="0"/>
    <n v="364"/>
    <n v="0"/>
    <n v="199"/>
    <n v="321"/>
    <n v="2"/>
    <x v="704"/>
    <n v="0"/>
    <e v="#DIV/0!"/>
    <n v="3338.085736"/>
    <e v="#DIV/0!"/>
    <n v="20798.041968847352"/>
    <x v="704"/>
    <n v="5"/>
  </r>
  <r>
    <s v="Online Behavior&gt;United States&gt;Intent&gt;Financial Intent&gt;Loans and Credit"/>
    <x v="0"/>
    <s v="Sign up Now - 10% Off"/>
    <s v="Savannah"/>
    <x v="8"/>
    <x v="11"/>
    <x v="13"/>
    <x v="0"/>
    <n v="83957"/>
    <n v="0"/>
    <n v="1420"/>
    <n v="69246"/>
    <n v="4"/>
    <x v="705"/>
    <n v="0"/>
    <e v="#DIV/0!"/>
    <n v="1662.8786275"/>
    <e v="#DIV/0!"/>
    <n v="96.056299425237569"/>
    <x v="705"/>
    <n v="5"/>
  </r>
  <r>
    <s v="Online Behavior&gt;United States&gt;Sports&gt;Individual Sports&gt;Bowling"/>
    <x v="1"/>
    <s v="Sign up Today - 10% Off"/>
    <s v="Grand Rapids-Kalamazoo"/>
    <x v="6"/>
    <x v="26"/>
    <x v="10"/>
    <x v="1"/>
    <n v="3046"/>
    <n v="0"/>
    <n v="2183"/>
    <n v="2775"/>
    <n v="13"/>
    <x v="706"/>
    <n v="0"/>
    <e v="#DIV/0!"/>
    <n v="511.0743493846154"/>
    <e v="#DIV/0!"/>
    <n v="2394.2221772972975"/>
    <x v="706"/>
    <n v="5"/>
  </r>
  <r>
    <s v="Online Behavior&gt;United States&gt;Intent&gt;Services&gt;Finance and Insurance"/>
    <x v="1"/>
    <s v="Subscribe Today - 10% Discount"/>
    <s v="San Francisco"/>
    <x v="4"/>
    <x v="263"/>
    <x v="0"/>
    <x v="0"/>
    <n v="3865"/>
    <n v="0"/>
    <n v="2144"/>
    <n v="3637"/>
    <n v="3"/>
    <x v="707"/>
    <n v="0"/>
    <e v="#DIV/0!"/>
    <n v="2207.3967473333332"/>
    <e v="#DIV/0!"/>
    <n v="1820.7836794061038"/>
    <x v="707"/>
    <n v="5"/>
  </r>
  <r>
    <s v="Online Behavior&gt;United States&gt;Travel&gt;Luggage and Travel Accessories"/>
    <x v="0"/>
    <s v="Sign up Now - 10% Off"/>
    <s v="Tri-Cities"/>
    <x v="12"/>
    <x v="216"/>
    <x v="5"/>
    <x v="0"/>
    <n v="25"/>
    <n v="0"/>
    <n v="13"/>
    <n v="24"/>
    <n v="4"/>
    <x v="708"/>
    <n v="0"/>
    <e v="#DIV/0!"/>
    <n v="1650.9677139999999"/>
    <e v="#DIV/0!"/>
    <n v="275161.28566666663"/>
    <x v="708"/>
    <n v="4"/>
  </r>
  <r>
    <s v="Online Behavior&gt;United States&gt;Sports&gt;Individual Sports&gt;Racquet Sports"/>
    <x v="0"/>
    <s v="Subscribe Today - 10% Discount"/>
    <s v="South Bend-Elkhart"/>
    <x v="3"/>
    <x v="264"/>
    <x v="1"/>
    <x v="0"/>
    <n v="7143"/>
    <n v="0"/>
    <n v="3470"/>
    <n v="5926"/>
    <n v="1"/>
    <x v="709"/>
    <n v="0"/>
    <e v="#DIV/0!"/>
    <n v="6593.5110999999997"/>
    <e v="#DIV/0!"/>
    <n v="1112.6410901113734"/>
    <x v="709"/>
    <n v="5"/>
  </r>
  <r>
    <s v="Online Behavior&gt;United States&gt;Intent&gt;Financial Intent&gt;Insurance"/>
    <x v="0"/>
    <s v="Sign up Now - 10% Off"/>
    <s v="Los Angeles"/>
    <x v="4"/>
    <x v="265"/>
    <x v="4"/>
    <x v="0"/>
    <n v="474"/>
    <n v="0"/>
    <n v="181"/>
    <n v="456"/>
    <n v="11"/>
    <x v="710"/>
    <n v="0"/>
    <e v="#DIV/0!"/>
    <n v="599.38343472727274"/>
    <e v="#DIV/0!"/>
    <n v="14458.810925438596"/>
    <x v="710"/>
    <n v="5"/>
  </r>
  <r>
    <s v="Online Behavior&gt;United States&gt;Autos and Vehicles&gt;Brands&gt;Toyota"/>
    <x v="0"/>
    <s v="Sign up Now - 10% Off"/>
    <s v="Grand Rapids-Kalamazoo"/>
    <x v="6"/>
    <x v="266"/>
    <x v="6"/>
    <x v="0"/>
    <n v="2227"/>
    <n v="0"/>
    <n v="1755"/>
    <n v="2139"/>
    <n v="2"/>
    <x v="711"/>
    <n v="0"/>
    <e v="#DIV/0!"/>
    <n v="3294.9894290000002"/>
    <e v="#DIV/0!"/>
    <n v="3080.8690313230486"/>
    <x v="711"/>
    <n v="5"/>
  </r>
  <r>
    <s v="Online Behavior&gt;United States&gt;Intent&gt;Financial Intent&gt;Personal Finance"/>
    <x v="1"/>
    <s v="Subscribe Today - 10% Discount"/>
    <s v="Jacksonville"/>
    <x v="1"/>
    <x v="267"/>
    <x v="5"/>
    <x v="2"/>
    <n v="9517"/>
    <n v="0"/>
    <n v="4790"/>
    <n v="8421"/>
    <n v="12"/>
    <x v="712"/>
    <n v="0"/>
    <e v="#DIV/0!"/>
    <n v="546.6549629166667"/>
    <e v="#DIV/0!"/>
    <n v="778.9881908324428"/>
    <x v="712"/>
    <n v="5"/>
  </r>
  <r>
    <s v="Online Behavior&gt;United States&gt;Sports&gt;Water Sports&gt;Swimming"/>
    <x v="1"/>
    <s v="Sign up Now - 10% Off"/>
    <s v="Miami-Ft. Lauderdale"/>
    <x v="1"/>
    <x v="26"/>
    <x v="1"/>
    <x v="1"/>
    <n v="120837"/>
    <n v="0"/>
    <n v="11550"/>
    <n v="15105"/>
    <n v="12"/>
    <x v="713"/>
    <n v="0"/>
    <e v="#DIV/0!"/>
    <n v="546.35214250000001"/>
    <e v="#DIV/0!"/>
    <n v="434.04341012909629"/>
    <x v="713"/>
    <n v="5"/>
  </r>
  <r>
    <s v="Online Behavior&gt;United States&gt;Arts and Entertainment&gt;Celebrities and Entertainment News"/>
    <x v="0"/>
    <s v="10% Discount - Ends 6/1"/>
    <s v="Orlando-Daytona Beach"/>
    <x v="1"/>
    <x v="171"/>
    <x v="2"/>
    <x v="0"/>
    <n v="9261"/>
    <n v="0"/>
    <n v="3852"/>
    <n v="8526"/>
    <n v="1"/>
    <x v="714"/>
    <n v="0"/>
    <e v="#DIV/0!"/>
    <n v="6511.0295759999999"/>
    <e v="#DIV/0!"/>
    <n v="763.66755524278676"/>
    <x v="714"/>
    <n v="4"/>
  </r>
  <r>
    <s v="Online Behavior&gt;United States&gt;Sports&gt;Combat Sports"/>
    <x v="1"/>
    <s v="Subscribe Today - 10% Discount"/>
    <s v="Nashville"/>
    <x v="5"/>
    <x v="268"/>
    <x v="1"/>
    <x v="0"/>
    <n v="6639"/>
    <n v="0"/>
    <n v="3586"/>
    <n v="6182"/>
    <n v="3"/>
    <x v="715"/>
    <n v="0"/>
    <e v="#DIV/0!"/>
    <n v="2165.556231"/>
    <e v="#DIV/0!"/>
    <n v="1050.9007914914266"/>
    <x v="715"/>
    <n v="4"/>
  </r>
  <r>
    <s v="Online Behavior&gt;United States&gt;Intent&gt;Financial Intent&gt;Insurance&gt;Health"/>
    <x v="0"/>
    <s v="Sign up Now - 10% Off"/>
    <s v="Tampa-St Petersburg (Sarasota)"/>
    <x v="1"/>
    <x v="132"/>
    <x v="2"/>
    <x v="0"/>
    <n v="3333"/>
    <n v="0"/>
    <n v="764"/>
    <n v="2831"/>
    <n v="3"/>
    <x v="716"/>
    <n v="0"/>
    <e v="#DIV/0!"/>
    <n v="2162.1698023333333"/>
    <e v="#DIV/0!"/>
    <n v="2291.2431674320028"/>
    <x v="716"/>
    <n v="6"/>
  </r>
  <r>
    <s v="Online Behavior&gt;United States&gt;Arts and Entertainment&gt;Humor"/>
    <x v="1"/>
    <s v="Sign up Today - 10% Off"/>
    <s v="Chicago"/>
    <x v="2"/>
    <x v="4"/>
    <x v="2"/>
    <x v="2"/>
    <n v="6984"/>
    <n v="0"/>
    <n v="3596"/>
    <n v="5925"/>
    <n v="11"/>
    <x v="717"/>
    <n v="0"/>
    <e v="#DIV/0!"/>
    <n v="588.76805954545455"/>
    <e v="#DIV/0!"/>
    <n v="1093.0715029535866"/>
    <x v="717"/>
    <n v="4"/>
  </r>
  <r>
    <s v="Online Behavior&gt;United States&gt;The Changing Consumer&gt;Moving and Relocating"/>
    <x v="1"/>
    <s v="Subscribe Today - 10% Discount"/>
    <s v="Miami-Ft. Lauderdale"/>
    <x v="1"/>
    <x v="87"/>
    <x v="2"/>
    <x v="1"/>
    <n v="3202"/>
    <n v="0"/>
    <n v="2221"/>
    <n v="3086"/>
    <n v="11"/>
    <x v="718"/>
    <n v="0"/>
    <e v="#DIV/0!"/>
    <n v="585.60117327272735"/>
    <e v="#DIV/0!"/>
    <n v="2087.3664633830203"/>
    <x v="718"/>
    <n v="4"/>
  </r>
  <r>
    <s v="Online Behavior&gt;United States&gt;Intent&gt;Shopping&gt;Entertainment"/>
    <x v="2"/>
    <s v="Sign up Today - 10% Off"/>
    <s v="New York City"/>
    <x v="0"/>
    <x v="104"/>
    <x v="8"/>
    <x v="0"/>
    <n v="11734"/>
    <n v="0"/>
    <n v="8741"/>
    <n v="10606"/>
    <n v="1"/>
    <x v="719"/>
    <n v="0"/>
    <e v="#DIV/0!"/>
    <n v="6439.2834979999998"/>
    <e v="#DIV/0!"/>
    <n v="607.13591344521967"/>
    <x v="719"/>
    <n v="5"/>
  </r>
  <r>
    <s v="Online Behavior&gt;United States&gt;Intent&gt;Shopping&gt;Consumer Electronics"/>
    <x v="1"/>
    <s v="Subscribe Today - 10% Discount"/>
    <s v="San Francisco"/>
    <x v="4"/>
    <x v="269"/>
    <x v="9"/>
    <x v="1"/>
    <n v="2586"/>
    <n v="0"/>
    <n v="1206"/>
    <n v="2385"/>
    <n v="11"/>
    <x v="720"/>
    <n v="0"/>
    <e v="#DIV/0!"/>
    <n v="585.28999136363643"/>
    <e v="#DIV/0!"/>
    <n v="2699.4506939203357"/>
    <x v="720"/>
    <n v="5"/>
  </r>
  <r>
    <s v="Online Behavior&gt;United States&gt;Intent&gt;Shopping&gt;Wireless Providers"/>
    <x v="1"/>
    <s v="10% Discount - Ends 6/1"/>
    <s v="Los Angeles"/>
    <x v="4"/>
    <x v="218"/>
    <x v="2"/>
    <x v="2"/>
    <n v="39725"/>
    <n v="0"/>
    <n v="5402"/>
    <n v="36080"/>
    <n v="11"/>
    <x v="721"/>
    <n v="0"/>
    <e v="#DIV/0!"/>
    <n v="584.68683199999998"/>
    <e v="#DIV/0!"/>
    <n v="178.25818048780488"/>
    <x v="721"/>
    <n v="5"/>
  </r>
  <r>
    <s v="Online Behavior&gt;United States&gt;Intent&gt;Travel&gt;Cruises"/>
    <x v="2"/>
    <s v="Subscribe Today - 10% Discount"/>
    <s v="San Francisco"/>
    <x v="4"/>
    <x v="270"/>
    <x v="8"/>
    <x v="0"/>
    <n v="9560"/>
    <n v="0"/>
    <n v="3076"/>
    <n v="6252"/>
    <n v="17"/>
    <x v="722"/>
    <n v="0"/>
    <e v="#DIV/0!"/>
    <n v="377.65988958823527"/>
    <e v="#DIV/0!"/>
    <n v="1026.9062896673065"/>
    <x v="722"/>
    <n v="5"/>
  </r>
  <r>
    <s v="Online Behavior&gt;United States&gt;Validated Demographic&gt;Age&gt;25 or older"/>
    <x v="0"/>
    <s v="10% Discount - Ends 6/1"/>
    <s v="Chattanooga"/>
    <x v="5"/>
    <x v="271"/>
    <x v="3"/>
    <x v="0"/>
    <n v="8233"/>
    <n v="0"/>
    <n v="5361"/>
    <n v="7643"/>
    <n v="1"/>
    <x v="723"/>
    <n v="0"/>
    <e v="#DIV/0!"/>
    <n v="6381.0065759999998"/>
    <e v="#DIV/0!"/>
    <n v="834.88245139343189"/>
    <x v="723"/>
    <n v="5"/>
  </r>
  <r>
    <s v="Online Behavior&gt;United States&gt;Intent&gt;Financial Intent&gt;Insurance&gt;Auto"/>
    <x v="0"/>
    <s v="Sign up Today - 10% Off"/>
    <s v="Tallahassee"/>
    <x v="11"/>
    <x v="12"/>
    <x v="5"/>
    <x v="0"/>
    <n v="42884"/>
    <n v="0"/>
    <n v="4345"/>
    <n v="25153"/>
    <n v="1"/>
    <x v="724"/>
    <n v="0"/>
    <e v="#DIV/0!"/>
    <n v="6322.1526549999999"/>
    <e v="#DIV/0!"/>
    <n v="251.34785731324294"/>
    <x v="724"/>
    <n v="6"/>
  </r>
  <r>
    <s v="Online Behavior&gt;United States&gt;Intent&gt;Services&gt;Sports and Recreation"/>
    <x v="1"/>
    <s v="Subscribe Today - 10% Discount"/>
    <s v="Chicago"/>
    <x v="2"/>
    <x v="272"/>
    <x v="4"/>
    <x v="1"/>
    <n v="2560"/>
    <n v="0"/>
    <n v="1397"/>
    <n v="2433"/>
    <n v="10"/>
    <x v="725"/>
    <n v="0"/>
    <e v="#DIV/0!"/>
    <n v="632.04972139999995"/>
    <e v="#DIV/0!"/>
    <n v="2597.8204743115498"/>
    <x v="725"/>
    <n v="5"/>
  </r>
  <r>
    <s v="Online Behavior&gt;United States&gt;Intent&gt;Auto Buyers&gt;Used"/>
    <x v="0"/>
    <s v="Sign up Now - 10% Off"/>
    <s v="Grand Rapids-Kalamazoo"/>
    <x v="6"/>
    <x v="273"/>
    <x v="2"/>
    <x v="0"/>
    <n v="325"/>
    <n v="0"/>
    <n v="199"/>
    <n v="280"/>
    <n v="2"/>
    <x v="726"/>
    <n v="0"/>
    <e v="#DIV/0!"/>
    <n v="3148.174352"/>
    <e v="#DIV/0!"/>
    <n v="22486.959657142859"/>
    <x v="726"/>
    <n v="5"/>
  </r>
  <r>
    <s v="Online Behavior&gt;United States&gt;Intent&gt;Travel&gt;Budget Travel"/>
    <x v="2"/>
    <s v="Subscribe Today - 10% Discount"/>
    <s v="Los Angeles"/>
    <x v="4"/>
    <x v="274"/>
    <x v="5"/>
    <x v="0"/>
    <n v="10565"/>
    <n v="0"/>
    <n v="6248"/>
    <n v="10141"/>
    <n v="9"/>
    <x v="727"/>
    <n v="0"/>
    <e v="#DIV/0!"/>
    <n v="692.90145488888891"/>
    <e v="#DIV/0!"/>
    <n v="614.9406462873485"/>
    <x v="727"/>
    <n v="5"/>
  </r>
  <r>
    <s v="Online Behavior&gt;United States&gt;Intent&gt;Auto Buyers&gt;Category&gt;Motorcycle"/>
    <x v="0"/>
    <s v="10% Discount - Ends 6/1"/>
    <s v="Los Angeles"/>
    <x v="4"/>
    <x v="185"/>
    <x v="7"/>
    <x v="0"/>
    <n v="15252"/>
    <n v="0"/>
    <n v="2152"/>
    <n v="3482"/>
    <n v="7"/>
    <x v="728"/>
    <n v="0"/>
    <e v="#DIV/0!"/>
    <n v="887.31430671428564"/>
    <e v="#DIV/0!"/>
    <n v="1783.8024546237793"/>
    <x v="728"/>
    <n v="6"/>
  </r>
  <r>
    <s v="Online Behavior&gt;United States&gt;Autos and Vehicles&gt;Brands&gt;Fiat"/>
    <x v="1"/>
    <s v="10% Discount - Ends 6/1"/>
    <s v="Chicago"/>
    <x v="2"/>
    <x v="275"/>
    <x v="4"/>
    <x v="0"/>
    <n v="11417"/>
    <n v="0"/>
    <n v="1387"/>
    <n v="9924"/>
    <n v="1"/>
    <x v="729"/>
    <n v="0"/>
    <e v="#DIV/0!"/>
    <n v="6206.6371079999999"/>
    <e v="#DIV/0!"/>
    <n v="625.41687908101574"/>
    <x v="729"/>
    <n v="5"/>
  </r>
  <r>
    <s v="Online Behavior&gt;United States&gt;Intent&gt;Auto Buyers&gt;Type&gt;Hatchback"/>
    <x v="1"/>
    <s v="10% Discount - Ends 6/1"/>
    <s v="Chicago"/>
    <x v="2"/>
    <x v="276"/>
    <x v="2"/>
    <x v="1"/>
    <n v="2502"/>
    <n v="0"/>
    <n v="701"/>
    <n v="2349"/>
    <n v="24"/>
    <x v="730"/>
    <n v="0"/>
    <e v="#DIV/0!"/>
    <n v="258.60973879166664"/>
    <e v="#DIV/0!"/>
    <n v="2642.2450962111539"/>
    <x v="730"/>
    <n v="6"/>
  </r>
  <r>
    <s v="Online Behavior&gt;United States&gt;Autos and Vehicles&gt;Brands&gt;Honda"/>
    <x v="0"/>
    <s v="10% Discount - Ends 6/1"/>
    <s v="Peoria-Bloomington"/>
    <x v="2"/>
    <x v="83"/>
    <x v="5"/>
    <x v="0"/>
    <n v="90463"/>
    <n v="0"/>
    <n v="803"/>
    <n v="2465"/>
    <n v="2"/>
    <x v="731"/>
    <n v="0"/>
    <e v="#DIV/0!"/>
    <n v="3060.3012570000001"/>
    <e v="#DIV/0!"/>
    <n v="2483.0030482758621"/>
    <x v="731"/>
    <n v="5"/>
  </r>
  <r>
    <s v="Online Behavior&gt;United States&gt;Autos and Vehicles&gt;Brands&gt;Audi"/>
    <x v="0"/>
    <s v="Subscribe Today - 10% Discount"/>
    <s v="Chicago"/>
    <x v="2"/>
    <x v="277"/>
    <x v="1"/>
    <x v="0"/>
    <n v="233"/>
    <n v="0"/>
    <n v="92"/>
    <n v="164"/>
    <n v="1"/>
    <x v="732"/>
    <n v="0"/>
    <e v="#DIV/0!"/>
    <n v="6117.5142759999999"/>
    <e v="#DIV/0!"/>
    <n v="37301.91631707317"/>
    <x v="732"/>
    <n v="5"/>
  </r>
  <r>
    <s v="Online Behavior&gt;United States&gt;Intent&gt;Auto Buyers&gt;Car Make&gt;Chevrolet"/>
    <x v="2"/>
    <s v="Sign up Today - 10% Off"/>
    <s v="Los Angeles"/>
    <x v="4"/>
    <x v="278"/>
    <x v="1"/>
    <x v="0"/>
    <n v="2453"/>
    <n v="0"/>
    <n v="1682"/>
    <n v="2335"/>
    <n v="9"/>
    <x v="733"/>
    <n v="0"/>
    <e v="#DIV/0!"/>
    <n v="679.40673744444439"/>
    <e v="#DIV/0!"/>
    <n v="2618.6983456102785"/>
    <x v="733"/>
    <n v="6"/>
  </r>
  <r>
    <s v="Online Behavior&gt;United States&gt;Intent&gt;Auto Buyers&gt;Car Make&gt;GMC"/>
    <x v="1"/>
    <s v="10% Discount - Ends 6/1"/>
    <s v="Miami-Ft. Lauderdale"/>
    <x v="1"/>
    <x v="279"/>
    <x v="2"/>
    <x v="1"/>
    <n v="323"/>
    <n v="0"/>
    <n v="212"/>
    <n v="313"/>
    <n v="13"/>
    <x v="734"/>
    <n v="0"/>
    <e v="#DIV/0!"/>
    <n v="469.40626023076919"/>
    <e v="#DIV/0!"/>
    <n v="19496.106654952076"/>
    <x v="734"/>
    <n v="6"/>
  </r>
  <r>
    <s v="Online Behavior&gt;United States&gt;The Changing Consumer&gt;Social Distance Traveling"/>
    <x v="1"/>
    <s v="Sign up Today - 10% Off"/>
    <s v="Jacksonville"/>
    <x v="1"/>
    <x v="14"/>
    <x v="8"/>
    <x v="0"/>
    <n v="1833"/>
    <n v="0"/>
    <n v="268"/>
    <n v="1259"/>
    <n v="13"/>
    <x v="735"/>
    <n v="0"/>
    <e v="#DIV/0!"/>
    <n v="466.13782538461538"/>
    <e v="#DIV/0!"/>
    <n v="4813.1784988085783"/>
    <x v="735"/>
    <n v="4"/>
  </r>
  <r>
    <s v="Online Behavior&gt;United States&gt;Arts and Entertainment&gt;Events and Listings&gt;Movie Listings and Theater Showtimes"/>
    <x v="0"/>
    <s v="Subscribe Today - 10% Discount"/>
    <s v="Miami-Ft. Lauderdale"/>
    <x v="1"/>
    <x v="280"/>
    <x v="1"/>
    <x v="0"/>
    <n v="202"/>
    <n v="0"/>
    <n v="132"/>
    <n v="186"/>
    <n v="1"/>
    <x v="736"/>
    <n v="0"/>
    <e v="#DIV/0!"/>
    <n v="5970.9530000000004"/>
    <e v="#DIV/0!"/>
    <n v="32101.89784946237"/>
    <x v="736"/>
    <n v="5"/>
  </r>
  <r>
    <s v="Online Behavior&gt;United States&gt;Finance&gt;Grants, Scholarships and Financial Aid&gt;Grants, Scholarships and Financial Aid"/>
    <x v="2"/>
    <s v="Sign up Today - 10% Off"/>
    <s v="Nashville"/>
    <x v="5"/>
    <x v="231"/>
    <x v="8"/>
    <x v="0"/>
    <n v="2120"/>
    <n v="0"/>
    <n v="1079"/>
    <n v="1988"/>
    <n v="3"/>
    <x v="737"/>
    <n v="0"/>
    <e v="#DIV/0!"/>
    <n v="1978.4792853333331"/>
    <e v="#DIV/0!"/>
    <n v="2985.6327243460764"/>
    <x v="737"/>
    <n v="5"/>
  </r>
  <r>
    <s v="Online Behavior&gt;United States&gt;Autos and Vehicles&gt;Brands&gt;Nissan"/>
    <x v="1"/>
    <s v="Sign up Today - 10% Off"/>
    <s v="Chicago"/>
    <x v="2"/>
    <x v="281"/>
    <x v="1"/>
    <x v="0"/>
    <n v="7691"/>
    <n v="0"/>
    <n v="3890"/>
    <n v="5905"/>
    <n v="1"/>
    <x v="738"/>
    <n v="0"/>
    <e v="#DIV/0!"/>
    <n v="5927.8067879999999"/>
    <e v="#DIV/0!"/>
    <n v="1003.862284165961"/>
    <x v="738"/>
    <n v="5"/>
  </r>
  <r>
    <s v="Online Behavior&gt;United States&gt;Intent&gt;Real Estate&gt;Commercial"/>
    <x v="0"/>
    <s v="Sign up Now - 10% Off"/>
    <s v="Chicago"/>
    <x v="2"/>
    <x v="87"/>
    <x v="8"/>
    <x v="0"/>
    <n v="488"/>
    <n v="0"/>
    <n v="254"/>
    <n v="437"/>
    <n v="13"/>
    <x v="739"/>
    <n v="0"/>
    <e v="#DIV/0!"/>
    <n v="455.73953715384619"/>
    <e v="#DIV/0!"/>
    <n v="13557.469068649887"/>
    <x v="739"/>
    <n v="5"/>
  </r>
  <r>
    <s v="Online Behavior&gt;United States&gt;Intent&gt;Real Estate&gt;Residential"/>
    <x v="1"/>
    <s v="10% Discount - Ends 6/1"/>
    <s v="Chicago"/>
    <x v="2"/>
    <x v="35"/>
    <x v="2"/>
    <x v="0"/>
    <n v="3587"/>
    <n v="0"/>
    <n v="1771"/>
    <n v="2989"/>
    <n v="3"/>
    <x v="740"/>
    <n v="0"/>
    <e v="#DIV/0!"/>
    <n v="1946.0796720000001"/>
    <e v="#DIV/0!"/>
    <n v="1953.2415577116094"/>
    <x v="740"/>
    <n v="5"/>
  </r>
  <r>
    <s v="Online Behavior&gt;United States&gt;Autos and Vehicles&gt;Brands&gt;Suzuki"/>
    <x v="1"/>
    <s v="Subscribe Today - 10% Discount"/>
    <s v="Orlando-Daytona Beach"/>
    <x v="1"/>
    <x v="282"/>
    <x v="2"/>
    <x v="1"/>
    <n v="240"/>
    <n v="0"/>
    <n v="151"/>
    <n v="220"/>
    <n v="24"/>
    <x v="741"/>
    <n v="0"/>
    <e v="#DIV/0!"/>
    <n v="242.91252166666666"/>
    <e v="#DIV/0!"/>
    <n v="26499.547818181818"/>
    <x v="741"/>
    <n v="5"/>
  </r>
  <r>
    <s v="Online Behavior&gt;United States&gt;Autos and Vehicles&gt;Brands&gt;Hyundai"/>
    <x v="0"/>
    <s v="Sign up Now - 10% Off"/>
    <s v="Chicago"/>
    <x v="2"/>
    <x v="283"/>
    <x v="5"/>
    <x v="0"/>
    <n v="2005"/>
    <n v="0"/>
    <n v="802"/>
    <n v="1927"/>
    <n v="15"/>
    <x v="742"/>
    <n v="0"/>
    <e v="#DIV/0!"/>
    <n v="387.37696840000001"/>
    <e v="#DIV/0!"/>
    <n v="3015.3889600415155"/>
    <x v="742"/>
    <n v="5"/>
  </r>
  <r>
    <s v="Online Behavior&gt;United States&gt;Real Estate&gt;Renter"/>
    <x v="2"/>
    <s v="Sign up Now - 10% Off"/>
    <s v="Miami-Ft. Lauderdale"/>
    <x v="1"/>
    <x v="284"/>
    <x v="2"/>
    <x v="0"/>
    <n v="2945"/>
    <n v="0"/>
    <n v="1499"/>
    <n v="2675"/>
    <n v="2"/>
    <x v="743"/>
    <n v="0"/>
    <e v="#DIV/0!"/>
    <n v="2876.5335700000001"/>
    <e v="#DIV/0!"/>
    <n v="2150.6793046728972"/>
    <x v="743"/>
    <n v="4"/>
  </r>
  <r>
    <s v="Online Behavior&gt;United States&gt;Autos and Vehicles&gt;Brands&gt;Jaguar"/>
    <x v="0"/>
    <s v="Sign up Now - 10% Off"/>
    <s v="Chicago"/>
    <x v="2"/>
    <x v="132"/>
    <x v="2"/>
    <x v="0"/>
    <n v="38396"/>
    <n v="0"/>
    <n v="6305"/>
    <n v="35118"/>
    <n v="1"/>
    <x v="744"/>
    <n v="0"/>
    <e v="#DIV/0!"/>
    <n v="5740.164546"/>
    <e v="#DIV/0!"/>
    <n v="163.45362907910473"/>
    <x v="744"/>
    <n v="5"/>
  </r>
  <r>
    <s v="Online Behavior&gt;United States&gt;Autos and Vehicles&gt;Brands&gt;Rolls-Royce"/>
    <x v="0"/>
    <s v="Sign up Today - 10% Off"/>
    <s v="Tri-Cities"/>
    <x v="12"/>
    <x v="154"/>
    <x v="1"/>
    <x v="0"/>
    <n v="14047"/>
    <n v="0"/>
    <n v="9934"/>
    <n v="13377"/>
    <n v="1"/>
    <x v="745"/>
    <n v="0"/>
    <e v="#DIV/0!"/>
    <n v="5729.6507549999997"/>
    <e v="#DIV/0!"/>
    <n v="428.32105516932046"/>
    <x v="745"/>
    <n v="5"/>
  </r>
  <r>
    <s v="Online Behavior&gt;United States&gt;Intent&gt;Services&gt;Gas Stations"/>
    <x v="0"/>
    <s v="10% Discount - Ends 6/1"/>
    <s v="Savannah"/>
    <x v="8"/>
    <x v="262"/>
    <x v="2"/>
    <x v="0"/>
    <n v="3913"/>
    <n v="0"/>
    <n v="2727"/>
    <n v="3667"/>
    <n v="3"/>
    <x v="746"/>
    <n v="0"/>
    <e v="#DIV/0!"/>
    <n v="1909.0326050000001"/>
    <e v="#DIV/0!"/>
    <n v="1561.7937864739567"/>
    <x v="746"/>
    <n v="5"/>
  </r>
  <r>
    <s v="Online Behavior&gt;United States&gt;Beauty and Fitness&gt;Face and Body Care&gt;Perfumes and Fragrances"/>
    <x v="0"/>
    <s v="Sign up Now - 10% Off"/>
    <s v="Jacksonville"/>
    <x v="1"/>
    <x v="90"/>
    <x v="2"/>
    <x v="0"/>
    <n v="6899"/>
    <n v="0"/>
    <n v="5552"/>
    <n v="6680"/>
    <n v="1"/>
    <x v="747"/>
    <n v="0"/>
    <e v="#DIV/0!"/>
    <n v="5693.369224"/>
    <e v="#DIV/0!"/>
    <n v="852.30078203592814"/>
    <x v="747"/>
    <n v="5"/>
  </r>
  <r>
    <s v="Online Behavior&gt;United States&gt;Autos and Vehicles&gt;Brands&gt;Hummer"/>
    <x v="0"/>
    <s v="Sign up Now - 10% Off"/>
    <s v="Chicago"/>
    <x v="2"/>
    <x v="285"/>
    <x v="2"/>
    <x v="0"/>
    <n v="1313"/>
    <n v="0"/>
    <n v="631"/>
    <n v="1203"/>
    <n v="3"/>
    <x v="748"/>
    <n v="0"/>
    <e v="#DIV/0!"/>
    <n v="1876.1444920000001"/>
    <e v="#DIV/0!"/>
    <n v="4678.6645685785534"/>
    <x v="748"/>
    <n v="5"/>
  </r>
  <r>
    <s v="Online Behavior&gt;United States&gt;Travel&gt;Specialty Travel&gt;Sightseeing Tours"/>
    <x v="1"/>
    <s v="Sign up Today - 10% Off"/>
    <s v="Chicago"/>
    <x v="2"/>
    <x v="286"/>
    <x v="2"/>
    <x v="0"/>
    <n v="751"/>
    <n v="0"/>
    <n v="455"/>
    <n v="693"/>
    <n v="11"/>
    <x v="749"/>
    <n v="0"/>
    <e v="#DIV/0!"/>
    <n v="507.82579863636363"/>
    <e v="#DIV/0!"/>
    <n v="8060.7269624819619"/>
    <x v="749"/>
    <n v="5"/>
  </r>
  <r>
    <s v="Online Behavior&gt;United States&gt;Arts and Entertainment&gt;Offbeat"/>
    <x v="1"/>
    <s v="Subscribe Today - 10% Discount"/>
    <s v="Orlando-Daytona Beach"/>
    <x v="1"/>
    <x v="287"/>
    <x v="2"/>
    <x v="0"/>
    <n v="532"/>
    <n v="0"/>
    <n v="60"/>
    <n v="481"/>
    <n v="5"/>
    <x v="750"/>
    <n v="0"/>
    <e v="#DIV/0!"/>
    <n v="1100.1366994"/>
    <e v="#DIV/0!"/>
    <n v="11435.932426195426"/>
    <x v="750"/>
    <n v="4"/>
  </r>
  <r>
    <s v="Online Behavior&gt;United States&gt;The Changing Consumer&gt;Telehealth"/>
    <x v="2"/>
    <s v="Sign up Today - 10% Off"/>
    <s v="Jacksonville"/>
    <x v="1"/>
    <x v="138"/>
    <x v="4"/>
    <x v="0"/>
    <n v="19408"/>
    <n v="0"/>
    <n v="6596"/>
    <n v="13880"/>
    <n v="2"/>
    <x v="751"/>
    <n v="0"/>
    <e v="#DIV/0!"/>
    <n v="2746.410824"/>
    <e v="#DIV/0!"/>
    <n v="395.73642997118156"/>
    <x v="751"/>
    <n v="4"/>
  </r>
  <r>
    <s v="Online Behavior&gt;United States&gt;Food and Drink&gt;Beverages&gt;Wine"/>
    <x v="1"/>
    <s v="10% Discount - Ends 6/1"/>
    <s v="Savannah"/>
    <x v="8"/>
    <x v="154"/>
    <x v="5"/>
    <x v="0"/>
    <n v="7029"/>
    <n v="0"/>
    <n v="4183"/>
    <n v="6635"/>
    <n v="1"/>
    <x v="752"/>
    <n v="0"/>
    <e v="#DIV/0!"/>
    <n v="5455.9945250000001"/>
    <e v="#DIV/0!"/>
    <n v="822.30512810851542"/>
    <x v="752"/>
    <n v="5"/>
  </r>
  <r>
    <s v="Online Behavior&gt;United States&gt;The Changing Consumer&gt;Smart Home"/>
    <x v="0"/>
    <s v="Subscribe Today - 10% Discount"/>
    <s v="Grand Rapids-Kalamazoo"/>
    <x v="6"/>
    <x v="288"/>
    <x v="2"/>
    <x v="0"/>
    <n v="479"/>
    <n v="0"/>
    <n v="297"/>
    <n v="444"/>
    <n v="2"/>
    <x v="753"/>
    <n v="0"/>
    <e v="#DIV/0!"/>
    <n v="2714.0921090000002"/>
    <e v="#DIV/0!"/>
    <n v="12225.640130630632"/>
    <x v="753"/>
    <n v="4"/>
  </r>
  <r>
    <s v="Online Behavior&gt;United States&gt;Food and Drink&gt;Beverages&gt;Liquor"/>
    <x v="0"/>
    <s v="Subscribe Today - 10% Discount"/>
    <s v="Memphis"/>
    <x v="5"/>
    <x v="12"/>
    <x v="2"/>
    <x v="0"/>
    <n v="2471"/>
    <n v="0"/>
    <n v="1393"/>
    <n v="1959"/>
    <n v="2"/>
    <x v="754"/>
    <n v="0"/>
    <e v="#DIV/0!"/>
    <n v="2700.5252325000001"/>
    <e v="#DIV/0!"/>
    <n v="2757.0446477794794"/>
    <x v="754"/>
    <n v="5"/>
  </r>
  <r>
    <s v="Online Behavior&gt;United States&gt;Autos and Vehicles&gt;Brands&gt;Maserati"/>
    <x v="0"/>
    <s v="Sign up Today - 10% Off"/>
    <s v="Ft. Myers-Naples"/>
    <x v="1"/>
    <x v="16"/>
    <x v="1"/>
    <x v="0"/>
    <n v="38408"/>
    <n v="0"/>
    <n v="23557"/>
    <n v="35247"/>
    <n v="1"/>
    <x v="755"/>
    <n v="0"/>
    <e v="#DIV/0!"/>
    <n v="5343.4594310000002"/>
    <e v="#DIV/0!"/>
    <n v="151.60040375067382"/>
    <x v="755"/>
    <n v="5"/>
  </r>
  <r>
    <s v="Online Behavior&gt;United States&gt;Online Communities&gt;File Sharing and Hosting"/>
    <x v="0"/>
    <s v="Sign up Today - 10% Off"/>
    <s v="San Francisco"/>
    <x v="4"/>
    <x v="11"/>
    <x v="8"/>
    <x v="0"/>
    <n v="39794"/>
    <n v="0"/>
    <n v="17539"/>
    <n v="37664"/>
    <n v="12"/>
    <x v="756"/>
    <n v="0"/>
    <e v="#DIV/0!"/>
    <n v="444.04370949999998"/>
    <e v="#DIV/0!"/>
    <n v="141.47526853228544"/>
    <x v="756"/>
    <n v="4"/>
  </r>
  <r>
    <s v="Online Behavior&gt;United States&gt;Internet and Telecom&gt;Web Services"/>
    <x v="0"/>
    <s v="Subscribe Today - 10% Discount"/>
    <s v="Miami-Ft. Lauderdale"/>
    <x v="1"/>
    <x v="50"/>
    <x v="4"/>
    <x v="0"/>
    <n v="14581"/>
    <n v="0"/>
    <n v="3821"/>
    <n v="12741"/>
    <n v="1"/>
    <x v="757"/>
    <n v="0"/>
    <e v="#DIV/0!"/>
    <n v="5296.9700910000001"/>
    <e v="#DIV/0!"/>
    <n v="415.74209959971745"/>
    <x v="757"/>
    <n v="4"/>
  </r>
  <r>
    <s v="Online Behavior&gt;United States&gt;The Changing Consumer&gt;Home Entertaining"/>
    <x v="1"/>
    <s v="Sign up Today - 10% Off"/>
    <s v="Flint-Saginaw-Bay City"/>
    <x v="6"/>
    <x v="6"/>
    <x v="2"/>
    <x v="0"/>
    <n v="14730"/>
    <n v="0"/>
    <n v="6410"/>
    <n v="10860"/>
    <n v="1"/>
    <x v="758"/>
    <n v="0"/>
    <e v="#DIV/0!"/>
    <n v="5287.5675279999996"/>
    <e v="#DIV/0!"/>
    <n v="486.88467108655612"/>
    <x v="758"/>
    <n v="4"/>
  </r>
  <r>
    <s v="Online Behavior&gt;United States&gt;Food and Drink&gt;Restaurants&gt;Pizzerias"/>
    <x v="1"/>
    <s v="Subscribe Today - 10% Discount"/>
    <s v="New York City"/>
    <x v="0"/>
    <x v="289"/>
    <x v="4"/>
    <x v="0"/>
    <n v="920"/>
    <n v="0"/>
    <n v="531"/>
    <n v="766"/>
    <n v="6"/>
    <x v="759"/>
    <n v="0"/>
    <e v="#DIV/0!"/>
    <n v="877.13416066666662"/>
    <e v="#DIV/0!"/>
    <n v="6870.5025639686683"/>
    <x v="759"/>
    <n v="5"/>
  </r>
  <r>
    <s v="Online Behavior&gt;United States&gt;Online Communities&gt;Photo and Video Sharing"/>
    <x v="1"/>
    <s v="Subscribe Today - 10% Discount"/>
    <s v="Chicago"/>
    <x v="2"/>
    <x v="196"/>
    <x v="5"/>
    <x v="0"/>
    <n v="12136"/>
    <n v="0"/>
    <n v="2089"/>
    <n v="11500"/>
    <n v="1"/>
    <x v="760"/>
    <n v="0"/>
    <e v="#DIV/0!"/>
    <n v="5224.9324630000001"/>
    <e v="#DIV/0!"/>
    <n v="454.34195330434784"/>
    <x v="760"/>
    <n v="4"/>
  </r>
  <r>
    <s v="Online Behavior&gt;United States&gt;Travel&gt;Specialty Travel&gt;Vineyards and Wine Tourism"/>
    <x v="1"/>
    <s v="Sign up Now - 10% Off"/>
    <s v="Grand Rapids-Kalamazoo"/>
    <x v="6"/>
    <x v="162"/>
    <x v="2"/>
    <x v="1"/>
    <n v="511"/>
    <n v="0"/>
    <n v="232"/>
    <n v="441"/>
    <n v="2"/>
    <x v="761"/>
    <n v="0"/>
    <e v="#DIV/0!"/>
    <n v="2604.8176939999998"/>
    <e v="#DIV/0!"/>
    <n v="11813.232172335602"/>
    <x v="761"/>
    <n v="5"/>
  </r>
  <r>
    <s v="Online Behavior&gt;United States&gt;Food and Drink&gt;Restaurants&gt;Catering"/>
    <x v="1"/>
    <s v="Sign up Now - 10% Off"/>
    <s v="Chicago"/>
    <x v="2"/>
    <x v="290"/>
    <x v="2"/>
    <x v="1"/>
    <n v="283"/>
    <n v="0"/>
    <n v="86"/>
    <n v="248"/>
    <n v="2"/>
    <x v="762"/>
    <n v="0"/>
    <e v="#DIV/0!"/>
    <n v="2588.3916365"/>
    <e v="#DIV/0!"/>
    <n v="20874.126100806454"/>
    <x v="762"/>
    <n v="5"/>
  </r>
  <r>
    <s v="Online Behavior&gt;United States&gt;Validated Demographic&gt;Gender and Age Combined&gt;Females 25-54"/>
    <x v="1"/>
    <s v="Sign up Today - 10% Off"/>
    <s v="New York City"/>
    <x v="0"/>
    <x v="291"/>
    <x v="5"/>
    <x v="1"/>
    <n v="512"/>
    <n v="0"/>
    <n v="383"/>
    <n v="488"/>
    <n v="11"/>
    <x v="763"/>
    <n v="0"/>
    <e v="#DIV/0!"/>
    <n v="468.7051560909091"/>
    <e v="#DIV/0!"/>
    <n v="10565.0752397541"/>
    <x v="763"/>
    <n v="5"/>
  </r>
  <r>
    <s v="Online Behavior&gt;United States&gt;Sports&gt;Extreme Sports"/>
    <x v="1"/>
    <s v="Subscribe Today - 10% Discount"/>
    <s v="Miami-Ft. Lauderdale"/>
    <x v="1"/>
    <x v="142"/>
    <x v="9"/>
    <x v="0"/>
    <n v="14599"/>
    <n v="0"/>
    <n v="1779"/>
    <n v="12458"/>
    <n v="1"/>
    <x v="764"/>
    <n v="0"/>
    <e v="#DIV/0!"/>
    <n v="5092.5592150000002"/>
    <e v="#DIV/0!"/>
    <n v="408.77823205972066"/>
    <x v="764"/>
    <n v="4"/>
  </r>
  <r>
    <s v="Online Behavior&gt;United States&gt;Autos and Vehicles&gt;Brands&gt;Lexus"/>
    <x v="1"/>
    <s v="Subscribe Today - 10% Discount"/>
    <s v="Chicago"/>
    <x v="2"/>
    <x v="292"/>
    <x v="8"/>
    <x v="1"/>
    <n v="17075"/>
    <n v="0"/>
    <n v="5508"/>
    <n v="11539"/>
    <n v="10"/>
    <x v="765"/>
    <n v="0"/>
    <e v="#DIV/0!"/>
    <n v="508.60899600000005"/>
    <e v="#DIV/0!"/>
    <n v="440.77389375162494"/>
    <x v="765"/>
    <n v="5"/>
  </r>
  <r>
    <s v="Online Behavior&gt;United States&gt;Validated Demographic&gt;Gender and Age Combined&gt;Males 65 or older"/>
    <x v="0"/>
    <s v="Subscribe Today - 10% Discount"/>
    <s v="Nashville"/>
    <x v="5"/>
    <x v="29"/>
    <x v="1"/>
    <x v="0"/>
    <n v="3316"/>
    <n v="0"/>
    <n v="1436"/>
    <n v="2554"/>
    <n v="2"/>
    <x v="766"/>
    <n v="0"/>
    <e v="#DIV/0!"/>
    <n v="2524.5238359999998"/>
    <e v="#DIV/0!"/>
    <n v="1976.9176476115895"/>
    <x v="766"/>
    <n v="5"/>
  </r>
  <r>
    <s v="Online Behavior&gt;United States&gt;Validated Demographic&gt;Gender and Age Combined&gt;Females 18-34"/>
    <x v="0"/>
    <s v="Sign up Today - 10% Off"/>
    <s v="Peoria-Bloomington"/>
    <x v="2"/>
    <x v="293"/>
    <x v="12"/>
    <x v="0"/>
    <n v="223"/>
    <n v="0"/>
    <n v="142"/>
    <n v="193"/>
    <n v="4"/>
    <x v="767"/>
    <n v="0"/>
    <e v="#DIV/0!"/>
    <n v="1253.395184"/>
    <e v="#DIV/0!"/>
    <n v="25977.102259067356"/>
    <x v="767"/>
    <n v="5"/>
  </r>
  <r>
    <s v="Online Behavior&gt;United States&gt;Intent&gt;Auto Buyers&gt;Category&gt;Van"/>
    <x v="0"/>
    <s v="Sign up Today - 10% Off"/>
    <s v="Chicago"/>
    <x v="2"/>
    <x v="294"/>
    <x v="2"/>
    <x v="0"/>
    <n v="9153"/>
    <n v="0"/>
    <n v="4345"/>
    <n v="8376"/>
    <n v="14"/>
    <x v="768"/>
    <n v="0"/>
    <e v="#DIV/0!"/>
    <n v="357.68041464285716"/>
    <e v="#DIV/0!"/>
    <n v="597.84214481852916"/>
    <x v="768"/>
    <n v="6"/>
  </r>
  <r>
    <s v="Online Behavior&gt;United States&gt;Intent&gt;Shopping&gt;CPG&gt;Grocery"/>
    <x v="1"/>
    <s v="Subscribe Today - 10% Discount"/>
    <s v="New York City"/>
    <x v="0"/>
    <x v="295"/>
    <x v="2"/>
    <x v="0"/>
    <n v="8111"/>
    <n v="0"/>
    <n v="4346"/>
    <n v="6163"/>
    <n v="1"/>
    <x v="769"/>
    <n v="0"/>
    <e v="#DIV/0!"/>
    <n v="5000.7612060000001"/>
    <e v="#DIV/0!"/>
    <n v="811.41671361349995"/>
    <x v="769"/>
    <n v="6"/>
  </r>
  <r>
    <s v="Online Behavior&gt;United States&gt;Intent&gt;Travel&gt;Amusement Parks"/>
    <x v="0"/>
    <s v="10% Discount - Ends 6/1"/>
    <s v="Nashville"/>
    <x v="5"/>
    <x v="296"/>
    <x v="2"/>
    <x v="0"/>
    <n v="2775"/>
    <n v="0"/>
    <n v="1986"/>
    <n v="2626"/>
    <n v="2"/>
    <x v="770"/>
    <n v="0"/>
    <e v="#DIV/0!"/>
    <n v="2481.4779779999999"/>
    <e v="#DIV/0!"/>
    <n v="1889.9299146991621"/>
    <x v="770"/>
    <n v="5"/>
  </r>
  <r>
    <s v="Online Behavior&gt;United States&gt;Validated Demographic&gt;Gender and Age Combined&gt;Males 18-44"/>
    <x v="1"/>
    <s v="10% Discount - Ends 6/1"/>
    <s v="Chicago"/>
    <x v="2"/>
    <x v="50"/>
    <x v="1"/>
    <x v="2"/>
    <n v="10815"/>
    <n v="0"/>
    <n v="4321"/>
    <n v="9646"/>
    <n v="2"/>
    <x v="771"/>
    <n v="0"/>
    <e v="#DIV/0!"/>
    <n v="2460.7974214999999"/>
    <e v="#DIV/0!"/>
    <n v="510.22131899232835"/>
    <x v="771"/>
    <n v="5"/>
  </r>
  <r>
    <s v="Online Behavior&gt;United States&gt;B2B&gt;Occupation&gt;Musician"/>
    <x v="1"/>
    <s v="Subscribe Today - 10% Discount"/>
    <s v="Chicago"/>
    <x v="2"/>
    <x v="248"/>
    <x v="7"/>
    <x v="1"/>
    <n v="17833"/>
    <n v="0"/>
    <n v="8670"/>
    <n v="16871"/>
    <n v="1"/>
    <x v="772"/>
    <n v="0"/>
    <e v="#DIV/0!"/>
    <n v="4899.1559550000002"/>
    <e v="#DIV/0!"/>
    <n v="290.38918588109772"/>
    <x v="772"/>
    <n v="5"/>
  </r>
  <r>
    <s v="Online Behavior&gt;United States&gt;Intent&gt;Services&gt;Home and Garden"/>
    <x v="0"/>
    <s v="Sign up Now - 10% Off"/>
    <s v="San Francisco"/>
    <x v="4"/>
    <x v="248"/>
    <x v="13"/>
    <x v="0"/>
    <n v="7116"/>
    <n v="0"/>
    <n v="4758"/>
    <n v="6661"/>
    <n v="1"/>
    <x v="773"/>
    <n v="0"/>
    <e v="#DIV/0!"/>
    <n v="4878.4591460000001"/>
    <e v="#DIV/0!"/>
    <n v="732.39140459390478"/>
    <x v="773"/>
    <n v="5"/>
  </r>
  <r>
    <s v="Online Behavior&gt;United States&gt;The Changing Consumer&gt;Home Fitness and Health&gt;Wellness"/>
    <x v="0"/>
    <s v="Subscribe Today - 10% Discount"/>
    <s v="Chicago"/>
    <x v="2"/>
    <x v="297"/>
    <x v="5"/>
    <x v="0"/>
    <n v="3148"/>
    <n v="0"/>
    <n v="704"/>
    <n v="2643"/>
    <n v="2"/>
    <x v="774"/>
    <n v="0"/>
    <e v="#DIV/0!"/>
    <n v="2398.2682209999998"/>
    <e v="#DIV/0!"/>
    <n v="1814.8075830495648"/>
    <x v="774"/>
    <n v="5"/>
  </r>
  <r>
    <s v="Online Behavior&gt;United States&gt;Validated Demographic&gt;Age&gt;25-44"/>
    <x v="2"/>
    <s v="Sign up Today - 10% Off"/>
    <s v="Grand Rapids-Kalamazoo"/>
    <x v="6"/>
    <x v="298"/>
    <x v="5"/>
    <x v="0"/>
    <n v="114723"/>
    <n v="0"/>
    <n v="14623"/>
    <n v="92063"/>
    <n v="4"/>
    <x v="775"/>
    <n v="0"/>
    <e v="#DIV/0!"/>
    <n v="1185.50215925"/>
    <e v="#DIV/0!"/>
    <n v="51.508300153155986"/>
    <x v="775"/>
    <n v="5"/>
  </r>
  <r>
    <s v="Online Behavior&gt;United States&gt;Intent&gt;Services&gt;Elderly People Care"/>
    <x v="1"/>
    <s v="Subscribe Today - 10% Discount"/>
    <s v="New York City"/>
    <x v="0"/>
    <x v="166"/>
    <x v="4"/>
    <x v="0"/>
    <n v="1571"/>
    <n v="0"/>
    <n v="1304"/>
    <n v="1513"/>
    <n v="6"/>
    <x v="776"/>
    <n v="0"/>
    <e v="#DIV/0!"/>
    <n v="780.5392579999999"/>
    <e v="#DIV/0!"/>
    <n v="3095.3308314606738"/>
    <x v="776"/>
    <n v="5"/>
  </r>
  <r>
    <s v="Online Behavior&gt;United States&gt;Hobbies and Leisure&gt;Contests, Awards and Prizes"/>
    <x v="1"/>
    <s v="Subscribe Today - 10% Discount"/>
    <s v="Los Angeles"/>
    <x v="4"/>
    <x v="174"/>
    <x v="1"/>
    <x v="2"/>
    <n v="120902"/>
    <n v="0"/>
    <n v="9964"/>
    <n v="70015"/>
    <n v="15"/>
    <x v="777"/>
    <n v="0"/>
    <e v="#DIV/0!"/>
    <n v="311.26757793333331"/>
    <e v="#DIV/0!"/>
    <n v="66.685905434549738"/>
    <x v="777"/>
    <n v="4"/>
  </r>
  <r>
    <s v="Online Behavior&gt;United States&gt;Beauty and Fitness&gt;Fitness&gt;Fitness Equipment and Accessories"/>
    <x v="1"/>
    <s v="Sign up Now - 10% Off"/>
    <s v="Tampa-St Petersburg (Sarasota)"/>
    <x v="1"/>
    <x v="242"/>
    <x v="2"/>
    <x v="1"/>
    <n v="24875"/>
    <n v="0"/>
    <n v="14213"/>
    <n v="23455"/>
    <n v="1"/>
    <x v="778"/>
    <n v="0"/>
    <e v="#DIV/0!"/>
    <n v="4652.2420510000002"/>
    <e v="#DIV/0!"/>
    <n v="198.34756133020679"/>
    <x v="778"/>
    <n v="5"/>
  </r>
  <r>
    <s v="Online Behavior&gt;United States&gt;The Changing Consumer&gt;Video Conferencing"/>
    <x v="1"/>
    <s v="10% Discount - Ends 6/1"/>
    <s v="Los Angeles"/>
    <x v="4"/>
    <x v="299"/>
    <x v="1"/>
    <x v="0"/>
    <n v="8"/>
    <n v="0"/>
    <n v="6"/>
    <n v="8"/>
    <n v="4"/>
    <x v="779"/>
    <n v="0"/>
    <e v="#DIV/0!"/>
    <n v="1147.30617975"/>
    <e v="#DIV/0!"/>
    <n v="573653.08987499995"/>
    <x v="779"/>
    <n v="4"/>
  </r>
  <r>
    <s v="Online Behavior&gt;United States&gt;The Changing Consumer&gt;B2B Work from Home"/>
    <x v="0"/>
    <s v="10% Discount - Ends 6/1"/>
    <s v="New York City"/>
    <x v="0"/>
    <x v="174"/>
    <x v="1"/>
    <x v="0"/>
    <n v="45397"/>
    <n v="0"/>
    <n v="716"/>
    <n v="6867"/>
    <n v="15"/>
    <x v="780"/>
    <n v="0"/>
    <e v="#DIV/0!"/>
    <n v="305.49688606666666"/>
    <e v="#DIV/0!"/>
    <n v="667.3151727100626"/>
    <x v="780"/>
    <n v="4"/>
  </r>
  <r>
    <s v="Online Behavior&gt;United States&gt;Sports&gt;Water Sports&gt;Surfing"/>
    <x v="1"/>
    <s v="Sign up Today - 10% Off"/>
    <s v="Nashville"/>
    <x v="5"/>
    <x v="11"/>
    <x v="2"/>
    <x v="0"/>
    <n v="23983"/>
    <n v="0"/>
    <n v="464"/>
    <n v="19802"/>
    <n v="5"/>
    <x v="781"/>
    <n v="0"/>
    <e v="#DIV/0!"/>
    <n v="914.86965400000008"/>
    <e v="#DIV/0!"/>
    <n v="231.0043566306434"/>
    <x v="781"/>
    <n v="5"/>
  </r>
  <r>
    <s v="Online Behavior&gt;United States&gt;Autos and Vehicles&gt;Brands&gt;Lincoln"/>
    <x v="1"/>
    <s v="10% Discount - Ends 6/1"/>
    <s v="South Bend-Elkhart"/>
    <x v="3"/>
    <x v="300"/>
    <x v="1"/>
    <x v="1"/>
    <n v="2156"/>
    <n v="0"/>
    <n v="747"/>
    <n v="1970"/>
    <n v="2"/>
    <x v="782"/>
    <n v="0"/>
    <e v="#DIV/0!"/>
    <n v="2287.0565175000002"/>
    <e v="#DIV/0!"/>
    <n v="2321.8847893401016"/>
    <x v="782"/>
    <n v="5"/>
  </r>
  <r>
    <s v="Online Behavior&gt;United States&gt;Autos and Vehicles&gt;Brands&gt;Subaru"/>
    <x v="0"/>
    <s v="Subscribe Today - 10% Discount"/>
    <s v="Los Angeles"/>
    <x v="4"/>
    <x v="301"/>
    <x v="2"/>
    <x v="0"/>
    <n v="747"/>
    <n v="0"/>
    <n v="239"/>
    <n v="639"/>
    <n v="5"/>
    <x v="783"/>
    <n v="0"/>
    <e v="#DIV/0!"/>
    <n v="904.17450339999994"/>
    <e v="#DIV/0!"/>
    <n v="7074.9178669796556"/>
    <x v="783"/>
    <n v="5"/>
  </r>
  <r>
    <s v="US&gt;Reach&gt;Sociodemographic&gt;Age&gt;50-54"/>
    <x v="2"/>
    <s v="Sign up Now - 10% Off"/>
    <s v="Nashville"/>
    <x v="5"/>
    <x v="211"/>
    <x v="1"/>
    <x v="0"/>
    <n v="1005"/>
    <n v="0"/>
    <n v="568"/>
    <n v="826"/>
    <n v="10"/>
    <x v="784"/>
    <n v="0"/>
    <e v="#DIV/0!"/>
    <n v="451.49293930000005"/>
    <e v="#DIV/0!"/>
    <n v="5466.0162142857143"/>
    <x v="784"/>
    <n v="5"/>
  </r>
  <r>
    <s v="Online Behavior&gt;United States&gt;The Changing Consumer&gt;Athleisure"/>
    <x v="1"/>
    <s v="Subscribe Today - 10% Discount"/>
    <s v="Chicago"/>
    <x v="2"/>
    <x v="302"/>
    <x v="10"/>
    <x v="1"/>
    <n v="394"/>
    <n v="0"/>
    <n v="246"/>
    <n v="316"/>
    <n v="2"/>
    <x v="785"/>
    <n v="0"/>
    <e v="#DIV/0!"/>
    <n v="2245.1229199999998"/>
    <e v="#DIV/0!"/>
    <n v="14209.638734177213"/>
    <x v="785"/>
    <n v="4"/>
  </r>
  <r>
    <s v="US&gt;Reach&gt;Sociodemographic&gt;Marital Status&gt;Married"/>
    <x v="0"/>
    <s v="Subscribe Today - 10% Discount"/>
    <s v="New York City"/>
    <x v="0"/>
    <x v="303"/>
    <x v="12"/>
    <x v="0"/>
    <n v="31"/>
    <n v="0"/>
    <n v="13"/>
    <n v="26"/>
    <n v="1"/>
    <x v="786"/>
    <n v="0"/>
    <e v="#DIV/0!"/>
    <n v="4487.2815950000004"/>
    <e v="#DIV/0!"/>
    <n v="172587.75365384616"/>
    <x v="786"/>
    <n v="5"/>
  </r>
  <r>
    <s v="Online Behavior&gt;United States&gt;The Changing Consumer&gt;Urban Farmer"/>
    <x v="0"/>
    <s v="10% Discount - Ends 6/1"/>
    <s v="Lansing"/>
    <x v="6"/>
    <x v="304"/>
    <x v="2"/>
    <x v="0"/>
    <n v="69"/>
    <n v="0"/>
    <n v="55"/>
    <n v="64"/>
    <n v="15"/>
    <x v="787"/>
    <n v="0"/>
    <e v="#DIV/0!"/>
    <n v="298.82255879999997"/>
    <e v="#DIV/0!"/>
    <n v="70036.537218750003"/>
    <x v="787"/>
    <n v="4"/>
  </r>
  <r>
    <s v="Online Behavior&gt;United States&gt;Autos and Vehicles&gt;Brands&gt;Chrysler"/>
    <x v="0"/>
    <s v="Subscribe Today - 10% Discount"/>
    <s v="New York City"/>
    <x v="0"/>
    <x v="95"/>
    <x v="1"/>
    <x v="0"/>
    <n v="3124"/>
    <n v="0"/>
    <n v="1710"/>
    <n v="2916"/>
    <n v="8"/>
    <x v="788"/>
    <n v="0"/>
    <e v="#DIV/0!"/>
    <n v="558.23719637500005"/>
    <e v="#DIV/0!"/>
    <n v="1531.5149420438959"/>
    <x v="788"/>
    <n v="5"/>
  </r>
  <r>
    <s v="Online Behavior&gt;United States&gt;Life Event&gt;Retirement Planning"/>
    <x v="0"/>
    <s v="Sign up Now - 10% Off"/>
    <s v="Savannah"/>
    <x v="8"/>
    <x v="305"/>
    <x v="3"/>
    <x v="0"/>
    <n v="2795"/>
    <n v="0"/>
    <n v="1911"/>
    <n v="2685"/>
    <n v="2"/>
    <x v="789"/>
    <n v="0"/>
    <e v="#DIV/0!"/>
    <n v="2184.5473314999999"/>
    <e v="#DIV/0!"/>
    <n v="1627.2233381750466"/>
    <x v="789"/>
    <n v="4"/>
  </r>
  <r>
    <s v="Online Behavior&gt;United States&gt;B2B&gt;Occupation&gt;RealEstateAgent"/>
    <x v="1"/>
    <s v="Sign up Now - 10% Off"/>
    <s v="Miami-Ft. Lauderdale"/>
    <x v="1"/>
    <x v="306"/>
    <x v="2"/>
    <x v="0"/>
    <n v="3617"/>
    <n v="0"/>
    <n v="2362"/>
    <n v="3513"/>
    <n v="8"/>
    <x v="790"/>
    <n v="0"/>
    <e v="#DIV/0!"/>
    <n v="517.11410149999995"/>
    <e v="#DIV/0!"/>
    <n v="1177.6011420438369"/>
    <x v="790"/>
    <n v="5"/>
  </r>
  <r>
    <s v="Online Behavior&gt;United States&gt;Finance&gt;Insurance&gt;Vehicle Insurance"/>
    <x v="0"/>
    <s v="10% Discount - Ends 6/1"/>
    <s v="Chicago"/>
    <x v="2"/>
    <x v="307"/>
    <x v="2"/>
    <x v="0"/>
    <n v="272"/>
    <n v="0"/>
    <n v="196"/>
    <n v="263"/>
    <n v="13"/>
    <x v="791"/>
    <n v="0"/>
    <e v="#DIV/0!"/>
    <n v="314.67462969230769"/>
    <e v="#DIV/0!"/>
    <n v="15554.259262357416"/>
    <x v="791"/>
    <n v="5"/>
  </r>
  <r>
    <s v="Online Behavior&gt;United States&gt;Beauty and Fitness&gt;Hair Care&gt;Hair Loss"/>
    <x v="2"/>
    <s v="10% Discount - Ends 6/1"/>
    <s v="Jacksonville"/>
    <x v="1"/>
    <x v="308"/>
    <x v="8"/>
    <x v="0"/>
    <n v="2060"/>
    <n v="0"/>
    <n v="542"/>
    <n v="1543"/>
    <n v="3"/>
    <x v="792"/>
    <n v="0"/>
    <e v="#DIV/0!"/>
    <n v="1351.7497660000001"/>
    <e v="#DIV/0!"/>
    <n v="2628.158974724563"/>
    <x v="792"/>
    <n v="5"/>
  </r>
  <r>
    <s v="US&gt;Reach&gt;Propensity Models&gt;Hobbies and Interest&gt;Music&gt;Listens to Hip Hop Music"/>
    <x v="0"/>
    <s v="10% Discount - Ends 6/1"/>
    <s v="Nashville"/>
    <x v="5"/>
    <x v="101"/>
    <x v="4"/>
    <x v="0"/>
    <n v="918"/>
    <n v="0"/>
    <n v="164"/>
    <n v="359"/>
    <n v="2"/>
    <x v="793"/>
    <n v="0"/>
    <e v="#DIV/0!"/>
    <n v="1997.9259195"/>
    <e v="#DIV/0!"/>
    <n v="11130.506515320334"/>
    <x v="793"/>
    <n v="6"/>
  </r>
  <r>
    <s v="US&gt;Reach&gt;Propensity Models&gt;Coupon Users"/>
    <x v="0"/>
    <s v="Sign up Today - 10% Off"/>
    <s v="Nashville"/>
    <x v="5"/>
    <x v="309"/>
    <x v="12"/>
    <x v="0"/>
    <n v="1698"/>
    <n v="0"/>
    <n v="914"/>
    <n v="1564"/>
    <n v="4"/>
    <x v="794"/>
    <n v="0"/>
    <e v="#DIV/0!"/>
    <n v="986.39777724999999"/>
    <e v="#DIV/0!"/>
    <n v="2522.756463554987"/>
    <x v="794"/>
    <n v="4"/>
  </r>
  <r>
    <s v="Online Behavior&gt;United States&gt;The Changing Consumer&gt;College Living"/>
    <x v="1"/>
    <s v="10% Discount - Ends 6/1"/>
    <s v="Augusta"/>
    <x v="8"/>
    <x v="310"/>
    <x v="2"/>
    <x v="1"/>
    <n v="416"/>
    <n v="0"/>
    <n v="315"/>
    <n v="329"/>
    <n v="2"/>
    <x v="795"/>
    <n v="0"/>
    <e v="#DIV/0!"/>
    <n v="1964.9128920000001"/>
    <e v="#DIV/0!"/>
    <n v="11944.7592218845"/>
    <x v="795"/>
    <n v="4"/>
  </r>
  <r>
    <s v="Online Behavior&gt;United States&gt;The Changing Consumer&gt;Home Learning"/>
    <x v="0"/>
    <s v="Sign up Now - 10% Off"/>
    <s v="Chicago"/>
    <x v="2"/>
    <x v="101"/>
    <x v="2"/>
    <x v="0"/>
    <n v="12209"/>
    <n v="0"/>
    <n v="3976"/>
    <n v="5219"/>
    <n v="1"/>
    <x v="796"/>
    <n v="0"/>
    <e v="#DIV/0!"/>
    <n v="3818.9551820000001"/>
    <e v="#DIV/0!"/>
    <n v="731.74078980647641"/>
    <x v="796"/>
    <n v="4"/>
  </r>
  <r>
    <s v="US&gt;Reach&gt;Propensity Models&gt;Hobbies and Interest&gt;Sports&gt;Plays Hockey"/>
    <x v="0"/>
    <s v="10% Discount - Ends 6/1"/>
    <s v="Chattanooga"/>
    <x v="5"/>
    <x v="311"/>
    <x v="2"/>
    <x v="0"/>
    <n v="41"/>
    <n v="0"/>
    <n v="2"/>
    <n v="36"/>
    <n v="3"/>
    <x v="797"/>
    <n v="0"/>
    <e v="#DIV/0!"/>
    <n v="1230.9890379999999"/>
    <e v="#DIV/0!"/>
    <n v="102582.41983333333"/>
    <x v="797"/>
    <n v="6"/>
  </r>
  <r>
    <s v="US&gt;Reach&gt;Propensity Models&gt;Lifestyle&gt;Attend&gt;Order Educational Programs"/>
    <x v="0"/>
    <s v="Subscribe Today - 10% Discount"/>
    <s v="Nashville"/>
    <x v="5"/>
    <x v="312"/>
    <x v="2"/>
    <x v="0"/>
    <n v="929"/>
    <n v="0"/>
    <n v="753"/>
    <n v="868"/>
    <n v="9"/>
    <x v="798"/>
    <n v="0"/>
    <e v="#DIV/0!"/>
    <n v="409.24900166666669"/>
    <e v="#DIV/0!"/>
    <n v="4243.3652246543779"/>
    <x v="798"/>
    <n v="6"/>
  </r>
  <r>
    <s v="US&gt;Reach&gt;Propensity Models&gt;Hobbies and Interest&gt;Music&gt;Listens to Alternative Music"/>
    <x v="0"/>
    <s v="Sign up Now - 10% Off"/>
    <s v="Orlando-Daytona Beach"/>
    <x v="1"/>
    <x v="30"/>
    <x v="2"/>
    <x v="0"/>
    <n v="4547"/>
    <n v="0"/>
    <n v="3228"/>
    <n v="4323"/>
    <n v="10"/>
    <x v="799"/>
    <n v="0"/>
    <e v="#DIV/0!"/>
    <n v="365.03653930000002"/>
    <e v="#DIV/0!"/>
    <n v="844.40559634513068"/>
    <x v="799"/>
    <n v="6"/>
  </r>
  <r>
    <s v="Online Behavior&gt;United States&gt;B2B&gt;Occupation&gt;IndustrialEngineer"/>
    <x v="1"/>
    <s v="Subscribe Today - 10% Discount"/>
    <s v="New York City"/>
    <x v="0"/>
    <x v="313"/>
    <x v="9"/>
    <x v="0"/>
    <n v="1896"/>
    <n v="0"/>
    <n v="1417"/>
    <n v="1799"/>
    <n v="3"/>
    <x v="800"/>
    <n v="0"/>
    <e v="#DIV/0!"/>
    <n v="1181.9082060000001"/>
    <e v="#DIV/0!"/>
    <n v="1970.9419777654252"/>
    <x v="800"/>
    <n v="5"/>
  </r>
  <r>
    <s v="US&gt;Reach&gt;Propensity Models&gt;Travel&gt;High Frequency Travel&gt;Domestic Vacationer"/>
    <x v="0"/>
    <s v="Subscribe Today - 10% Discount"/>
    <s v="Orlando-Daytona Beach"/>
    <x v="1"/>
    <x v="314"/>
    <x v="2"/>
    <x v="0"/>
    <n v="5732"/>
    <n v="0"/>
    <n v="2741"/>
    <n v="5257"/>
    <n v="2"/>
    <x v="801"/>
    <n v="0"/>
    <e v="#DIV/0!"/>
    <n v="1748.023445"/>
    <e v="#DIV/0!"/>
    <n v="665.02699067909452"/>
    <x v="801"/>
    <n v="6"/>
  </r>
  <r>
    <s v="US&gt;Reach&gt;Sociodemographic&gt;Household Income&gt;$25,000-$49,999"/>
    <x v="0"/>
    <s v="Subscribe Today - 10% Discount"/>
    <s v="Miami-Ft. Lauderdale"/>
    <x v="1"/>
    <x v="35"/>
    <x v="4"/>
    <x v="0"/>
    <n v="3438"/>
    <n v="0"/>
    <n v="1290"/>
    <n v="2475"/>
    <n v="10"/>
    <x v="802"/>
    <n v="0"/>
    <e v="#DIV/0!"/>
    <n v="347.06319830000001"/>
    <e v="#DIV/0!"/>
    <n v="1402.2755486868687"/>
    <x v="802"/>
    <n v="5"/>
  </r>
  <r>
    <s v="US&gt;Demo&gt;Age&gt;18+"/>
    <x v="1"/>
    <s v="Subscribe Today - 10% Discount"/>
    <s v="New York City"/>
    <x v="0"/>
    <x v="315"/>
    <x v="2"/>
    <x v="1"/>
    <n v="3762"/>
    <n v="0"/>
    <n v="1562"/>
    <n v="2423"/>
    <n v="15"/>
    <x v="803"/>
    <n v="0"/>
    <e v="#DIV/0!"/>
    <n v="230.20923873333334"/>
    <e v="#DIV/0!"/>
    <n v="1425.1500540652085"/>
    <x v="803"/>
    <n v="4"/>
  </r>
  <r>
    <s v="US&gt;Reach&gt;Propensity Models&gt;Hobbies and Interest&gt;Music&gt;Streaming"/>
    <x v="0"/>
    <s v="Subscribe Today - 10% Discount"/>
    <s v="Chattanooga"/>
    <x v="5"/>
    <x v="26"/>
    <x v="4"/>
    <x v="0"/>
    <n v="15399"/>
    <n v="0"/>
    <n v="3398"/>
    <n v="4324"/>
    <n v="1"/>
    <x v="804"/>
    <n v="0"/>
    <e v="#DIV/0!"/>
    <n v="3434.7311530000002"/>
    <e v="#DIV/0!"/>
    <n v="794.34115471785378"/>
    <x v="804"/>
    <n v="6"/>
  </r>
  <r>
    <s v="Online Behavior&gt;United States&gt;B2B&gt;Occupation&gt;Recruiter"/>
    <x v="0"/>
    <s v="Sign up Now - 10% Off"/>
    <s v="Tallahassee"/>
    <x v="11"/>
    <x v="237"/>
    <x v="0"/>
    <x v="0"/>
    <n v="2328"/>
    <n v="0"/>
    <n v="1400"/>
    <n v="2171"/>
    <n v="2"/>
    <x v="805"/>
    <n v="0"/>
    <e v="#DIV/0!"/>
    <n v="1712.0035"/>
    <e v="#DIV/0!"/>
    <n v="1577.1566098572087"/>
    <x v="805"/>
    <n v="5"/>
  </r>
  <r>
    <s v="Online Behavior&gt;United States&gt;Autos and Vehicles&gt;Vehicle Shopping&gt;Vehicle Specs, Reviews and Comparisons"/>
    <x v="1"/>
    <s v="Sign up Today - 10% Off"/>
    <s v="Knoxville"/>
    <x v="5"/>
    <x v="316"/>
    <x v="1"/>
    <x v="1"/>
    <n v="2230"/>
    <n v="0"/>
    <n v="97"/>
    <n v="356"/>
    <n v="2"/>
    <x v="806"/>
    <n v="0"/>
    <e v="#DIV/0!"/>
    <n v="1684.3555289999999"/>
    <e v="#DIV/0!"/>
    <n v="9462.6715112359543"/>
    <x v="806"/>
    <n v="5"/>
  </r>
  <r>
    <s v="Online Behavior&gt;United States&gt;Validated Demographic&gt;Age&gt;45-54"/>
    <x v="1"/>
    <s v="Subscribe Today - 10% Discount"/>
    <s v="Memphis"/>
    <x v="5"/>
    <x v="148"/>
    <x v="4"/>
    <x v="1"/>
    <n v="3290"/>
    <n v="0"/>
    <n v="1847"/>
    <n v="2887"/>
    <n v="1"/>
    <x v="807"/>
    <n v="0"/>
    <e v="#DIV/0!"/>
    <n v="3357.0793480000002"/>
    <e v="#DIV/0!"/>
    <n v="1162.8262376169034"/>
    <x v="807"/>
    <n v="5"/>
  </r>
  <r>
    <s v="US&gt;Reach&gt;Propensity Models&gt;Lifestyle&gt;Loyalty Programs&gt;Hotel Guest Loyalty Program"/>
    <x v="0"/>
    <s v="10% Discount - Ends 6/1"/>
    <s v="Los Angeles"/>
    <x v="4"/>
    <x v="317"/>
    <x v="2"/>
    <x v="0"/>
    <n v="19"/>
    <n v="0"/>
    <n v="7"/>
    <n v="19"/>
    <n v="2"/>
    <x v="808"/>
    <n v="0"/>
    <e v="#DIV/0!"/>
    <n v="1632.0070989999999"/>
    <e v="#DIV/0!"/>
    <n v="171790.22094736842"/>
    <x v="808"/>
    <n v="6"/>
  </r>
  <r>
    <s v="US&gt;Reach&gt;Sociodemographic&gt;Education Level&gt;Some College"/>
    <x v="0"/>
    <s v="Sign up Today - 10% Off"/>
    <s v="New York City"/>
    <x v="0"/>
    <x v="318"/>
    <x v="2"/>
    <x v="0"/>
    <n v="60"/>
    <n v="0"/>
    <n v="45"/>
    <n v="59"/>
    <n v="3"/>
    <x v="809"/>
    <n v="0"/>
    <e v="#DIV/0!"/>
    <n v="1059.3322209999999"/>
    <e v="#DIV/0!"/>
    <n v="53864.350220338987"/>
    <x v="779"/>
    <n v="5"/>
  </r>
  <r>
    <s v="US&gt;Reach&gt;Propensity Models&gt;Travel&gt;High Frequency Travel&gt;Cruise Enthusiast"/>
    <x v="1"/>
    <s v="Sign up Today - 10% Off"/>
    <s v="New York City"/>
    <x v="0"/>
    <x v="319"/>
    <x v="1"/>
    <x v="1"/>
    <n v="988"/>
    <n v="0"/>
    <n v="572"/>
    <n v="675"/>
    <n v="13"/>
    <x v="810"/>
    <n v="0"/>
    <e v="#DIV/0!"/>
    <n v="239.55997038461538"/>
    <e v="#DIV/0!"/>
    <n v="4613.7475777777772"/>
    <x v="809"/>
    <n v="6"/>
  </r>
  <r>
    <s v="Online Behavior&gt;United States&gt;Autos and Vehicles&gt;Brands&gt;Tesla"/>
    <x v="0"/>
    <s v="Sign up Today - 10% Off"/>
    <s v="Miami-Ft. Lauderdale"/>
    <x v="1"/>
    <x v="320"/>
    <x v="9"/>
    <x v="0"/>
    <n v="2770"/>
    <n v="0"/>
    <n v="1248"/>
    <n v="1958"/>
    <n v="26"/>
    <x v="811"/>
    <n v="0"/>
    <e v="#DIV/0!"/>
    <n v="119.02821453846153"/>
    <e v="#DIV/0!"/>
    <n v="1580.5585178753829"/>
    <x v="810"/>
    <n v="5"/>
  </r>
  <r>
    <s v="Online Behavior&gt;United States&gt;Finance&gt;Accounting and Auditing&gt;Billing and Invoicing"/>
    <x v="1"/>
    <s v="Subscribe Today - 10% Discount"/>
    <s v="Chicago"/>
    <x v="2"/>
    <x v="175"/>
    <x v="4"/>
    <x v="0"/>
    <n v="775"/>
    <n v="0"/>
    <n v="173"/>
    <n v="716"/>
    <n v="6"/>
    <x v="812"/>
    <n v="0"/>
    <e v="#DIV/0!"/>
    <n v="499.53013949999996"/>
    <e v="#DIV/0!"/>
    <n v="4186.0067555865926"/>
    <x v="811"/>
    <n v="5"/>
  </r>
  <r>
    <s v="Online Behavior&gt;United States&gt;B2B&gt;Occupation&gt;OfficeManager"/>
    <x v="1"/>
    <s v="Subscribe Today - 10% Discount"/>
    <s v="Miami-Ft. Lauderdale"/>
    <x v="1"/>
    <x v="321"/>
    <x v="1"/>
    <x v="1"/>
    <n v="24464"/>
    <n v="0"/>
    <n v="3275"/>
    <n v="21993"/>
    <n v="2"/>
    <x v="813"/>
    <n v="0"/>
    <e v="#DIV/0!"/>
    <n v="1479.5574865000001"/>
    <e v="#DIV/0!"/>
    <n v="134.54803678443142"/>
    <x v="812"/>
    <n v="5"/>
  </r>
  <r>
    <s v="US&gt;Reach&gt;Propensity Models&gt;Hobbies and Interest&gt;Photography"/>
    <x v="1"/>
    <s v="Sign up Now - 10% Off"/>
    <s v="Los Angeles"/>
    <x v="4"/>
    <x v="154"/>
    <x v="1"/>
    <x v="0"/>
    <n v="20278"/>
    <n v="0"/>
    <n v="14227"/>
    <n v="19480"/>
    <n v="3"/>
    <x v="814"/>
    <n v="0"/>
    <e v="#DIV/0!"/>
    <n v="973.70340233333343"/>
    <e v="#DIV/0!"/>
    <n v="149.9543227412731"/>
    <x v="813"/>
    <n v="5"/>
  </r>
  <r>
    <s v="Online Behavior&gt;United States&gt;Travel&gt;Specialty Travel&gt;Ecotourism"/>
    <x v="0"/>
    <s v="10% Discount - Ends 6/1"/>
    <s v="Chicago"/>
    <x v="2"/>
    <x v="18"/>
    <x v="8"/>
    <x v="0"/>
    <n v="3219"/>
    <n v="0"/>
    <n v="2025"/>
    <n v="2551"/>
    <n v="2"/>
    <x v="815"/>
    <n v="0"/>
    <e v="#DIV/0!"/>
    <n v="1448.296554"/>
    <e v="#DIV/0!"/>
    <n v="1135.473582124657"/>
    <x v="814"/>
    <n v="5"/>
  </r>
  <r>
    <s v="US&gt;Reach&gt;Sociodemographic&gt;Education Level&gt;High School Diploma"/>
    <x v="1"/>
    <s v="Subscribe Today - 10% Discount"/>
    <s v="New York City"/>
    <x v="0"/>
    <x v="322"/>
    <x v="5"/>
    <x v="0"/>
    <n v="5"/>
    <n v="0"/>
    <n v="0"/>
    <n v="4"/>
    <n v="8"/>
    <x v="816"/>
    <n v="0"/>
    <e v="#DIV/0!"/>
    <n v="359.07191987499999"/>
    <e v="#DIV/0!"/>
    <n v="718143.83974999993"/>
    <x v="815"/>
    <n v="5"/>
  </r>
  <r>
    <s v="US&gt;Reach&gt;Sociodemographic&gt;Education Level&gt;Less than High School Diploma"/>
    <x v="0"/>
    <s v="Sign up Now - 10% Off"/>
    <s v="Knoxville"/>
    <x v="5"/>
    <x v="112"/>
    <x v="4"/>
    <x v="0"/>
    <n v="29"/>
    <n v="0"/>
    <n v="18"/>
    <n v="20"/>
    <n v="24"/>
    <x v="817"/>
    <n v="0"/>
    <e v="#DIV/0!"/>
    <n v="119.59183208333333"/>
    <e v="#DIV/0!"/>
    <n v="143510.1985"/>
    <x v="816"/>
    <n v="5"/>
  </r>
  <r>
    <s v="US&gt;Reach&gt;Propensity Models&gt;Lifestyle&gt;Video Gamer"/>
    <x v="0"/>
    <s v="Sign up Today - 10% Off"/>
    <s v="Los Angeles"/>
    <x v="4"/>
    <x v="323"/>
    <x v="2"/>
    <x v="0"/>
    <n v="25"/>
    <n v="0"/>
    <n v="20"/>
    <n v="24"/>
    <n v="15"/>
    <x v="818"/>
    <n v="0"/>
    <e v="#DIV/0!"/>
    <n v="188.96403426666666"/>
    <e v="#DIV/0!"/>
    <n v="118102.52141666666"/>
    <x v="817"/>
    <n v="5"/>
  </r>
  <r>
    <s v="US&gt;Reach&gt;Propensity Models&gt;Finance&gt;Brokerage Account Owner"/>
    <x v="1"/>
    <s v="Sign up Now - 10% Off"/>
    <s v="West Palm Beach-Ft. Pierce"/>
    <x v="1"/>
    <x v="295"/>
    <x v="1"/>
    <x v="1"/>
    <n v="876"/>
    <n v="0"/>
    <n v="500"/>
    <n v="659"/>
    <n v="11"/>
    <x v="819"/>
    <n v="0"/>
    <e v="#DIV/0!"/>
    <n v="250.85172399999999"/>
    <e v="#DIV/0!"/>
    <n v="4187.2063186646428"/>
    <x v="818"/>
    <n v="5"/>
  </r>
  <r>
    <s v="Online Behavior&gt;United States&gt;B2B&gt;Occupation&gt;Finance"/>
    <x v="1"/>
    <s v="Sign up Now - 10% Off"/>
    <s v="Miami-Ft. Lauderdale"/>
    <x v="1"/>
    <x v="324"/>
    <x v="2"/>
    <x v="1"/>
    <n v="261"/>
    <n v="0"/>
    <n v="178"/>
    <n v="221"/>
    <n v="21"/>
    <x v="820"/>
    <n v="0"/>
    <e v="#DIV/0!"/>
    <n v="130.00526995238096"/>
    <e v="#DIV/0!"/>
    <n v="12353.441941176472"/>
    <x v="819"/>
    <n v="5"/>
  </r>
  <r>
    <s v="US&gt;B2B&gt;B2B Decision Maker Responsibilities&gt;Maintenance Services"/>
    <x v="0"/>
    <s v="Subscribe Today - 10% Discount"/>
    <s v="Memphis"/>
    <x v="5"/>
    <x v="216"/>
    <x v="2"/>
    <x v="0"/>
    <n v="3489"/>
    <n v="0"/>
    <n v="2061"/>
    <n v="3281"/>
    <n v="19"/>
    <x v="821"/>
    <n v="0"/>
    <e v="#DIV/0!"/>
    <n v="143.34537415789472"/>
    <e v="#DIV/0!"/>
    <n v="830.10122188357207"/>
    <x v="820"/>
    <n v="4"/>
  </r>
  <r>
    <s v="US&gt;Reach&gt;Propensity Models&gt;Hobbies and Interest&gt;Sports&gt;Plays Golf"/>
    <x v="0"/>
    <s v="Sign up Now - 10% Off"/>
    <s v="West Palm Beach-Ft. Pierce"/>
    <x v="1"/>
    <x v="325"/>
    <x v="6"/>
    <x v="0"/>
    <n v="33"/>
    <n v="0"/>
    <n v="9"/>
    <n v="28"/>
    <n v="3"/>
    <x v="822"/>
    <n v="0"/>
    <e v="#DIV/0!"/>
    <n v="906.77532233333341"/>
    <e v="#DIV/0!"/>
    <n v="97154.498821428569"/>
    <x v="821"/>
    <n v="6"/>
  </r>
  <r>
    <s v="US&gt;Reach&gt;Propensity Models&gt;Finance&gt;Investor"/>
    <x v="1"/>
    <s v="Subscribe Today - 10% Discount"/>
    <s v="Chicago"/>
    <x v="2"/>
    <x v="288"/>
    <x v="2"/>
    <x v="0"/>
    <n v="2203"/>
    <n v="0"/>
    <n v="1479"/>
    <n v="2087"/>
    <n v="10"/>
    <x v="823"/>
    <n v="0"/>
    <e v="#DIV/0!"/>
    <n v="267.73133489999998"/>
    <e v="#DIV/0!"/>
    <n v="1282.8525869669384"/>
    <x v="822"/>
    <n v="5"/>
  </r>
  <r>
    <s v="US&gt;Reach&gt;Propensity Models&gt;Lifestyle&gt;Retired&gt;Have Retirement Financial Plan"/>
    <x v="0"/>
    <s v="Sign up Now - 10% Off"/>
    <s v="Jacksonville"/>
    <x v="1"/>
    <x v="326"/>
    <x v="2"/>
    <x v="0"/>
    <n v="54"/>
    <n v="0"/>
    <n v="29"/>
    <n v="43"/>
    <n v="3"/>
    <x v="824"/>
    <n v="0"/>
    <e v="#DIV/0!"/>
    <n v="883.18529500000011"/>
    <e v="#DIV/0!"/>
    <n v="61617.578720930243"/>
    <x v="823"/>
    <n v="6"/>
  </r>
  <r>
    <s v="Media and Entertainment&gt;Sports and Recreational Activities&gt;Interest (Affinity)"/>
    <x v="1"/>
    <s v="Sign up Now - 10% Off"/>
    <s v="Chicago"/>
    <x v="2"/>
    <x v="298"/>
    <x v="2"/>
    <x v="0"/>
    <n v="14581"/>
    <n v="0"/>
    <n v="6970"/>
    <n v="8882"/>
    <n v="4"/>
    <x v="825"/>
    <n v="0"/>
    <e v="#DIV/0!"/>
    <n v="659.05053099999998"/>
    <e v="#DIV/0!"/>
    <n v="296.80276108984458"/>
    <x v="824"/>
    <n v="3"/>
  </r>
  <r>
    <s v="US&gt;Reach&gt;Propensity Models&gt;Hobbies and Interest&gt;Music&gt;Listens to Rock Music"/>
    <x v="0"/>
    <s v="Sign up Today - 10% Off"/>
    <s v="Los Angeles"/>
    <x v="4"/>
    <x v="327"/>
    <x v="2"/>
    <x v="0"/>
    <n v="3183"/>
    <n v="0"/>
    <n v="2051"/>
    <n v="3028"/>
    <n v="4"/>
    <x v="826"/>
    <n v="0"/>
    <e v="#DIV/0!"/>
    <n v="642.04661075000001"/>
    <e v="#DIV/0!"/>
    <n v="848.14611723910173"/>
    <x v="825"/>
    <n v="6"/>
  </r>
  <r>
    <s v="US&gt;Reach&gt;Propensity Models&gt;Online&gt;Travel"/>
    <x v="0"/>
    <s v="Subscribe Today - 10% Discount"/>
    <s v="New York City"/>
    <x v="0"/>
    <x v="107"/>
    <x v="2"/>
    <x v="0"/>
    <n v="3336"/>
    <n v="0"/>
    <n v="1516"/>
    <n v="2892"/>
    <n v="4"/>
    <x v="827"/>
    <n v="0"/>
    <e v="#DIV/0!"/>
    <n v="631.61208724999995"/>
    <e v="#DIV/0!"/>
    <n v="873.59901417703998"/>
    <x v="826"/>
    <n v="5"/>
  </r>
  <r>
    <s v="Travel"/>
    <x v="1"/>
    <s v="Sign up Now - 10% Off"/>
    <s v="New York City"/>
    <x v="0"/>
    <x v="328"/>
    <x v="8"/>
    <x v="1"/>
    <n v="594"/>
    <n v="0"/>
    <n v="320"/>
    <n v="563"/>
    <n v="2"/>
    <x v="828"/>
    <n v="0"/>
    <e v="#DIV/0!"/>
    <n v="1229.544155"/>
    <e v="#DIV/0!"/>
    <n v="4367.8300355239789"/>
    <x v="827"/>
    <n v="1"/>
  </r>
  <r>
    <s v="US&gt;Demographic&gt;Work at Home"/>
    <x v="1"/>
    <s v="Subscribe Today - 10% Discount"/>
    <s v="Nashville"/>
    <x v="5"/>
    <x v="329"/>
    <x v="2"/>
    <x v="1"/>
    <n v="3786"/>
    <n v="0"/>
    <n v="2713"/>
    <n v="3473"/>
    <n v="2"/>
    <x v="829"/>
    <n v="0"/>
    <e v="#DIV/0!"/>
    <n v="1198.8121255000001"/>
    <e v="#DIV/0!"/>
    <n v="690.3611433918802"/>
    <x v="828"/>
    <n v="3"/>
  </r>
  <r>
    <s v="US&gt;Reach&gt;Propensity Models&gt;Online&gt;Home Maintenance"/>
    <x v="0"/>
    <s v="10% Discount - Ends 6/1"/>
    <s v="Los Angeles"/>
    <x v="4"/>
    <x v="330"/>
    <x v="8"/>
    <x v="0"/>
    <n v="948"/>
    <n v="0"/>
    <n v="94"/>
    <n v="749"/>
    <n v="15"/>
    <x v="830"/>
    <n v="0"/>
    <e v="#DIV/0!"/>
    <n v="159.27495153333334"/>
    <e v="#DIV/0!"/>
    <n v="3189.7520333778371"/>
    <x v="829"/>
    <n v="5"/>
  </r>
  <r>
    <s v="US&gt;Specialty Shopper Audience"/>
    <x v="1"/>
    <s v="Subscribe Today - 10% Discount"/>
    <s v="Ft. Myers-Naples"/>
    <x v="1"/>
    <x v="331"/>
    <x v="8"/>
    <x v="0"/>
    <n v="32"/>
    <n v="0"/>
    <n v="20"/>
    <n v="29"/>
    <n v="16"/>
    <x v="831"/>
    <n v="0"/>
    <e v="#DIV/0!"/>
    <n v="147.91623387499999"/>
    <e v="#DIV/0!"/>
    <n v="81608.956620689656"/>
    <x v="830"/>
    <n v="2"/>
  </r>
  <r>
    <s v="US&gt;Reach&gt;Sociodemographic&gt;Marital Status&gt;Single"/>
    <x v="0"/>
    <s v="Subscribe Today - 10% Discount"/>
    <s v="Chicago"/>
    <x v="2"/>
    <x v="332"/>
    <x v="2"/>
    <x v="0"/>
    <n v="60"/>
    <n v="0"/>
    <n v="33"/>
    <n v="53"/>
    <n v="3"/>
    <x v="832"/>
    <n v="0"/>
    <e v="#DIV/0!"/>
    <n v="786.13698266666677"/>
    <e v="#DIV/0!"/>
    <n v="44498.31977358491"/>
    <x v="566"/>
    <n v="5"/>
  </r>
  <r>
    <s v="US&gt;B2B&gt;B2B Decision Maker Responsibilities&gt;Travel or Transportation"/>
    <x v="1"/>
    <s v="Sign up Today - 10% Off"/>
    <s v="New York City"/>
    <x v="0"/>
    <x v="333"/>
    <x v="3"/>
    <x v="1"/>
    <n v="766"/>
    <n v="0"/>
    <n v="380"/>
    <n v="557"/>
    <n v="2"/>
    <x v="833"/>
    <n v="0"/>
    <e v="#DIV/0!"/>
    <n v="1174.6290085000001"/>
    <e v="#DIV/0!"/>
    <n v="4217.6984147217245"/>
    <x v="831"/>
    <n v="4"/>
  </r>
  <r>
    <s v="Media and Entertainment&gt;Sports and Recreational Activities&gt;Interest (Affinity)&gt;Team Sports"/>
    <x v="0"/>
    <s v="Sign up Now - 10% Off"/>
    <s v="New York City"/>
    <x v="0"/>
    <x v="334"/>
    <x v="4"/>
    <x v="0"/>
    <n v="343"/>
    <n v="0"/>
    <n v="239"/>
    <n v="322"/>
    <n v="3"/>
    <x v="834"/>
    <n v="0"/>
    <e v="#DIV/0!"/>
    <n v="766.8343196666666"/>
    <e v="#DIV/0!"/>
    <n v="7144.4191273291926"/>
    <x v="832"/>
    <n v="4"/>
  </r>
  <r>
    <s v="US&gt;B2B&gt;B2B Decision Maker Responsibilities&gt;Telecommunications"/>
    <x v="1"/>
    <s v="Sign up Now - 10% Off"/>
    <s v="New York City"/>
    <x v="0"/>
    <x v="48"/>
    <x v="2"/>
    <x v="1"/>
    <n v="665"/>
    <n v="0"/>
    <n v="236"/>
    <n v="504"/>
    <n v="2"/>
    <x v="835"/>
    <n v="0"/>
    <e v="#DIV/0!"/>
    <n v="1147.2436170000001"/>
    <e v="#DIV/0!"/>
    <n v="4552.5540357142863"/>
    <x v="833"/>
    <n v="4"/>
  </r>
  <r>
    <s v="US&gt;Digital Consumer Audience"/>
    <x v="0"/>
    <s v="Subscribe Today - 10% Discount"/>
    <s v="New York City"/>
    <x v="0"/>
    <x v="312"/>
    <x v="2"/>
    <x v="0"/>
    <n v="1163"/>
    <n v="0"/>
    <n v="924"/>
    <n v="1092"/>
    <n v="2"/>
    <x v="836"/>
    <n v="0"/>
    <e v="#DIV/0!"/>
    <n v="1142.174933"/>
    <e v="#DIV/0!"/>
    <n v="2091.8954816849819"/>
    <x v="834"/>
    <n v="2"/>
  </r>
  <r>
    <s v="US&gt;Premium Gender&gt;Premium Gender&gt;Females"/>
    <x v="1"/>
    <s v="Subscribe Today - 10% Discount"/>
    <s v="Miami-Ft. Lauderdale"/>
    <x v="1"/>
    <x v="250"/>
    <x v="2"/>
    <x v="0"/>
    <n v="4283"/>
    <n v="0"/>
    <n v="3231"/>
    <n v="4078"/>
    <n v="11"/>
    <x v="837"/>
    <n v="0"/>
    <e v="#DIV/0!"/>
    <n v="204.88647090909092"/>
    <e v="#DIV/0!"/>
    <n v="552.66090730750375"/>
    <x v="835"/>
    <n v="4"/>
  </r>
  <r>
    <s v="US&gt;Reach&gt;Propensity Models&gt;Hobbies and Interest&gt;Sports&gt;NASCAR Enthusiast"/>
    <x v="1"/>
    <s v="Sign up Now - 10% Off"/>
    <s v="Miami-Ft. Lauderdale"/>
    <x v="1"/>
    <x v="6"/>
    <x v="2"/>
    <x v="0"/>
    <n v="12988"/>
    <n v="0"/>
    <n v="6514"/>
    <n v="9378"/>
    <n v="1"/>
    <x v="838"/>
    <n v="0"/>
    <e v="#DIV/0!"/>
    <n v="2236.485099"/>
    <e v="#DIV/0!"/>
    <n v="238.48209628918747"/>
    <x v="836"/>
    <n v="6"/>
  </r>
  <r>
    <s v="US&gt;Brand Propensities&gt;Media and Entertainment&gt;iTunes Buyer Propensity"/>
    <x v="2"/>
    <s v="Subscribe Today - 10% Discount"/>
    <s v="Jacksonville"/>
    <x v="1"/>
    <x v="335"/>
    <x v="1"/>
    <x v="0"/>
    <n v="2704"/>
    <n v="0"/>
    <n v="579"/>
    <n v="2184"/>
    <n v="11"/>
    <x v="839"/>
    <n v="0"/>
    <e v="#DIV/0!"/>
    <n v="200.21343445454548"/>
    <e v="#DIV/0!"/>
    <n v="1008.4009977106227"/>
    <x v="837"/>
    <n v="4"/>
  </r>
  <r>
    <s v="Online Behavior&gt;United States&gt;B2B&gt;Occupation&gt;MechanicalEngineer"/>
    <x v="0"/>
    <s v="Sign up Today - 10% Off"/>
    <s v="Orlando-Daytona Beach"/>
    <x v="1"/>
    <x v="22"/>
    <x v="2"/>
    <x v="0"/>
    <n v="17752"/>
    <n v="0"/>
    <n v="5855"/>
    <n v="15753"/>
    <n v="1"/>
    <x v="840"/>
    <n v="0"/>
    <e v="#DIV/0!"/>
    <n v="2200.297094"/>
    <e v="#DIV/0!"/>
    <n v="139.67479807020885"/>
    <x v="838"/>
    <n v="5"/>
  </r>
  <r>
    <s v="US&gt;Interest Propensities&gt;TV and Movies&gt;Daytime TV"/>
    <x v="1"/>
    <s v="10% Discount - Ends 6/1"/>
    <s v="Chattanooga"/>
    <x v="5"/>
    <x v="336"/>
    <x v="4"/>
    <x v="0"/>
    <n v="177"/>
    <n v="0"/>
    <n v="80"/>
    <n v="155"/>
    <n v="10"/>
    <x v="841"/>
    <n v="0"/>
    <e v="#DIV/0!"/>
    <n v="219.25613130000002"/>
    <e v="#DIV/0!"/>
    <n v="14145.556858064516"/>
    <x v="839"/>
    <n v="4"/>
  </r>
  <r>
    <s v="US&gt;Reach&gt;Sociodemographic&gt;Estimated Current Home Value&gt;$100,000-$159,999"/>
    <x v="1"/>
    <s v="10% Discount - Ends 6/1"/>
    <s v="Ft. Myers-Naples"/>
    <x v="1"/>
    <x v="337"/>
    <x v="7"/>
    <x v="1"/>
    <n v="31"/>
    <n v="0"/>
    <n v="24"/>
    <n v="29"/>
    <n v="2"/>
    <x v="842"/>
    <n v="0"/>
    <e v="#DIV/0!"/>
    <n v="1090.3372354999999"/>
    <e v="#DIV/0!"/>
    <n v="75195.671413793098"/>
    <x v="840"/>
    <n v="5"/>
  </r>
  <r>
    <s v="Media and Entertainment&gt;Music"/>
    <x v="1"/>
    <s v="10% Discount - Ends 6/1"/>
    <s v="New York City"/>
    <x v="0"/>
    <x v="10"/>
    <x v="9"/>
    <x v="0"/>
    <n v="45402"/>
    <n v="0"/>
    <n v="17284"/>
    <n v="27542"/>
    <n v="3"/>
    <x v="843"/>
    <n v="0"/>
    <e v="#DIV/0!"/>
    <n v="721.08844866666675"/>
    <e v="#DIV/0!"/>
    <n v="78.544235930578751"/>
    <x v="841"/>
    <n v="2"/>
  </r>
  <r>
    <s v="US&gt;Interest Propensities&gt;TV and Movies&gt;Horror and Suspense"/>
    <x v="0"/>
    <s v="Sign up Now - 10% Off"/>
    <s v="Chicago"/>
    <x v="2"/>
    <x v="338"/>
    <x v="2"/>
    <x v="0"/>
    <n v="7220"/>
    <n v="0"/>
    <n v="4201"/>
    <n v="6207"/>
    <n v="1"/>
    <x v="844"/>
    <n v="0"/>
    <e v="#DIV/0!"/>
    <n v="2148.2261319999998"/>
    <e v="#DIV/0!"/>
    <n v="346.09733075559853"/>
    <x v="842"/>
    <n v="4"/>
  </r>
  <r>
    <s v="Media and Entertainment&gt;Audio and Video Streaming&gt;Streaming Video&gt;Interest (Affinity)&gt;Streaming Services"/>
    <x v="1"/>
    <s v="Sign up Today - 10% Off"/>
    <s v="Orlando-Daytona Beach"/>
    <x v="1"/>
    <x v="8"/>
    <x v="2"/>
    <x v="2"/>
    <n v="17049"/>
    <n v="0"/>
    <n v="191"/>
    <n v="15564"/>
    <n v="15"/>
    <x v="845"/>
    <n v="0"/>
    <e v="#DIV/0!"/>
    <n v="142.96597246666667"/>
    <e v="#DIV/0!"/>
    <n v="137.78524717296327"/>
    <x v="843"/>
    <n v="5"/>
  </r>
  <r>
    <s v="OnAudience&gt;Intent"/>
    <x v="0"/>
    <s v="10% Discount - Ends 6/1"/>
    <s v="Chicago"/>
    <x v="2"/>
    <x v="138"/>
    <x v="2"/>
    <x v="0"/>
    <n v="19212"/>
    <n v="0"/>
    <n v="6872"/>
    <n v="14248"/>
    <n v="10"/>
    <x v="846"/>
    <n v="0"/>
    <e v="#DIV/0!"/>
    <n v="213.30771129999999"/>
    <e v="#DIV/0!"/>
    <n v="149.710633983717"/>
    <x v="844"/>
    <n v="2"/>
  </r>
  <r>
    <s v="US&gt;Interest Propensities&gt;TV and Movies&gt;Reality&gt;Game Shows"/>
    <x v="1"/>
    <s v="10% Discount - Ends 6/1"/>
    <s v="Chicago"/>
    <x v="2"/>
    <x v="339"/>
    <x v="8"/>
    <x v="0"/>
    <n v="15047"/>
    <n v="0"/>
    <n v="5653"/>
    <n v="14459"/>
    <n v="1"/>
    <x v="847"/>
    <n v="0"/>
    <e v="#DIV/0!"/>
    <n v="2127.495962"/>
    <e v="#DIV/0!"/>
    <n v="147.13991022892318"/>
    <x v="845"/>
    <n v="5"/>
  </r>
  <r>
    <s v="US&gt;Reach&gt;Propensity Models&gt;Hobbies and Interest&gt;Sports&gt;Outdoor Enthusiast"/>
    <x v="1"/>
    <s v="Subscribe Today - 10% Discount"/>
    <s v="West Palm Beach-Ft. Pierce"/>
    <x v="1"/>
    <x v="340"/>
    <x v="2"/>
    <x v="1"/>
    <n v="11"/>
    <n v="0"/>
    <n v="0"/>
    <n v="11"/>
    <n v="2"/>
    <x v="848"/>
    <n v="0"/>
    <e v="#DIV/0!"/>
    <n v="1059.8824895"/>
    <e v="#DIV/0!"/>
    <n v="192705.90718181818"/>
    <x v="815"/>
    <n v="6"/>
  </r>
  <r>
    <s v="OnAudience&gt;Interest&gt;Hobbies &amp; Interests"/>
    <x v="0"/>
    <s v="Subscribe Today - 10% Discount"/>
    <s v="Nashville"/>
    <x v="5"/>
    <x v="341"/>
    <x v="2"/>
    <x v="0"/>
    <n v="145"/>
    <n v="0"/>
    <n v="88"/>
    <n v="115"/>
    <n v="15"/>
    <x v="849"/>
    <n v="0"/>
    <e v="#DIV/0!"/>
    <n v="139.26346180000002"/>
    <e v="#DIV/0!"/>
    <n v="18164.79936521739"/>
    <x v="846"/>
    <n v="3"/>
  </r>
  <r>
    <s v="US&gt;B2B&gt;B2B Decision Maker Responsibilities&gt;Shipping or Mail Services"/>
    <x v="0"/>
    <s v="10% Discount - Ends 6/1"/>
    <s v="New York City"/>
    <x v="0"/>
    <x v="320"/>
    <x v="1"/>
    <x v="0"/>
    <n v="603"/>
    <n v="0"/>
    <n v="461"/>
    <n v="519"/>
    <n v="2"/>
    <x v="850"/>
    <n v="0"/>
    <e v="#DIV/0!"/>
    <n v="1037.9364834999999"/>
    <e v="#DIV/0!"/>
    <n v="3999.7552350674368"/>
    <x v="847"/>
    <n v="4"/>
  </r>
  <r>
    <s v="US&gt;Multibuyer Behaviors&gt;Multibuyer Behaviors"/>
    <x v="0"/>
    <s v="10% Discount - Ends 6/1"/>
    <s v="Miami-Ft. Lauderdale"/>
    <x v="1"/>
    <x v="342"/>
    <x v="2"/>
    <x v="0"/>
    <n v="10"/>
    <n v="0"/>
    <n v="3"/>
    <n v="10"/>
    <n v="2"/>
    <x v="851"/>
    <n v="0"/>
    <e v="#DIV/0!"/>
    <n v="1031.9579490000001"/>
    <e v="#DIV/0!"/>
    <n v="206391.58980000002"/>
    <x v="848"/>
    <n v="3"/>
  </r>
  <r>
    <s v="US&gt;Reach&gt;Propensity Models&gt;Lifestyle&gt;Devices&gt;Mobile Users"/>
    <x v="1"/>
    <s v="Sign up Today - 10% Off"/>
    <s v="Chicago"/>
    <x v="2"/>
    <x v="24"/>
    <x v="2"/>
    <x v="1"/>
    <n v="4857"/>
    <n v="0"/>
    <n v="3302"/>
    <n v="4518"/>
    <n v="2"/>
    <x v="852"/>
    <n v="0"/>
    <e v="#DIV/0!"/>
    <n v="1027.6661770000001"/>
    <e v="#DIV/0!"/>
    <n v="454.92083975210272"/>
    <x v="849"/>
    <n v="6"/>
  </r>
  <r>
    <s v="US&gt;Interest Propensities&gt;Food and Drink&gt;Chinese Cuisine"/>
    <x v="0"/>
    <s v="Sign up Today - 10% Off"/>
    <s v="Miami-Ft. Lauderdale"/>
    <x v="1"/>
    <x v="343"/>
    <x v="5"/>
    <x v="0"/>
    <n v="2"/>
    <n v="0"/>
    <n v="0"/>
    <n v="1"/>
    <n v="2"/>
    <x v="853"/>
    <n v="0"/>
    <e v="#DIV/0!"/>
    <n v="1018.0340385"/>
    <e v="#DIV/0!"/>
    <n v="2036068.0769999998"/>
    <x v="815"/>
    <n v="4"/>
  </r>
  <r>
    <s v="Media and Entertainment&gt;News and Current Events&gt;Online News Websites"/>
    <x v="0"/>
    <s v="Sign up Now - 10% Off"/>
    <s v="Grand Rapids-Kalamazoo"/>
    <x v="6"/>
    <x v="344"/>
    <x v="0"/>
    <x v="0"/>
    <n v="16288"/>
    <n v="0"/>
    <n v="5304"/>
    <n v="10731"/>
    <n v="1"/>
    <x v="854"/>
    <n v="0"/>
    <e v="#DIV/0!"/>
    <n v="2030.142709"/>
    <e v="#DIV/0!"/>
    <n v="189.18485779517286"/>
    <x v="850"/>
    <n v="3"/>
  </r>
  <r>
    <s v="US&gt;Reach&gt;Sociodemographic&gt;Age&gt;40-44"/>
    <x v="0"/>
    <s v="Sign up Today - 10% Off"/>
    <s v="New York City"/>
    <x v="0"/>
    <x v="345"/>
    <x v="2"/>
    <x v="0"/>
    <n v="58"/>
    <n v="0"/>
    <n v="45"/>
    <n v="57"/>
    <n v="3"/>
    <x v="855"/>
    <n v="0"/>
    <e v="#DIV/0!"/>
    <n v="672.16955500000006"/>
    <e v="#DIV/0!"/>
    <n v="35377.345000000001"/>
    <x v="851"/>
    <n v="5"/>
  </r>
  <r>
    <s v="US&gt;B2B&gt;B2B Decision Maker Responsibilities&gt;Accounting or Tax Services"/>
    <x v="0"/>
    <s v="Sign up Today - 10% Off"/>
    <s v="Miami-Ft. Lauderdale"/>
    <x v="1"/>
    <x v="338"/>
    <x v="2"/>
    <x v="0"/>
    <n v="12606"/>
    <n v="0"/>
    <n v="8332"/>
    <n v="11170"/>
    <n v="3"/>
    <x v="856"/>
    <n v="0"/>
    <e v="#DIV/0!"/>
    <n v="667.51266299999997"/>
    <e v="#DIV/0!"/>
    <n v="179.27824431512983"/>
    <x v="852"/>
    <n v="4"/>
  </r>
  <r>
    <s v="US&gt;Interest Propensities&gt;Music&gt;Metal"/>
    <x v="1"/>
    <s v="Subscribe Today - 10% Discount"/>
    <s v="New York City"/>
    <x v="0"/>
    <x v="346"/>
    <x v="1"/>
    <x v="1"/>
    <n v="3867"/>
    <n v="0"/>
    <n v="78"/>
    <n v="223"/>
    <n v="2"/>
    <x v="857"/>
    <n v="0"/>
    <e v="#DIV/0!"/>
    <n v="996.00024699999994"/>
    <e v="#DIV/0!"/>
    <n v="8932.7376412556041"/>
    <x v="853"/>
    <n v="4"/>
  </r>
  <r>
    <s v="US&gt;B2B&gt;B2B Decision Maker Responsibilities&gt;Office Supplies or Equipment"/>
    <x v="1"/>
    <s v="Sign up Today - 10% Off"/>
    <s v="Los Angeles"/>
    <x v="4"/>
    <x v="11"/>
    <x v="2"/>
    <x v="1"/>
    <n v="55692"/>
    <n v="0"/>
    <n v="3596"/>
    <n v="51209"/>
    <n v="11"/>
    <x v="858"/>
    <n v="0"/>
    <e v="#DIV/0!"/>
    <n v="180.09548072727273"/>
    <e v="#DIV/0!"/>
    <n v="38.685588236442811"/>
    <x v="854"/>
    <n v="4"/>
  </r>
  <r>
    <s v="US&gt;Interest Propensities&gt;TV and Movies&gt;Family&gt;Animated"/>
    <x v="1"/>
    <s v="Sign up Today - 10% Off"/>
    <s v="Augusta"/>
    <x v="8"/>
    <x v="347"/>
    <x v="4"/>
    <x v="1"/>
    <n v="849"/>
    <n v="0"/>
    <n v="249"/>
    <n v="623"/>
    <n v="2"/>
    <x v="859"/>
    <n v="0"/>
    <e v="#DIV/0!"/>
    <n v="987.28325649999999"/>
    <e v="#DIV/0!"/>
    <n v="3169.4486565008028"/>
    <x v="855"/>
    <n v="5"/>
  </r>
  <r>
    <s v="US&gt;Multibuyer Behaviors&gt;Merchandise Buyers"/>
    <x v="1"/>
    <s v="Sign up Now - 10% Off"/>
    <s v="Chicago"/>
    <x v="2"/>
    <x v="17"/>
    <x v="4"/>
    <x v="1"/>
    <n v="4231"/>
    <n v="0"/>
    <n v="1168"/>
    <n v="3589"/>
    <n v="1"/>
    <x v="860"/>
    <n v="0"/>
    <e v="#DIV/0!"/>
    <n v="1972.70163"/>
    <e v="#DIV/0!"/>
    <n v="549.65216773474503"/>
    <x v="856"/>
    <n v="3"/>
  </r>
  <r>
    <s v="Real Estate&gt;Ownership Status&gt;Owner"/>
    <x v="0"/>
    <s v="Sign up Now - 10% Off"/>
    <s v="West Palm Beach-Ft. Pierce"/>
    <x v="1"/>
    <x v="269"/>
    <x v="15"/>
    <x v="0"/>
    <n v="237"/>
    <n v="0"/>
    <n v="100"/>
    <n v="173"/>
    <n v="4"/>
    <x v="861"/>
    <n v="0"/>
    <e v="#DIV/0!"/>
    <n v="492.814573"/>
    <e v="#DIV/0!"/>
    <n v="11394.55660115607"/>
    <x v="857"/>
    <n v="3"/>
  </r>
  <r>
    <s v="US&gt;B2B&gt;B2B Decision Maker Responsibilities&gt;Raw Materials or Components"/>
    <x v="0"/>
    <s v="Sign up Now - 10% Off"/>
    <s v="Augusta"/>
    <x v="8"/>
    <x v="276"/>
    <x v="1"/>
    <x v="0"/>
    <n v="3559"/>
    <n v="0"/>
    <n v="757"/>
    <n v="3290"/>
    <n v="21"/>
    <x v="862"/>
    <n v="0"/>
    <e v="#DIV/0!"/>
    <n v="93.372373666666661"/>
    <e v="#DIV/0!"/>
    <n v="595.9938744680851"/>
    <x v="858"/>
    <n v="4"/>
  </r>
  <r>
    <s v="Telecommunications (Telco)&gt;Subscribers&gt;Cable and Internet Service Providers (ISPs)"/>
    <x v="1"/>
    <s v="10% Discount - Ends 6/1"/>
    <s v="Orlando-Daytona Beach"/>
    <x v="1"/>
    <x v="305"/>
    <x v="1"/>
    <x v="0"/>
    <n v="611"/>
    <n v="0"/>
    <n v="335"/>
    <n v="575"/>
    <n v="4"/>
    <x v="863"/>
    <n v="0"/>
    <e v="#DIV/0!"/>
    <n v="488.36741575000002"/>
    <e v="#DIV/0!"/>
    <n v="3397.3385443478264"/>
    <x v="859"/>
    <n v="3"/>
  </r>
  <r>
    <s v="US&gt;Sociodemographic&gt;PRIZM Premier Lifestage&gt;F1 Accumulated Wealth"/>
    <x v="1"/>
    <s v="10% Discount - Ends 6/1"/>
    <s v="Chicago"/>
    <x v="2"/>
    <x v="348"/>
    <x v="3"/>
    <x v="1"/>
    <n v="32"/>
    <n v="0"/>
    <n v="2"/>
    <n v="9"/>
    <n v="2"/>
    <x v="864"/>
    <n v="0"/>
    <e v="#DIV/0!"/>
    <n v="974.36365699999999"/>
    <e v="#DIV/0!"/>
    <n v="216525.2571111111"/>
    <x v="860"/>
    <n v="4"/>
  </r>
  <r>
    <s v="US&gt;Reach&gt;Propensity Models&gt;Hobbies and Interest&gt;Pets&gt;Cat Owners"/>
    <x v="1"/>
    <s v="Sign up Today - 10% Off"/>
    <s v="Los Angeles"/>
    <x v="4"/>
    <x v="11"/>
    <x v="1"/>
    <x v="2"/>
    <n v="63460"/>
    <n v="0"/>
    <n v="26978"/>
    <n v="59516"/>
    <n v="2"/>
    <x v="865"/>
    <n v="0"/>
    <e v="#DIV/0!"/>
    <n v="972.71659399999999"/>
    <e v="#DIV/0!"/>
    <n v="32.687566167081123"/>
    <x v="861"/>
    <n v="6"/>
  </r>
  <r>
    <s v="US&gt;Reach&gt;Propensity Models&gt;Real Estate&gt;Monthly Mortgage Payment&gt;$800-$999"/>
    <x v="1"/>
    <s v="Sign up Now - 10% Off"/>
    <s v="Miami-Ft. Lauderdale"/>
    <x v="1"/>
    <x v="0"/>
    <x v="8"/>
    <x v="2"/>
    <n v="13075"/>
    <n v="0"/>
    <n v="5980"/>
    <n v="12114"/>
    <n v="15"/>
    <x v="866"/>
    <n v="0"/>
    <e v="#DIV/0!"/>
    <n v="129.07538653333333"/>
    <e v="#DIV/0!"/>
    <n v="159.82588723790656"/>
    <x v="862"/>
    <n v="6"/>
  </r>
  <r>
    <s v="OnAudience&gt;Interest&gt;Technology &amp; Computing"/>
    <x v="2"/>
    <s v="10% Discount - Ends 6/1"/>
    <s v="Flint-Saginaw-Bay City"/>
    <x v="6"/>
    <x v="192"/>
    <x v="5"/>
    <x v="0"/>
    <n v="23410"/>
    <n v="0"/>
    <n v="13626"/>
    <n v="22109"/>
    <n v="1"/>
    <x v="867"/>
    <n v="0"/>
    <e v="#DIV/0!"/>
    <n v="1930.180523"/>
    <e v="#DIV/0!"/>
    <n v="87.302931973404498"/>
    <x v="863"/>
    <n v="3"/>
  </r>
  <r>
    <s v="US&gt;Reach&gt;Propensity Models&gt;Online&gt;Lawn and Garden"/>
    <x v="1"/>
    <s v="10% Discount - Ends 6/1"/>
    <s v="Los Angeles"/>
    <x v="4"/>
    <x v="349"/>
    <x v="2"/>
    <x v="0"/>
    <n v="24"/>
    <n v="0"/>
    <n v="21"/>
    <n v="23"/>
    <n v="12"/>
    <x v="868"/>
    <n v="0"/>
    <e v="#DIV/0!"/>
    <n v="160.59703583333334"/>
    <e v="#DIV/0!"/>
    <n v="83789.757826086949"/>
    <x v="864"/>
    <n v="5"/>
  </r>
  <r>
    <s v="Mobile - US&gt;Device Ownership&gt;Tablets&gt;iOS (Apple)&gt;yes"/>
    <x v="1"/>
    <s v="Sign up Now - 10% Off"/>
    <s v="Miami-Ft. Lauderdale"/>
    <x v="1"/>
    <x v="274"/>
    <x v="1"/>
    <x v="1"/>
    <n v="63"/>
    <n v="0"/>
    <n v="44"/>
    <n v="58"/>
    <n v="9"/>
    <x v="869"/>
    <n v="0"/>
    <e v="#DIV/0!"/>
    <n v="214.091339"/>
    <e v="#DIV/0!"/>
    <n v="33221.069844827587"/>
    <x v="865"/>
    <n v="5"/>
  </r>
  <r>
    <s v="US&gt;Brand Propensities&gt;Media and Entertainment&gt;pokerstars.net Buyer Propensity"/>
    <x v="1"/>
    <s v="10% Discount - Ends 6/1"/>
    <s v="Chicago"/>
    <x v="2"/>
    <x v="48"/>
    <x v="8"/>
    <x v="0"/>
    <n v="61227"/>
    <n v="0"/>
    <n v="10434"/>
    <n v="53104"/>
    <n v="8"/>
    <x v="870"/>
    <n v="0"/>
    <e v="#DIV/0!"/>
    <n v="239.94420975"/>
    <e v="#DIV/0!"/>
    <n v="36.147063836999095"/>
    <x v="866"/>
    <n v="4"/>
  </r>
  <r>
    <s v="Lotame&gt;Technology"/>
    <x v="0"/>
    <s v="Subscribe Today - 10% Discount"/>
    <s v="San Francisco"/>
    <x v="4"/>
    <x v="57"/>
    <x v="2"/>
    <x v="0"/>
    <n v="9059"/>
    <n v="0"/>
    <n v="589"/>
    <n v="7480"/>
    <n v="1"/>
    <x v="871"/>
    <n v="0"/>
    <e v="#DIV/0!"/>
    <n v="1908.5261170000001"/>
    <e v="#DIV/0!"/>
    <n v="255.15055040106955"/>
    <x v="867"/>
    <n v="2"/>
  </r>
  <r>
    <s v="OnAudience&gt;Interest&gt;Sport fans"/>
    <x v="1"/>
    <s v="Sign up Today - 10% Off"/>
    <s v="San Francisco"/>
    <x v="4"/>
    <x v="54"/>
    <x v="2"/>
    <x v="1"/>
    <n v="176"/>
    <n v="0"/>
    <n v="75"/>
    <n v="136"/>
    <n v="24"/>
    <x v="872"/>
    <n v="0"/>
    <e v="#DIV/0!"/>
    <n v="79.494667500000006"/>
    <e v="#DIV/0!"/>
    <n v="14028.470735294117"/>
    <x v="868"/>
    <n v="3"/>
  </r>
  <r>
    <s v="US&gt;Brand Propensities&gt;Electronics&gt;Crutchfield Buyer Propensity"/>
    <x v="1"/>
    <s v="Sign up Today - 10% Off"/>
    <s v="Los Angeles"/>
    <x v="4"/>
    <x v="161"/>
    <x v="0"/>
    <x v="0"/>
    <n v="8437"/>
    <n v="0"/>
    <n v="5271"/>
    <n v="7065"/>
    <n v="1"/>
    <x v="873"/>
    <n v="0"/>
    <e v="#DIV/0!"/>
    <n v="1880.5331679999999"/>
    <e v="#DIV/0!"/>
    <n v="266.17596150035382"/>
    <x v="869"/>
    <n v="4"/>
  </r>
  <r>
    <s v="US&gt;Channel Preference&gt;Direct Mail Orderers"/>
    <x v="0"/>
    <s v="Subscribe Today - 10% Discount"/>
    <s v="Miami-Ft. Lauderdale"/>
    <x v="1"/>
    <x v="350"/>
    <x v="2"/>
    <x v="0"/>
    <n v="21"/>
    <n v="0"/>
    <n v="8"/>
    <n v="17"/>
    <n v="10"/>
    <x v="874"/>
    <n v="0"/>
    <e v="#DIV/0!"/>
    <n v="187.7183608"/>
    <e v="#DIV/0!"/>
    <n v="110422.56517647058"/>
    <x v="870"/>
    <n v="3"/>
  </r>
  <r>
    <s v="Mobile - US&gt;Device Ownership&gt;Tablets&gt;iOS (Apple)&gt;iPad PRO"/>
    <x v="2"/>
    <s v="Sign up Today - 10% Off"/>
    <s v="South Bend-Elkhart"/>
    <x v="3"/>
    <x v="351"/>
    <x v="3"/>
    <x v="0"/>
    <n v="581"/>
    <n v="0"/>
    <n v="237"/>
    <n v="559"/>
    <n v="3"/>
    <x v="875"/>
    <n v="0"/>
    <e v="#DIV/0!"/>
    <n v="621.7342963333333"/>
    <e v="#DIV/0!"/>
    <n v="3336.6777978533096"/>
    <x v="871"/>
    <n v="5"/>
  </r>
  <r>
    <s v="US&gt;Sociodemographic&gt;PRIZM Premier Social&gt;S2 The Affluentials"/>
    <x v="0"/>
    <s v="10% Discount - Ends 6/1"/>
    <s v="Miami-Ft. Lauderdale"/>
    <x v="1"/>
    <x v="320"/>
    <x v="1"/>
    <x v="0"/>
    <n v="7229"/>
    <n v="0"/>
    <n v="1428"/>
    <n v="5759"/>
    <n v="1"/>
    <x v="876"/>
    <n v="0"/>
    <e v="#DIV/0!"/>
    <n v="1859.0441519999999"/>
    <e v="#DIV/0!"/>
    <n v="322.806763674249"/>
    <x v="872"/>
    <n v="4"/>
  </r>
  <r>
    <s v="US&gt;Brand Propensities&gt;Pets&gt;Petco Buyer Propensity"/>
    <x v="1"/>
    <s v="Sign up Today - 10% Off"/>
    <s v="Miami-Ft. Lauderdale"/>
    <x v="1"/>
    <x v="352"/>
    <x v="2"/>
    <x v="1"/>
    <n v="3645"/>
    <n v="0"/>
    <n v="540"/>
    <n v="3103"/>
    <n v="2"/>
    <x v="877"/>
    <n v="0"/>
    <e v="#DIV/0!"/>
    <n v="926.40205549999996"/>
    <e v="#DIV/0!"/>
    <n v="597.10090589751849"/>
    <x v="873"/>
    <n v="4"/>
  </r>
  <r>
    <s v="OnAudience&gt;Interest&gt;Law &amp; Government"/>
    <x v="0"/>
    <s v="Subscribe Today - 10% Discount"/>
    <s v="Chicago"/>
    <x v="2"/>
    <x v="353"/>
    <x v="2"/>
    <x v="0"/>
    <n v="1564"/>
    <n v="0"/>
    <n v="339"/>
    <n v="1244"/>
    <n v="21"/>
    <x v="878"/>
    <n v="0"/>
    <e v="#DIV/0!"/>
    <n v="87.353083619047609"/>
    <e v="#DIV/0!"/>
    <n v="1474.6099324758841"/>
    <x v="874"/>
    <n v="3"/>
  </r>
  <r>
    <s v="US&gt;Sociodemographic&gt;ConneXions Lifestage&gt;Y1 Young and Wireless"/>
    <x v="1"/>
    <s v="Subscribe Today - 10% Discount"/>
    <s v="West Palm Beach-Ft. Pierce"/>
    <x v="1"/>
    <x v="354"/>
    <x v="2"/>
    <x v="0"/>
    <n v="70"/>
    <n v="0"/>
    <n v="28"/>
    <n v="62"/>
    <n v="3"/>
    <x v="879"/>
    <n v="0"/>
    <e v="#DIV/0!"/>
    <n v="611.03938000000005"/>
    <e v="#DIV/0!"/>
    <n v="29566.421612903228"/>
    <x v="742"/>
    <n v="4"/>
  </r>
  <r>
    <s v="US&gt;Brand Propensities&gt;Telecom and Service Providers&gt;Virgin Mobile Buyer Propensity"/>
    <x v="1"/>
    <s v="Sign up Today - 10% Off"/>
    <s v="San Francisco"/>
    <x v="4"/>
    <x v="355"/>
    <x v="12"/>
    <x v="1"/>
    <n v="3719"/>
    <n v="0"/>
    <n v="2092"/>
    <n v="3456"/>
    <n v="11"/>
    <x v="880"/>
    <n v="0"/>
    <e v="#DIV/0!"/>
    <n v="165.52558545454545"/>
    <e v="#DIV/0!"/>
    <n v="526.84648148148153"/>
    <x v="875"/>
    <n v="4"/>
  </r>
  <r>
    <s v="US&gt;Interest Propensities&gt;Insurance&gt;Lincoln Heritage"/>
    <x v="0"/>
    <s v="Sign up Today - 10% Off"/>
    <s v="New York City"/>
    <x v="0"/>
    <x v="12"/>
    <x v="5"/>
    <x v="0"/>
    <n v="61848"/>
    <n v="0"/>
    <n v="6581"/>
    <n v="44917"/>
    <n v="19"/>
    <x v="881"/>
    <n v="0"/>
    <e v="#DIV/0!"/>
    <n v="95.783873789473688"/>
    <e v="#DIV/0!"/>
    <n v="40.516811051494983"/>
    <x v="876"/>
    <n v="4"/>
  </r>
  <r>
    <s v="US&gt;Reach&gt;Sociodemographic&gt;Estimated Current Home Value&gt;$160,000-$199,999"/>
    <x v="1"/>
    <s v="Subscribe Today - 10% Discount"/>
    <s v="Chicago"/>
    <x v="2"/>
    <x v="154"/>
    <x v="2"/>
    <x v="0"/>
    <n v="13132"/>
    <n v="0"/>
    <n v="6133"/>
    <n v="12377"/>
    <n v="1"/>
    <x v="882"/>
    <n v="0"/>
    <e v="#DIV/0!"/>
    <n v="1807.6931420000001"/>
    <e v="#DIV/0!"/>
    <n v="146.05260903288359"/>
    <x v="877"/>
    <n v="5"/>
  </r>
  <r>
    <s v="US&gt;Interest Propensities&gt;Celebrities&gt;Celebrity Fan Gossip"/>
    <x v="0"/>
    <s v="Subscribe Today - 10% Discount"/>
    <s v="New York City"/>
    <x v="0"/>
    <x v="132"/>
    <x v="2"/>
    <x v="0"/>
    <n v="10012"/>
    <n v="0"/>
    <n v="5734"/>
    <n v="9413"/>
    <n v="1"/>
    <x v="883"/>
    <n v="0"/>
    <e v="#DIV/0!"/>
    <n v="1805.9260859999999"/>
    <e v="#DIV/0!"/>
    <n v="191.85446573887177"/>
    <x v="878"/>
    <n v="4"/>
  </r>
  <r>
    <s v="US&gt;Demographic&gt;Household Income $50k+"/>
    <x v="2"/>
    <s v="10% Discount - Ends 6/1"/>
    <s v="Nashville"/>
    <x v="5"/>
    <x v="203"/>
    <x v="4"/>
    <x v="0"/>
    <n v="20417"/>
    <n v="0"/>
    <n v="1016"/>
    <n v="13468"/>
    <n v="2"/>
    <x v="884"/>
    <n v="0"/>
    <e v="#DIV/0!"/>
    <n v="902.80025650000005"/>
    <e v="#DIV/0!"/>
    <n v="134.06597215622216"/>
    <x v="879"/>
    <n v="3"/>
  </r>
  <r>
    <s v="OnAudience&gt;Interest&gt;Hobbies &amp; Interests&gt;Technology"/>
    <x v="0"/>
    <s v="Subscribe Today - 10% Discount"/>
    <s v="Los Angeles"/>
    <x v="4"/>
    <x v="356"/>
    <x v="2"/>
    <x v="0"/>
    <n v="764"/>
    <n v="0"/>
    <n v="628"/>
    <n v="674"/>
    <n v="8"/>
    <x v="885"/>
    <n v="0"/>
    <e v="#DIV/0!"/>
    <n v="225.52787749999999"/>
    <e v="#DIV/0!"/>
    <n v="2676.8887537091987"/>
    <x v="880"/>
    <n v="4"/>
  </r>
  <r>
    <s v="OnAudience&gt;Interest&gt;Science"/>
    <x v="1"/>
    <s v="Sign up Now - 10% Off"/>
    <s v="Ft. Wayne"/>
    <x v="3"/>
    <x v="357"/>
    <x v="1"/>
    <x v="0"/>
    <n v="604"/>
    <n v="0"/>
    <n v="323"/>
    <n v="571"/>
    <n v="9"/>
    <x v="886"/>
    <n v="0"/>
    <e v="#DIV/0!"/>
    <n v="199.52614633333332"/>
    <e v="#DIV/0!"/>
    <n v="3144.8954763572679"/>
    <x v="881"/>
    <n v="3"/>
  </r>
  <r>
    <s v="Mobile - US&gt;Subscribers&gt;Old Phones&gt;yes"/>
    <x v="1"/>
    <s v="Sign up Today - 10% Off"/>
    <s v="Orlando-Daytona Beach"/>
    <x v="1"/>
    <x v="15"/>
    <x v="8"/>
    <x v="0"/>
    <n v="643"/>
    <n v="0"/>
    <n v="287"/>
    <n v="613"/>
    <n v="3"/>
    <x v="887"/>
    <n v="0"/>
    <e v="#DIV/0!"/>
    <n v="594.72185366666668"/>
    <e v="#DIV/0!"/>
    <n v="2910.5474078303428"/>
    <x v="882"/>
    <n v="4"/>
  </r>
  <r>
    <s v="Mobile - US&gt;Food&gt;Restaurant&gt;Brand&gt;Whataburger"/>
    <x v="0"/>
    <s v="Sign up Today - 10% Off"/>
    <s v="San Francisco"/>
    <x v="4"/>
    <x v="127"/>
    <x v="1"/>
    <x v="0"/>
    <n v="68"/>
    <n v="0"/>
    <n v="4"/>
    <n v="10"/>
    <n v="2"/>
    <x v="888"/>
    <n v="0"/>
    <e v="#DIV/0!"/>
    <n v="891.82099300000004"/>
    <e v="#DIV/0!"/>
    <n v="178364.1986"/>
    <x v="883"/>
    <n v="5"/>
  </r>
  <r>
    <s v="US&gt;B2B&gt;Business Title or Role&gt;Manager&gt;Senior Manager"/>
    <x v="0"/>
    <s v="Sign up Now - 10% Off"/>
    <s v="Orlando-Daytona Beach"/>
    <x v="1"/>
    <x v="358"/>
    <x v="2"/>
    <x v="0"/>
    <n v="0"/>
    <n v="0"/>
    <n v="0"/>
    <n v="0"/>
    <n v="2"/>
    <x v="889"/>
    <e v="#DIV/0!"/>
    <e v="#DIV/0!"/>
    <n v="882.52033500000005"/>
    <e v="#DIV/0!"/>
    <e v="#DIV/0!"/>
    <x v="884"/>
    <n v="5"/>
  </r>
  <r>
    <s v="US Financial&gt;Likely In Market Timing&gt;Not At All Likely to Purchase&gt;Second House/Residence In The Next Year (Financial)"/>
    <x v="1"/>
    <s v="Sign up Now - 10% Off"/>
    <s v="Los Angeles"/>
    <x v="4"/>
    <x v="359"/>
    <x v="2"/>
    <x v="0"/>
    <n v="8944"/>
    <n v="0"/>
    <n v="3002"/>
    <n v="6361"/>
    <n v="1"/>
    <x v="890"/>
    <n v="0"/>
    <e v="#DIV/0!"/>
    <n v="1755.4845419999999"/>
    <e v="#DIV/0!"/>
    <n v="275.9761895928313"/>
    <x v="885"/>
    <n v="4"/>
  </r>
  <r>
    <s v="US Financial&gt;Likely In Market Timing&gt;Not At All Likely to Purchase&gt;Sell House/Residence in the Next Year (Financial)"/>
    <x v="0"/>
    <s v="Subscribe Today - 10% Discount"/>
    <s v="Memphis"/>
    <x v="5"/>
    <x v="360"/>
    <x v="2"/>
    <x v="0"/>
    <n v="1221"/>
    <n v="0"/>
    <n v="643"/>
    <n v="1140"/>
    <n v="1"/>
    <x v="891"/>
    <n v="0"/>
    <e v="#DIV/0!"/>
    <n v="1752.2174090000001"/>
    <e v="#DIV/0!"/>
    <n v="1537.0328149122806"/>
    <x v="886"/>
    <n v="4"/>
  </r>
  <r>
    <s v="OnAudience&gt;Interest&gt;Sport fans&gt;Fitness Lovers"/>
    <x v="1"/>
    <s v="Sign up Now - 10% Off"/>
    <s v="Tri-Cities"/>
    <x v="12"/>
    <x v="361"/>
    <x v="1"/>
    <x v="1"/>
    <n v="190"/>
    <n v="0"/>
    <n v="123"/>
    <n v="172"/>
    <n v="1"/>
    <x v="892"/>
    <n v="0"/>
    <e v="#DIV/0!"/>
    <n v="1746.935526"/>
    <e v="#DIV/0!"/>
    <n v="10156.601895348836"/>
    <x v="887"/>
    <n v="4"/>
  </r>
  <r>
    <s v="Online Behavior&gt;United States&gt;B2B&gt;Occupation&gt;SupplyChainManager"/>
    <x v="1"/>
    <s v="Sign up Now - 10% Off"/>
    <s v="Jacksonville"/>
    <x v="1"/>
    <x v="322"/>
    <x v="2"/>
    <x v="2"/>
    <n v="7470"/>
    <n v="0"/>
    <n v="6753"/>
    <n v="7229"/>
    <n v="1"/>
    <x v="893"/>
    <n v="0"/>
    <e v="#DIV/0!"/>
    <n v="1738.9952820000001"/>
    <e v="#DIV/0!"/>
    <n v="240.55820749757919"/>
    <x v="888"/>
    <n v="5"/>
  </r>
  <r>
    <s v="US Financial&gt;Likely Credit Card&gt;Behavior&gt;Used for Personal Purposes"/>
    <x v="1"/>
    <s v="10% Discount - Ends 6/1"/>
    <s v="Memphis"/>
    <x v="5"/>
    <x v="138"/>
    <x v="2"/>
    <x v="0"/>
    <n v="37554"/>
    <n v="0"/>
    <n v="13128"/>
    <n v="27596"/>
    <n v="3"/>
    <x v="894"/>
    <n v="0"/>
    <e v="#DIV/0!"/>
    <n v="579.28116166666666"/>
    <e v="#DIV/0!"/>
    <n v="62.974470394260045"/>
    <x v="889"/>
    <n v="4"/>
  </r>
  <r>
    <s v="Media and Entertainment&gt;Gaming"/>
    <x v="1"/>
    <s v="Sign up Today - 10% Off"/>
    <s v="Tampa-St Petersburg (Sarasota)"/>
    <x v="1"/>
    <x v="362"/>
    <x v="2"/>
    <x v="0"/>
    <n v="257"/>
    <n v="0"/>
    <n v="154"/>
    <n v="183"/>
    <n v="8"/>
    <x v="895"/>
    <n v="0"/>
    <e v="#DIV/0!"/>
    <n v="217.16925649999999"/>
    <e v="#DIV/0!"/>
    <n v="9493.7379890710381"/>
    <x v="890"/>
    <n v="2"/>
  </r>
  <r>
    <s v="US&gt;Interest Propensities&gt;Insurance&gt;Cigna Health Group"/>
    <x v="0"/>
    <s v="Sign up Today - 10% Off"/>
    <s v="Los Angeles"/>
    <x v="4"/>
    <x v="363"/>
    <x v="2"/>
    <x v="0"/>
    <n v="6"/>
    <n v="0"/>
    <n v="3"/>
    <n v="6"/>
    <n v="2"/>
    <x v="896"/>
    <n v="0"/>
    <e v="#DIV/0!"/>
    <n v="859.29940199999999"/>
    <e v="#DIV/0!"/>
    <n v="286433.13400000002"/>
    <x v="891"/>
    <n v="4"/>
  </r>
  <r>
    <s v="OnAudience&gt;Interest&gt;Travel"/>
    <x v="1"/>
    <s v="Subscribe Today - 10% Discount"/>
    <s v="New York City"/>
    <x v="0"/>
    <x v="6"/>
    <x v="1"/>
    <x v="0"/>
    <n v="7540"/>
    <n v="0"/>
    <n v="1475"/>
    <n v="2054"/>
    <n v="1"/>
    <x v="897"/>
    <n v="0"/>
    <e v="#DIV/0!"/>
    <n v="1713.978863"/>
    <e v="#DIV/0!"/>
    <n v="834.45903748782871"/>
    <x v="892"/>
    <n v="3"/>
  </r>
  <r>
    <s v="Lotame&gt;News &amp; Politics"/>
    <x v="1"/>
    <s v="10% Discount - Ends 6/1"/>
    <s v="New York City"/>
    <x v="0"/>
    <x v="364"/>
    <x v="2"/>
    <x v="0"/>
    <n v="151"/>
    <n v="0"/>
    <n v="98"/>
    <n v="120"/>
    <n v="7"/>
    <x v="898"/>
    <n v="0"/>
    <e v="#DIV/0!"/>
    <n v="244.30058485714287"/>
    <e v="#DIV/0!"/>
    <n v="14250.86745"/>
    <x v="893"/>
    <n v="2"/>
  </r>
  <r>
    <s v="Real Estate&gt;Property Type&gt;Single Family Residence Owners"/>
    <x v="0"/>
    <s v="Sign up Today - 10% Off"/>
    <s v="New York City"/>
    <x v="0"/>
    <x v="66"/>
    <x v="2"/>
    <x v="0"/>
    <n v="7197"/>
    <n v="0"/>
    <n v="3537"/>
    <n v="6033"/>
    <n v="1"/>
    <x v="899"/>
    <n v="0"/>
    <e v="#DIV/0!"/>
    <n v="1707.045464"/>
    <e v="#DIV/0!"/>
    <n v="282.95134493618434"/>
    <x v="894"/>
    <n v="3"/>
  </r>
  <r>
    <s v="US&gt;Multibuyer Behaviors&gt;Multibuyers"/>
    <x v="1"/>
    <s v="Sign up Today - 10% Off"/>
    <s v="Chicago"/>
    <x v="2"/>
    <x v="365"/>
    <x v="1"/>
    <x v="1"/>
    <n v="0"/>
    <n v="0"/>
    <n v="0"/>
    <n v="0"/>
    <n v="3"/>
    <x v="900"/>
    <e v="#DIV/0!"/>
    <e v="#DIV/0!"/>
    <n v="568.51127299999996"/>
    <e v="#DIV/0!"/>
    <e v="#DIV/0!"/>
    <x v="884"/>
    <n v="3"/>
  </r>
  <r>
    <s v="Lotame&gt;Home &amp; Family&gt;School &amp; Education"/>
    <x v="0"/>
    <s v="Subscribe Today - 10% Discount"/>
    <s v="Davenport"/>
    <x v="19"/>
    <x v="28"/>
    <x v="4"/>
    <x v="0"/>
    <n v="179"/>
    <n v="0"/>
    <n v="53"/>
    <n v="148"/>
    <n v="3"/>
    <x v="901"/>
    <n v="0"/>
    <e v="#DIV/0!"/>
    <n v="562.23040400000002"/>
    <e v="#DIV/0!"/>
    <n v="11396.562243243243"/>
    <x v="895"/>
    <n v="3"/>
  </r>
  <r>
    <s v="OnAudience&gt;Demography&gt;Gender"/>
    <x v="1"/>
    <s v="Sign up Now - 10% Off"/>
    <s v="Grand Rapids-Kalamazoo"/>
    <x v="6"/>
    <x v="366"/>
    <x v="2"/>
    <x v="1"/>
    <n v="79"/>
    <n v="0"/>
    <n v="9"/>
    <n v="72"/>
    <n v="1"/>
    <x v="902"/>
    <n v="0"/>
    <e v="#DIV/0!"/>
    <n v="1681.984072"/>
    <e v="#DIV/0!"/>
    <n v="23360.889888888887"/>
    <x v="896"/>
    <n v="3"/>
  </r>
  <r>
    <s v="US Financial&gt;Likely Credit Card&gt;Card in Own Name&gt;Any major Credit/Debit Card (Financial)"/>
    <x v="1"/>
    <s v="Subscribe Today - 10% Discount"/>
    <s v="San Francisco"/>
    <x v="4"/>
    <x v="17"/>
    <x v="1"/>
    <x v="0"/>
    <n v="10811"/>
    <n v="0"/>
    <n v="988"/>
    <n v="2975"/>
    <n v="1"/>
    <x v="903"/>
    <n v="0"/>
    <e v="#DIV/0!"/>
    <n v="1679.833815"/>
    <e v="#DIV/0!"/>
    <n v="564.65002184873947"/>
    <x v="897"/>
    <n v="4"/>
  </r>
  <r>
    <s v="US&gt;Multibuyer Behaviors&gt;Merchandise Multibuyers"/>
    <x v="0"/>
    <s v="Sign up Today - 10% Off"/>
    <s v="Los Angeles"/>
    <x v="4"/>
    <x v="346"/>
    <x v="3"/>
    <x v="0"/>
    <n v="4250"/>
    <n v="0"/>
    <n v="755"/>
    <n v="2183"/>
    <n v="24"/>
    <x v="904"/>
    <n v="0"/>
    <e v="#DIV/0!"/>
    <n v="69.946145749999999"/>
    <e v="#DIV/0!"/>
    <n v="768.99106642235461"/>
    <x v="898"/>
    <n v="3"/>
  </r>
  <r>
    <s v="Media and Entertainment&gt;Sports and Recreational Activities&gt;Interest (Affinity)&gt;Olympics&gt;Summer Olympics"/>
    <x v="0"/>
    <s v="Sign up Today - 10% Off"/>
    <s v="Tampa-St Petersburg (Sarasota)"/>
    <x v="1"/>
    <x v="367"/>
    <x v="1"/>
    <x v="0"/>
    <n v="10992"/>
    <n v="0"/>
    <n v="6677"/>
    <n v="10132"/>
    <n v="1"/>
    <x v="905"/>
    <n v="0"/>
    <e v="#DIV/0!"/>
    <n v="1675.987427"/>
    <e v="#DIV/0!"/>
    <n v="165.41526125148044"/>
    <x v="899"/>
    <n v="5"/>
  </r>
  <r>
    <s v="US Financial&gt;Estimated Disposable Income (Financial)&gt;$0 - $99,999"/>
    <x v="0"/>
    <s v="Sign up Today - 10% Off"/>
    <s v="New York City"/>
    <x v="0"/>
    <x v="368"/>
    <x v="9"/>
    <x v="0"/>
    <n v="40"/>
    <n v="0"/>
    <n v="24"/>
    <n v="38"/>
    <n v="21"/>
    <x v="906"/>
    <n v="0"/>
    <e v="#DIV/0!"/>
    <n v="79.802643571428575"/>
    <e v="#DIV/0!"/>
    <n v="44101.460921052625"/>
    <x v="900"/>
    <n v="3"/>
  </r>
  <r>
    <s v="OnAudience&gt;Interest&gt;Technology &amp; Computing&gt;Computer Peripherals"/>
    <x v="1"/>
    <s v="Subscribe Today - 10% Discount"/>
    <s v="Chicago"/>
    <x v="2"/>
    <x v="369"/>
    <x v="10"/>
    <x v="1"/>
    <n v="1835"/>
    <n v="0"/>
    <n v="604"/>
    <n v="1546"/>
    <n v="24"/>
    <x v="907"/>
    <n v="0"/>
    <e v="#DIV/0!"/>
    <n v="69.728747666666663"/>
    <e v="#DIV/0!"/>
    <n v="1082.4643880983183"/>
    <x v="901"/>
    <n v="4"/>
  </r>
  <r>
    <s v="US Technology&gt;Electronics&gt;Computers"/>
    <x v="1"/>
    <s v="Subscribe Today - 10% Discount"/>
    <s v="New York City"/>
    <x v="0"/>
    <x v="370"/>
    <x v="10"/>
    <x v="0"/>
    <n v="135"/>
    <n v="0"/>
    <n v="82"/>
    <n v="123"/>
    <n v="3"/>
    <x v="908"/>
    <n v="0"/>
    <e v="#DIV/0!"/>
    <n v="557.42207333333329"/>
    <e v="#DIV/0!"/>
    <n v="13595.660325203251"/>
    <x v="902"/>
    <n v="3"/>
  </r>
  <r>
    <s v="Mobile - US&gt;Device Ownership&gt;SmartTVs&gt;Sony"/>
    <x v="1"/>
    <s v="10% Discount - Ends 6/1"/>
    <s v="New York City"/>
    <x v="0"/>
    <x v="371"/>
    <x v="5"/>
    <x v="1"/>
    <n v="1416"/>
    <n v="0"/>
    <n v="296"/>
    <n v="1323"/>
    <n v="21"/>
    <x v="909"/>
    <n v="0"/>
    <e v="#DIV/0!"/>
    <n v="79.555458666666667"/>
    <e v="#DIV/0!"/>
    <n v="1262.7850582010583"/>
    <x v="903"/>
    <n v="4"/>
  </r>
  <r>
    <s v="Mobile - US&gt;Food&gt;Restaurant&gt;Brand&gt;Red Lobster"/>
    <x v="1"/>
    <s v="Sign up Today - 10% Off"/>
    <s v="Chicago"/>
    <x v="2"/>
    <x v="203"/>
    <x v="1"/>
    <x v="0"/>
    <n v="57917"/>
    <n v="0"/>
    <n v="3650"/>
    <n v="55128"/>
    <n v="3"/>
    <x v="910"/>
    <n v="0"/>
    <e v="#DIV/0!"/>
    <n v="556.57630166666661"/>
    <e v="#DIV/0!"/>
    <n v="30.288218418952258"/>
    <x v="904"/>
    <n v="5"/>
  </r>
  <r>
    <s v="US&gt;Home and Garden Interests&gt;House and Garden Enthusiasts"/>
    <x v="0"/>
    <s v="Subscribe Today - 10% Discount"/>
    <s v="Tampa-St Petersburg (Sarasota)"/>
    <x v="1"/>
    <x v="372"/>
    <x v="2"/>
    <x v="0"/>
    <n v="780"/>
    <n v="0"/>
    <n v="516"/>
    <n v="734"/>
    <n v="15"/>
    <x v="911"/>
    <n v="0"/>
    <e v="#DIV/0!"/>
    <n v="111.01235440000001"/>
    <e v="#DIV/0!"/>
    <n v="2268.6448446866489"/>
    <x v="905"/>
    <n v="3"/>
  </r>
  <r>
    <s v="Purchase-Based"/>
    <x v="1"/>
    <s v="10% Discount - Ends 6/1"/>
    <s v="Chicago"/>
    <x v="2"/>
    <x v="373"/>
    <x v="8"/>
    <x v="0"/>
    <n v="11289"/>
    <n v="0"/>
    <n v="1345"/>
    <n v="8187"/>
    <n v="3"/>
    <x v="912"/>
    <n v="0"/>
    <e v="#DIV/0!"/>
    <n v="555.0534816666667"/>
    <e v="#DIV/0!"/>
    <n v="203.39079577378772"/>
    <x v="906"/>
    <n v="1"/>
  </r>
  <r>
    <s v="OnAudience&gt;Interest&gt;Travelling"/>
    <x v="1"/>
    <s v="Subscribe Today - 10% Discount"/>
    <s v="Grand Rapids-Kalamazoo"/>
    <x v="6"/>
    <x v="374"/>
    <x v="1"/>
    <x v="1"/>
    <n v="1849"/>
    <n v="0"/>
    <n v="225"/>
    <n v="1511"/>
    <n v="1"/>
    <x v="913"/>
    <n v="0"/>
    <e v="#DIV/0!"/>
    <n v="1660.108103"/>
    <e v="#DIV/0!"/>
    <n v="1098.6817359364661"/>
    <x v="907"/>
    <n v="3"/>
  </r>
  <r>
    <s v="US Financial&gt;Credit Card User"/>
    <x v="0"/>
    <s v="Sign up Now - 10% Off"/>
    <s v="Los Angeles"/>
    <x v="4"/>
    <x v="375"/>
    <x v="2"/>
    <x v="0"/>
    <n v="36"/>
    <n v="0"/>
    <n v="21"/>
    <n v="26"/>
    <n v="15"/>
    <x v="914"/>
    <n v="0"/>
    <e v="#DIV/0!"/>
    <n v="110.60741713333333"/>
    <e v="#DIV/0!"/>
    <n v="63811.971423076924"/>
    <x v="908"/>
    <n v="2"/>
  </r>
  <r>
    <s v="OnAudience&gt;Intent&gt;Baby &amp; Toddler&gt;Baby Toys"/>
    <x v="1"/>
    <s v="10% Discount - Ends 6/1"/>
    <s v="Augusta"/>
    <x v="8"/>
    <x v="82"/>
    <x v="4"/>
    <x v="1"/>
    <n v="16669"/>
    <n v="0"/>
    <n v="10961"/>
    <n v="15451"/>
    <n v="2"/>
    <x v="915"/>
    <n v="0"/>
    <e v="#DIV/0!"/>
    <n v="829.17926799999998"/>
    <e v="#DIV/0!"/>
    <n v="107.33017513429552"/>
    <x v="909"/>
    <n v="4"/>
  </r>
  <r>
    <s v="OnAudience&gt;Intent&gt;Electronics&gt;Computers"/>
    <x v="2"/>
    <s v="Subscribe Today - 10% Discount"/>
    <s v="Chattanooga"/>
    <x v="5"/>
    <x v="123"/>
    <x v="4"/>
    <x v="0"/>
    <n v="6421"/>
    <n v="0"/>
    <n v="4367"/>
    <n v="5947"/>
    <n v="2"/>
    <x v="916"/>
    <n v="0"/>
    <e v="#DIV/0!"/>
    <n v="828.95196999999996"/>
    <e v="#DIV/0!"/>
    <n v="278.77987893055325"/>
    <x v="910"/>
    <n v="4"/>
  </r>
  <r>
    <s v="Media and Entertainment&gt;Television (TV)"/>
    <x v="1"/>
    <s v="Subscribe Today - 10% Discount"/>
    <s v="Grand Rapids-Kalamazoo"/>
    <x v="6"/>
    <x v="82"/>
    <x v="2"/>
    <x v="0"/>
    <n v="9130"/>
    <n v="0"/>
    <n v="3721"/>
    <n v="5564"/>
    <n v="1"/>
    <x v="917"/>
    <n v="0"/>
    <e v="#DIV/0!"/>
    <n v="1655.7928569999999"/>
    <e v="#DIV/0!"/>
    <n v="297.59037688713153"/>
    <x v="911"/>
    <n v="2"/>
  </r>
  <r>
    <s v="US&gt;Home and Garden Interests&gt;House and Garden Merchandise Buyers"/>
    <x v="1"/>
    <s v="Subscribe Today - 10% Discount"/>
    <s v="Jacksonville"/>
    <x v="1"/>
    <x v="26"/>
    <x v="8"/>
    <x v="0"/>
    <n v="15033"/>
    <n v="0"/>
    <n v="5495"/>
    <n v="7050"/>
    <n v="3"/>
    <x v="918"/>
    <n v="0"/>
    <e v="#DIV/0!"/>
    <n v="550.24100333333331"/>
    <e v="#DIV/0!"/>
    <n v="234.14510780141842"/>
    <x v="912"/>
    <n v="3"/>
  </r>
  <r>
    <s v="Mobile - US&gt;Food&gt;Restaurant&gt;Brand&gt;Panera Bread"/>
    <x v="0"/>
    <s v="Sign up Now - 10% Off"/>
    <s v="Ft. Myers-Naples"/>
    <x v="1"/>
    <x v="376"/>
    <x v="2"/>
    <x v="0"/>
    <n v="68"/>
    <n v="0"/>
    <n v="31"/>
    <n v="47"/>
    <n v="2"/>
    <x v="919"/>
    <n v="0"/>
    <e v="#DIV/0!"/>
    <n v="825.16439600000001"/>
    <e v="#DIV/0!"/>
    <n v="35113.378553191491"/>
    <x v="913"/>
    <n v="5"/>
  </r>
  <r>
    <s v="US Financial&gt;Likely Attitude and Behavior&gt;Completely Disagree&gt;When I Find A Financial Product/Service I Like I Typically Recommend It To People I Know (Financial)"/>
    <x v="1"/>
    <s v="Subscribe Today - 10% Discount"/>
    <s v="New York City"/>
    <x v="0"/>
    <x v="142"/>
    <x v="2"/>
    <x v="1"/>
    <n v="16175"/>
    <n v="0"/>
    <n v="1923"/>
    <n v="15085"/>
    <n v="2"/>
    <x v="920"/>
    <n v="0"/>
    <e v="#DIV/0!"/>
    <n v="824.53473750000001"/>
    <e v="#DIV/0!"/>
    <n v="109.31849353662579"/>
    <x v="914"/>
    <n v="4"/>
  </r>
  <r>
    <s v="Mobile - US&gt;Travel&gt;Car Rentals&gt;Enterprise"/>
    <x v="1"/>
    <s v="Sign up Today - 10% Off"/>
    <s v="New York City"/>
    <x v="0"/>
    <x v="18"/>
    <x v="2"/>
    <x v="1"/>
    <n v="1445"/>
    <n v="0"/>
    <n v="353"/>
    <n v="627"/>
    <n v="1"/>
    <x v="921"/>
    <n v="0"/>
    <e v="#DIV/0!"/>
    <n v="1648.422155"/>
    <e v="#DIV/0!"/>
    <n v="2629.0624481658692"/>
    <x v="915"/>
    <n v="4"/>
  </r>
  <r>
    <s v="Media and Entertainment&gt;Movies"/>
    <x v="1"/>
    <s v="Sign up Now - 10% Off"/>
    <s v="Chicago"/>
    <x v="2"/>
    <x v="302"/>
    <x v="2"/>
    <x v="1"/>
    <n v="1399"/>
    <n v="0"/>
    <n v="895"/>
    <n v="1255"/>
    <n v="10"/>
    <x v="922"/>
    <n v="0"/>
    <e v="#DIV/0!"/>
    <n v="163.7084347"/>
    <e v="#DIV/0!"/>
    <n v="1304.4496788844622"/>
    <x v="916"/>
    <n v="2"/>
  </r>
  <r>
    <s v="US&gt;B2B&gt;B2B Decision Maker Responsibilities&gt;Print, Copy or Photo Services"/>
    <x v="1"/>
    <s v="Subscribe Today - 10% Discount"/>
    <s v="San Francisco"/>
    <x v="4"/>
    <x v="203"/>
    <x v="2"/>
    <x v="0"/>
    <n v="141157"/>
    <n v="0"/>
    <n v="8280"/>
    <n v="107935"/>
    <n v="4"/>
    <x v="923"/>
    <n v="0"/>
    <e v="#DIV/0!"/>
    <n v="407.94573724999998"/>
    <e v="#DIV/0!"/>
    <n v="15.118200296474731"/>
    <x v="917"/>
    <n v="4"/>
  </r>
  <r>
    <s v="Mobile - US&gt;Shopping&gt;Brand&gt;Ace Hardware"/>
    <x v="0"/>
    <s v="Sign up Today - 10% Off"/>
    <s v="Nashville"/>
    <x v="5"/>
    <x v="211"/>
    <x v="1"/>
    <x v="0"/>
    <n v="597"/>
    <n v="0"/>
    <n v="157"/>
    <n v="296"/>
    <n v="8"/>
    <x v="924"/>
    <n v="0"/>
    <e v="#DIV/0!"/>
    <n v="203.03695612499999"/>
    <e v="#DIV/0!"/>
    <n v="5487.4853006756748"/>
    <x v="918"/>
    <n v="4"/>
  </r>
  <r>
    <s v="US&gt;Interest Propensities&gt;Insurance&gt;Anthem"/>
    <x v="0"/>
    <s v="10% Discount - Ends 6/1"/>
    <s v="New York City"/>
    <x v="0"/>
    <x v="377"/>
    <x v="2"/>
    <x v="0"/>
    <n v="809"/>
    <n v="0"/>
    <n v="663"/>
    <n v="757"/>
    <n v="24"/>
    <x v="925"/>
    <n v="0"/>
    <e v="#DIV/0!"/>
    <n v="67.624315958333327"/>
    <e v="#DIV/0!"/>
    <n v="2143.967745046235"/>
    <x v="919"/>
    <n v="4"/>
  </r>
  <r>
    <s v="OnAudience&gt;Intent&gt;Electronics&gt;Communications"/>
    <x v="1"/>
    <s v="10% Discount - Ends 6/1"/>
    <s v="Ft. Myers-Naples"/>
    <x v="1"/>
    <x v="378"/>
    <x v="2"/>
    <x v="1"/>
    <n v="96"/>
    <n v="0"/>
    <n v="52"/>
    <n v="91"/>
    <n v="9"/>
    <x v="926"/>
    <n v="0"/>
    <e v="#DIV/0!"/>
    <n v="180.15930922222222"/>
    <e v="#DIV/0!"/>
    <n v="17817.953659340659"/>
    <x v="920"/>
    <n v="4"/>
  </r>
  <r>
    <s v="Media and Entertainment&gt;Sports and Recreational Activities&gt;Interest (Affinity)&gt;Team Sports&gt;Basketball"/>
    <x v="1"/>
    <s v="10% Discount - Ends 6/1"/>
    <s v="San Francisco"/>
    <x v="4"/>
    <x v="379"/>
    <x v="8"/>
    <x v="0"/>
    <n v="538"/>
    <n v="0"/>
    <n v="435"/>
    <n v="499"/>
    <n v="3"/>
    <x v="927"/>
    <n v="0"/>
    <e v="#DIV/0!"/>
    <n v="540.44725266666671"/>
    <e v="#DIV/0!"/>
    <n v="3249.1818797595192"/>
    <x v="921"/>
    <n v="5"/>
  </r>
  <r>
    <s v="US Interest&gt;Consumer Electronics"/>
    <x v="0"/>
    <s v="Sign up Now - 10% Off"/>
    <s v="New York City"/>
    <x v="0"/>
    <x v="28"/>
    <x v="2"/>
    <x v="0"/>
    <n v="15441"/>
    <n v="0"/>
    <n v="7626"/>
    <n v="14456"/>
    <n v="19"/>
    <x v="928"/>
    <n v="0"/>
    <e v="#DIV/0!"/>
    <n v="84.963632263157891"/>
    <e v="#DIV/0!"/>
    <n v="111.67051833148865"/>
    <x v="922"/>
    <n v="2"/>
  </r>
  <r>
    <s v="OnAudience&gt;Interest&gt;Arts &amp; Entertainment"/>
    <x v="0"/>
    <s v="Subscribe Today - 10% Discount"/>
    <s v="Los Angeles"/>
    <x v="4"/>
    <x v="380"/>
    <x v="3"/>
    <x v="0"/>
    <n v="37617"/>
    <n v="0"/>
    <n v="5092"/>
    <n v="34373"/>
    <n v="1"/>
    <x v="929"/>
    <n v="0"/>
    <e v="#DIV/0!"/>
    <n v="1608.8829519999999"/>
    <e v="#DIV/0!"/>
    <n v="46.806590987111974"/>
    <x v="923"/>
    <n v="3"/>
  </r>
  <r>
    <s v="Media and Entertainment&gt;Connected TV and Over-the-Top (CTV and OTT)&gt;Streaming Television and Film Viewership&gt;OTT Network Viewers&gt;FOX Streamers"/>
    <x v="1"/>
    <s v="Sign up Today - 10% Off"/>
    <s v="Memphis"/>
    <x v="5"/>
    <x v="381"/>
    <x v="8"/>
    <x v="1"/>
    <n v="1352"/>
    <n v="0"/>
    <n v="328"/>
    <n v="448"/>
    <n v="2"/>
    <x v="930"/>
    <n v="0"/>
    <e v="#DIV/0!"/>
    <n v="803.77648599999998"/>
    <e v="#DIV/0!"/>
    <n v="3588.2878839285713"/>
    <x v="924"/>
    <n v="5"/>
  </r>
  <r>
    <s v="Mobile - US&gt;Subscribers&gt;Domestic Mobile Carriers&gt;Verizon"/>
    <x v="1"/>
    <s v="Sign up Today - 10% Off"/>
    <s v="Ft. Myers-Naples"/>
    <x v="1"/>
    <x v="382"/>
    <x v="3"/>
    <x v="0"/>
    <n v="135"/>
    <n v="0"/>
    <n v="62"/>
    <n v="110"/>
    <n v="5"/>
    <x v="931"/>
    <n v="0"/>
    <e v="#DIV/0!"/>
    <n v="319.59145860000001"/>
    <e v="#DIV/0!"/>
    <n v="14526.884481818181"/>
    <x v="925"/>
    <n v="4"/>
  </r>
  <r>
    <s v="US&gt;Brand Propensities&gt;Automotive&gt;Ford Credit Buyer Propensity"/>
    <x v="0"/>
    <s v="Subscribe Today - 10% Discount"/>
    <s v="Jacksonville"/>
    <x v="1"/>
    <x v="115"/>
    <x v="2"/>
    <x v="0"/>
    <n v="304377"/>
    <n v="0"/>
    <n v="27519"/>
    <n v="270098"/>
    <n v="63"/>
    <x v="932"/>
    <n v="0"/>
    <e v="#DIV/0!"/>
    <n v="25.325192698412696"/>
    <e v="#DIV/0!"/>
    <n v="5.9070675828773256"/>
    <x v="926"/>
    <n v="4"/>
  </r>
  <r>
    <s v="US&gt;Interest Propensities&gt;Insurance&gt;Humana"/>
    <x v="2"/>
    <s v="Sign up Today - 10% Off"/>
    <s v="Ft. Myers-Naples"/>
    <x v="1"/>
    <x v="132"/>
    <x v="16"/>
    <x v="0"/>
    <n v="12459"/>
    <n v="0"/>
    <n v="7290"/>
    <n v="11731"/>
    <n v="14"/>
    <x v="933"/>
    <n v="0"/>
    <e v="#DIV/0!"/>
    <n v="113.78645707142857"/>
    <e v="#DIV/0!"/>
    <n v="135.79493640780836"/>
    <x v="927"/>
    <n v="4"/>
  </r>
  <r>
    <s v="OnAudience&gt;Intent&gt;Health &amp; Beauty"/>
    <x v="1"/>
    <s v="Sign up Today - 10% Off"/>
    <s v="Grand Rapids-Kalamazoo"/>
    <x v="6"/>
    <x v="383"/>
    <x v="5"/>
    <x v="1"/>
    <n v="136"/>
    <n v="0"/>
    <n v="109"/>
    <n v="131"/>
    <n v="2"/>
    <x v="934"/>
    <n v="0"/>
    <e v="#DIV/0!"/>
    <n v="796.05495350000001"/>
    <e v="#DIV/0!"/>
    <n v="12153.510740458016"/>
    <x v="928"/>
    <n v="3"/>
  </r>
  <r>
    <s v="Lotame&gt;Travel&gt;Summer Travel"/>
    <x v="1"/>
    <s v="Sign up Now - 10% Off"/>
    <s v="Tampa-St Petersburg (Sarasota)"/>
    <x v="1"/>
    <x v="248"/>
    <x v="2"/>
    <x v="2"/>
    <n v="16719"/>
    <n v="0"/>
    <n v="9944"/>
    <n v="15714"/>
    <n v="13"/>
    <x v="935"/>
    <n v="0"/>
    <e v="#DIV/0!"/>
    <n v="122.20365384615386"/>
    <e v="#DIV/0!"/>
    <n v="101.09758813796614"/>
    <x v="929"/>
    <n v="3"/>
  </r>
  <r>
    <s v="Lotame&gt;Technology&gt;Computers &amp; Software"/>
    <x v="1"/>
    <s v="Subscribe Today - 10% Discount"/>
    <s v="Miami-Ft. Lauderdale"/>
    <x v="1"/>
    <x v="384"/>
    <x v="2"/>
    <x v="1"/>
    <n v="54"/>
    <n v="0"/>
    <n v="32"/>
    <n v="48"/>
    <n v="2"/>
    <x v="936"/>
    <n v="0"/>
    <e v="#DIV/0!"/>
    <n v="793.33022100000005"/>
    <e v="#DIV/0!"/>
    <n v="33055.425875000008"/>
    <x v="930"/>
    <n v="3"/>
  </r>
  <r>
    <s v="OnAudience&gt;Intent&gt;Toys &amp; Games"/>
    <x v="0"/>
    <s v="Subscribe Today - 10% Discount"/>
    <s v="Chicago"/>
    <x v="2"/>
    <x v="52"/>
    <x v="2"/>
    <x v="0"/>
    <n v="9222"/>
    <n v="0"/>
    <n v="5352"/>
    <n v="8141"/>
    <n v="1"/>
    <x v="937"/>
    <n v="0"/>
    <e v="#DIV/0!"/>
    <n v="1583.1643019999999"/>
    <e v="#DIV/0!"/>
    <n v="194.46803857020021"/>
    <x v="931"/>
    <n v="3"/>
  </r>
  <r>
    <s v="US&gt;Brand Propensities&gt;Health&gt;Beauty and Cosmetics&gt;Bare Escentuals Buyer Propensity"/>
    <x v="1"/>
    <s v="10% Discount - Ends 6/1"/>
    <s v="Ft. Wayne"/>
    <x v="3"/>
    <x v="113"/>
    <x v="5"/>
    <x v="0"/>
    <n v="14922"/>
    <n v="0"/>
    <n v="10713"/>
    <n v="13992"/>
    <n v="1"/>
    <x v="938"/>
    <n v="0"/>
    <e v="#DIV/0!"/>
    <n v="1578.876432"/>
    <e v="#DIV/0!"/>
    <n v="112.84136878216124"/>
    <x v="932"/>
    <n v="5"/>
  </r>
  <r>
    <s v="Telecommunications and Mobile Tech&gt;Mobile Devices and Connected Technology"/>
    <x v="1"/>
    <s v="Subscribe Today - 10% Discount"/>
    <s v="Grand Rapids-Kalamazoo"/>
    <x v="6"/>
    <x v="50"/>
    <x v="5"/>
    <x v="2"/>
    <n v="11269"/>
    <n v="0"/>
    <n v="4992"/>
    <n v="10245"/>
    <n v="1"/>
    <x v="939"/>
    <n v="0"/>
    <e v="#DIV/0!"/>
    <n v="1576.38921"/>
    <e v="#DIV/0!"/>
    <n v="153.86912737920937"/>
    <x v="933"/>
    <n v="2"/>
  </r>
  <r>
    <s v="OnAudience&gt;Interest&gt;Science&gt;Weather Forecast"/>
    <x v="1"/>
    <s v="Sign up Today - 10% Off"/>
    <s v="Los Angeles"/>
    <x v="4"/>
    <x v="18"/>
    <x v="2"/>
    <x v="1"/>
    <n v="16808"/>
    <n v="0"/>
    <n v="9211"/>
    <n v="13372"/>
    <n v="1"/>
    <x v="940"/>
    <n v="0"/>
    <e v="#DIV/0!"/>
    <n v="1574.7912799999999"/>
    <e v="#DIV/0!"/>
    <n v="117.76781932396051"/>
    <x v="934"/>
    <n v="4"/>
  </r>
  <r>
    <s v="Mobile - US&gt;Food&gt;Restaurant&gt;Style&gt;Desserts"/>
    <x v="1"/>
    <s v="Sign up Today - 10% Off"/>
    <s v="New York City"/>
    <x v="0"/>
    <x v="199"/>
    <x v="1"/>
    <x v="2"/>
    <n v="18028"/>
    <n v="0"/>
    <n v="1851"/>
    <n v="14926"/>
    <n v="24"/>
    <x v="941"/>
    <n v="0"/>
    <e v="#DIV/0!"/>
    <n v="65.510071249999996"/>
    <e v="#DIV/0!"/>
    <n v="105.33577046764037"/>
    <x v="935"/>
    <n v="5"/>
  </r>
  <r>
    <s v="Media and Entertainment&gt;Gaming&gt;Interest (Affinity)&gt;Platforms and Consoles"/>
    <x v="0"/>
    <s v="10% Discount - Ends 6/1"/>
    <s v="Augusta"/>
    <x v="8"/>
    <x v="377"/>
    <x v="2"/>
    <x v="0"/>
    <n v="208"/>
    <n v="0"/>
    <n v="159"/>
    <n v="198"/>
    <n v="3"/>
    <x v="942"/>
    <n v="0"/>
    <e v="#DIV/0!"/>
    <n v="522.52781300000004"/>
    <e v="#DIV/0!"/>
    <n v="7917.088075757576"/>
    <x v="936"/>
    <n v="4"/>
  </r>
  <r>
    <s v="US&gt;Big Box Audience"/>
    <x v="1"/>
    <s v="Sign up Today - 10% Off"/>
    <s v="Miami-Ft. Lauderdale"/>
    <x v="1"/>
    <x v="385"/>
    <x v="1"/>
    <x v="1"/>
    <n v="35"/>
    <n v="0"/>
    <n v="28"/>
    <n v="34"/>
    <n v="2"/>
    <x v="943"/>
    <n v="0"/>
    <e v="#DIV/0!"/>
    <n v="781.22130049999998"/>
    <e v="#DIV/0!"/>
    <n v="45954.194147058821"/>
    <x v="817"/>
    <n v="2"/>
  </r>
  <r>
    <s v="Lotame&gt;Online Shoppers"/>
    <x v="1"/>
    <s v="Sign up Now - 10% Off"/>
    <s v="New York City"/>
    <x v="0"/>
    <x v="386"/>
    <x v="2"/>
    <x v="0"/>
    <n v="183"/>
    <n v="0"/>
    <n v="140"/>
    <n v="162"/>
    <n v="3"/>
    <x v="944"/>
    <n v="0"/>
    <e v="#DIV/0!"/>
    <n v="520.66624433333334"/>
    <e v="#DIV/0!"/>
    <n v="9641.9674876543195"/>
    <x v="937"/>
    <n v="2"/>
  </r>
  <r>
    <s v="Media and Entertainment&gt;Sports and Recreational Activities&gt;Interest (Affinity)&gt;Team Sports&gt;Soccer (Football)"/>
    <x v="1"/>
    <s v="Sign up Today - 10% Off"/>
    <s v="Nashville"/>
    <x v="5"/>
    <x v="33"/>
    <x v="1"/>
    <x v="0"/>
    <n v="7402"/>
    <n v="0"/>
    <n v="3860"/>
    <n v="6406"/>
    <n v="1"/>
    <x v="945"/>
    <n v="0"/>
    <e v="#DIV/0!"/>
    <n v="1560.449936"/>
    <e v="#DIV/0!"/>
    <n v="243.59193506088042"/>
    <x v="938"/>
    <n v="5"/>
  </r>
  <r>
    <s v="Media and Entertainment&gt;Sports and Recreational Activities&gt;Interest (Affinity)&gt;Combat Sports"/>
    <x v="0"/>
    <s v="Sign up Now - 10% Off"/>
    <s v="Los Angeles"/>
    <x v="4"/>
    <x v="201"/>
    <x v="10"/>
    <x v="0"/>
    <n v="13592"/>
    <n v="0"/>
    <n v="7747"/>
    <n v="10690"/>
    <n v="1"/>
    <x v="946"/>
    <n v="0"/>
    <e v="#DIV/0!"/>
    <n v="1555.1120780000001"/>
    <e v="#DIV/0!"/>
    <n v="145.47353395696913"/>
    <x v="939"/>
    <n v="4"/>
  </r>
  <r>
    <s v="Mobile - US&gt;Demographics&gt;Finance&gt;Rent Value&gt;Highest Rent Value"/>
    <x v="1"/>
    <s v="Subscribe Today - 10% Discount"/>
    <s v="Grand Rapids-Kalamazoo"/>
    <x v="6"/>
    <x v="245"/>
    <x v="2"/>
    <x v="0"/>
    <n v="11214"/>
    <n v="0"/>
    <n v="5523"/>
    <n v="10267"/>
    <n v="1"/>
    <x v="947"/>
    <n v="0"/>
    <e v="#DIV/0!"/>
    <n v="1554.3892149999999"/>
    <e v="#DIV/0!"/>
    <n v="151.39663144053765"/>
    <x v="940"/>
    <n v="5"/>
  </r>
  <r>
    <s v="Transactional&gt;Q3 Home Improvement Shoppers"/>
    <x v="1"/>
    <s v="10% Discount - Ends 6/1"/>
    <s v="New York City"/>
    <x v="0"/>
    <x v="387"/>
    <x v="6"/>
    <x v="1"/>
    <n v="3323"/>
    <n v="0"/>
    <n v="1368"/>
    <n v="3159"/>
    <n v="1"/>
    <x v="948"/>
    <n v="0"/>
    <e v="#DIV/0!"/>
    <n v="1553.592901"/>
    <e v="#DIV/0!"/>
    <n v="491.7989556821779"/>
    <x v="941"/>
    <n v="2"/>
  </r>
  <r>
    <s v="US&gt;Socially Connected Audience"/>
    <x v="1"/>
    <s v="10% Discount - Ends 6/1"/>
    <s v="Los Angeles"/>
    <x v="4"/>
    <x v="388"/>
    <x v="2"/>
    <x v="0"/>
    <n v="113"/>
    <n v="0"/>
    <n v="52"/>
    <n v="84"/>
    <n v="3"/>
    <x v="949"/>
    <n v="0"/>
    <e v="#DIV/0!"/>
    <n v="517.6560383333333"/>
    <e v="#DIV/0!"/>
    <n v="18487.715654761902"/>
    <x v="942"/>
    <n v="2"/>
  </r>
  <r>
    <s v="US Technology&gt;Social Media&gt;Likely Behavior&gt;Heavy Facebook User"/>
    <x v="1"/>
    <s v="10% Discount - Ends 6/1"/>
    <s v="New York City"/>
    <x v="0"/>
    <x v="115"/>
    <x v="2"/>
    <x v="0"/>
    <n v="312206"/>
    <n v="0"/>
    <n v="35661"/>
    <n v="292992"/>
    <n v="4"/>
    <x v="950"/>
    <n v="0"/>
    <e v="#DIV/0!"/>
    <n v="387.7345795"/>
    <e v="#DIV/0!"/>
    <n v="5.2934493706312793"/>
    <x v="943"/>
    <n v="4"/>
  </r>
  <r>
    <s v="World Localities&gt;North America&gt;USA"/>
    <x v="0"/>
    <s v="10% Discount - Ends 6/1"/>
    <s v="New York City"/>
    <x v="0"/>
    <x v="367"/>
    <x v="5"/>
    <x v="0"/>
    <n v="6114"/>
    <n v="0"/>
    <n v="3803"/>
    <n v="5667"/>
    <n v="2"/>
    <x v="951"/>
    <n v="0"/>
    <e v="#DIV/0!"/>
    <n v="770.89626750000002"/>
    <e v="#DIV/0!"/>
    <n v="272.06503176283746"/>
    <x v="944"/>
    <n v="3"/>
  </r>
  <r>
    <s v="US&gt;Sociodemographic&gt;PRIZM Premier Lifestage&gt;Y1 Midlife Success"/>
    <x v="1"/>
    <s v="Subscribe Today - 10% Discount"/>
    <s v="Nashville"/>
    <x v="5"/>
    <x v="389"/>
    <x v="2"/>
    <x v="0"/>
    <n v="2972"/>
    <n v="0"/>
    <n v="1701"/>
    <n v="2675"/>
    <n v="13"/>
    <x v="952"/>
    <n v="0"/>
    <e v="#DIV/0!"/>
    <n v="118.04111484615386"/>
    <e v="#DIV/0!"/>
    <n v="573.65775439252343"/>
    <x v="945"/>
    <n v="4"/>
  </r>
  <r>
    <s v="OnAudience&gt;Intent&gt;Toys &amp; Games&gt;Games"/>
    <x v="1"/>
    <s v="10% Discount - Ends 6/1"/>
    <s v="Knoxville"/>
    <x v="5"/>
    <x v="390"/>
    <x v="5"/>
    <x v="0"/>
    <n v="694"/>
    <n v="0"/>
    <n v="154"/>
    <n v="625"/>
    <n v="3"/>
    <x v="953"/>
    <n v="0"/>
    <e v="#DIV/0!"/>
    <n v="511.34727900000001"/>
    <e v="#DIV/0!"/>
    <n v="2454.4669392000001"/>
    <x v="946"/>
    <n v="4"/>
  </r>
  <r>
    <s v="US Interest&gt;Reading&gt;General"/>
    <x v="0"/>
    <s v="Subscribe Today - 10% Discount"/>
    <s v="Chattanooga"/>
    <x v="5"/>
    <x v="391"/>
    <x v="1"/>
    <x v="0"/>
    <n v="43"/>
    <n v="0"/>
    <n v="26"/>
    <n v="40"/>
    <n v="10"/>
    <x v="954"/>
    <n v="0"/>
    <e v="#DIV/0!"/>
    <n v="153.3000394"/>
    <e v="#DIV/0!"/>
    <n v="38325.009850000002"/>
    <x v="947"/>
    <n v="3"/>
  </r>
  <r>
    <s v="OnAudience&gt;Interest&gt;Personal Finance&gt;Financial News"/>
    <x v="0"/>
    <s v="10% Discount - Ends 6/1"/>
    <s v="Chicago"/>
    <x v="2"/>
    <x v="392"/>
    <x v="2"/>
    <x v="0"/>
    <n v="1575"/>
    <n v="0"/>
    <n v="833"/>
    <n v="1487"/>
    <n v="24"/>
    <x v="955"/>
    <n v="0"/>
    <e v="#DIV/0!"/>
    <n v="63.617981208333333"/>
    <e v="#DIV/0!"/>
    <n v="1026.7865158036316"/>
    <x v="948"/>
    <n v="4"/>
  </r>
  <r>
    <s v="US&gt;Interest Propensities&gt;Activities and Interests&gt;International News"/>
    <x v="2"/>
    <s v="Subscribe Today - 10% Discount"/>
    <s v="Rockford"/>
    <x v="2"/>
    <x v="393"/>
    <x v="2"/>
    <x v="0"/>
    <n v="9946"/>
    <n v="0"/>
    <n v="4818"/>
    <n v="7382"/>
    <n v="1"/>
    <x v="956"/>
    <n v="0"/>
    <e v="#DIV/0!"/>
    <n v="1525.962329"/>
    <e v="#DIV/0!"/>
    <n v="206.71394324031428"/>
    <x v="949"/>
    <n v="4"/>
  </r>
  <r>
    <s v="US&gt;Sociodemographic&gt;PRIZM Premier Social&gt;S3 Middleburbs"/>
    <x v="1"/>
    <s v="10% Discount - Ends 6/1"/>
    <s v="Nashville"/>
    <x v="5"/>
    <x v="394"/>
    <x v="2"/>
    <x v="0"/>
    <n v="195"/>
    <n v="0"/>
    <n v="145"/>
    <n v="185"/>
    <n v="8"/>
    <x v="957"/>
    <n v="0"/>
    <e v="#DIV/0!"/>
    <n v="190.38652387499999"/>
    <e v="#DIV/0!"/>
    <n v="8232.9307621621629"/>
    <x v="950"/>
    <n v="4"/>
  </r>
  <r>
    <s v="US&gt;Home and Garden Interests&gt;Cooking&gt;Food Enthusiasts"/>
    <x v="0"/>
    <s v="Subscribe Today - 10% Discount"/>
    <s v="Ft. Myers-Naples"/>
    <x v="1"/>
    <x v="248"/>
    <x v="5"/>
    <x v="0"/>
    <n v="12592"/>
    <n v="0"/>
    <n v="7472"/>
    <n v="11687"/>
    <n v="1"/>
    <x v="958"/>
    <n v="0"/>
    <e v="#DIV/0!"/>
    <n v="1521.185189"/>
    <e v="#DIV/0!"/>
    <n v="130.1604508428168"/>
    <x v="951"/>
    <n v="4"/>
  </r>
  <r>
    <s v="OnAudience&gt;Interest&gt;Family &amp; Parenting"/>
    <x v="1"/>
    <s v="10% Discount - Ends 6/1"/>
    <s v="Toledo"/>
    <x v="7"/>
    <x v="395"/>
    <x v="3"/>
    <x v="1"/>
    <n v="1530"/>
    <n v="0"/>
    <n v="999"/>
    <n v="1423"/>
    <n v="15"/>
    <x v="959"/>
    <n v="0"/>
    <e v="#DIV/0!"/>
    <n v="101.24471426666668"/>
    <e v="#DIV/0!"/>
    <n v="1067.2317034434295"/>
    <x v="952"/>
    <n v="3"/>
  </r>
  <r>
    <s v="OnAudience&gt;Intent&gt;Finance&gt;Savings"/>
    <x v="1"/>
    <s v="Sign up Today - 10% Off"/>
    <s v="Jacksonville"/>
    <x v="1"/>
    <x v="396"/>
    <x v="1"/>
    <x v="0"/>
    <n v="1809"/>
    <n v="0"/>
    <n v="723"/>
    <n v="863"/>
    <n v="7"/>
    <x v="960"/>
    <n v="0"/>
    <e v="#DIV/0!"/>
    <n v="216.11593257142857"/>
    <e v="#DIV/0!"/>
    <n v="1752.9681668597914"/>
    <x v="953"/>
    <n v="4"/>
  </r>
  <r>
    <s v="Transactional&gt;Q3 Fashion Shoppers"/>
    <x v="2"/>
    <s v="Sign up Today - 10% Off"/>
    <s v="Flint-Saginaw-Bay City"/>
    <x v="6"/>
    <x v="115"/>
    <x v="6"/>
    <x v="0"/>
    <n v="130602"/>
    <n v="0"/>
    <n v="11736"/>
    <n v="113735"/>
    <n v="4"/>
    <x v="961"/>
    <n v="0"/>
    <e v="#DIV/0!"/>
    <n v="376.96177999999998"/>
    <e v="#DIV/0!"/>
    <n v="13.257547105112762"/>
    <x v="954"/>
    <n v="2"/>
  </r>
  <r>
    <s v="US&gt;Interest Propensities&gt;Activities and Interests&gt;B2B Job Search"/>
    <x v="0"/>
    <s v="Sign up Today - 10% Off"/>
    <s v="Memphis"/>
    <x v="5"/>
    <x v="132"/>
    <x v="1"/>
    <x v="0"/>
    <n v="32714"/>
    <n v="0"/>
    <n v="3756"/>
    <n v="30764"/>
    <n v="15"/>
    <x v="962"/>
    <n v="0"/>
    <e v="#DIV/0!"/>
    <n v="100.44162026666666"/>
    <e v="#DIV/0!"/>
    <n v="48.973615394617077"/>
    <x v="955"/>
    <n v="4"/>
  </r>
  <r>
    <s v="US&gt;Brand Propensities&gt;Home and Household Goods&gt;Joss and Main Buyer Propensity"/>
    <x v="0"/>
    <s v="Sign up Now - 10% Off"/>
    <s v="San Francisco"/>
    <x v="4"/>
    <x v="397"/>
    <x v="12"/>
    <x v="0"/>
    <n v="7201"/>
    <n v="0"/>
    <n v="3484"/>
    <n v="6614"/>
    <n v="1"/>
    <x v="963"/>
    <n v="0"/>
    <e v="#DIV/0!"/>
    <n v="1506.2660000000001"/>
    <e v="#DIV/0!"/>
    <n v="227.73903840338679"/>
    <x v="956"/>
    <n v="4"/>
  </r>
  <r>
    <s v="US&gt;Demographic&gt;Family&gt;Female Head of Household"/>
    <x v="1"/>
    <s v="Subscribe Today - 10% Discount"/>
    <s v="Nashville"/>
    <x v="5"/>
    <x v="367"/>
    <x v="2"/>
    <x v="0"/>
    <n v="14984"/>
    <n v="0"/>
    <n v="9614"/>
    <n v="14086"/>
    <n v="3"/>
    <x v="964"/>
    <n v="0"/>
    <e v="#DIV/0!"/>
    <n v="501.66987833333332"/>
    <e v="#DIV/0!"/>
    <n v="106.8443585829902"/>
    <x v="957"/>
    <n v="4"/>
  </r>
  <r>
    <s v="Mobile - US&gt;Device Ownership&gt;Smartphones&gt;Huawei"/>
    <x v="1"/>
    <s v="Sign up Now - 10% Off"/>
    <s v="Tampa-St Petersburg (Sarasota)"/>
    <x v="1"/>
    <x v="113"/>
    <x v="2"/>
    <x v="0"/>
    <n v="7427"/>
    <n v="0"/>
    <n v="4752"/>
    <n v="6566"/>
    <n v="1"/>
    <x v="965"/>
    <n v="0"/>
    <e v="#DIV/0!"/>
    <n v="1504.784161"/>
    <e v="#DIV/0!"/>
    <n v="229.17821519951264"/>
    <x v="958"/>
    <n v="4"/>
  </r>
  <r>
    <s v="US&gt;Sociodemographic&gt;ConneXions Lifestage&gt;F2 Suburban Spenders"/>
    <x v="0"/>
    <s v="Sign up Today - 10% Off"/>
    <s v="San Francisco"/>
    <x v="4"/>
    <x v="12"/>
    <x v="2"/>
    <x v="0"/>
    <n v="292885"/>
    <n v="0"/>
    <n v="12733"/>
    <n v="203986"/>
    <n v="4"/>
    <x v="966"/>
    <n v="0"/>
    <e v="#DIV/0!"/>
    <n v="375.97826350000003"/>
    <e v="#DIV/0!"/>
    <n v="7.3726287784455797"/>
    <x v="959"/>
    <n v="4"/>
  </r>
  <r>
    <s v="Mobile - US&gt;Device Ownership&gt;Smartphones&gt;Vivo"/>
    <x v="2"/>
    <s v="Subscribe Today - 10% Discount"/>
    <s v="Los Angeles"/>
    <x v="4"/>
    <x v="147"/>
    <x v="2"/>
    <x v="0"/>
    <n v="9178"/>
    <n v="0"/>
    <n v="4644"/>
    <n v="8462"/>
    <n v="1"/>
    <x v="967"/>
    <n v="0"/>
    <e v="#DIV/0!"/>
    <n v="1503.205183"/>
    <e v="#DIV/0!"/>
    <n v="177.64183207279603"/>
    <x v="960"/>
    <n v="4"/>
  </r>
  <r>
    <s v="OnAudience&gt;Interest&gt;Technology &amp; Computing&gt;Email"/>
    <x v="0"/>
    <s v="Sign up Today - 10% Off"/>
    <s v="Jacksonville"/>
    <x v="1"/>
    <x v="398"/>
    <x v="11"/>
    <x v="0"/>
    <n v="16956"/>
    <n v="0"/>
    <n v="7553"/>
    <n v="15201"/>
    <n v="3"/>
    <x v="968"/>
    <n v="0"/>
    <e v="#DIV/0!"/>
    <n v="500.8933796666667"/>
    <e v="#DIV/0!"/>
    <n v="98.854031905795665"/>
    <x v="961"/>
    <n v="4"/>
  </r>
  <r>
    <s v="OnAudience&gt;Intent&gt;Education"/>
    <x v="0"/>
    <s v="Subscribe Today - 10% Discount"/>
    <s v="Flint-Saginaw-Bay City"/>
    <x v="6"/>
    <x v="171"/>
    <x v="5"/>
    <x v="0"/>
    <n v="19344"/>
    <n v="0"/>
    <n v="2353"/>
    <n v="18261"/>
    <n v="10"/>
    <x v="969"/>
    <n v="0"/>
    <e v="#DIV/0!"/>
    <n v="150.07222910000002"/>
    <e v="#DIV/0!"/>
    <n v="82.181824160779811"/>
    <x v="962"/>
    <n v="3"/>
  </r>
  <r>
    <s v="US&gt;Sociodemographic&gt;PRIZM Premier Social&gt;S4 Inner Suburbs"/>
    <x v="0"/>
    <s v="Subscribe Today - 10% Discount"/>
    <s v="New York City"/>
    <x v="0"/>
    <x v="399"/>
    <x v="1"/>
    <x v="0"/>
    <n v="1141"/>
    <n v="0"/>
    <n v="671"/>
    <n v="998"/>
    <n v="11"/>
    <x v="970"/>
    <n v="0"/>
    <e v="#DIV/0!"/>
    <n v="136.34387072727273"/>
    <e v="#DIV/0!"/>
    <n v="1502.7881543086173"/>
    <x v="963"/>
    <n v="4"/>
  </r>
  <r>
    <s v="Mobile - US&gt;Shopping&gt;Brand&gt;Dicks"/>
    <x v="2"/>
    <s v="Subscribe Today - 10% Discount"/>
    <s v="Ft. Myers-Naples"/>
    <x v="1"/>
    <x v="400"/>
    <x v="1"/>
    <x v="0"/>
    <n v="6298"/>
    <n v="0"/>
    <n v="3345"/>
    <n v="4451"/>
    <n v="2"/>
    <x v="971"/>
    <n v="0"/>
    <e v="#DIV/0!"/>
    <n v="749.67398300000002"/>
    <e v="#DIV/0!"/>
    <n v="336.85642911705236"/>
    <x v="964"/>
    <n v="4"/>
  </r>
  <r>
    <s v="OnAudience&gt;Interest&gt;Arts &amp; Entertainment&gt;Music"/>
    <x v="1"/>
    <s v="Sign up Today - 10% Off"/>
    <s v="Los Angeles"/>
    <x v="4"/>
    <x v="401"/>
    <x v="1"/>
    <x v="1"/>
    <n v="1446"/>
    <n v="0"/>
    <n v="948"/>
    <n v="1314"/>
    <n v="1"/>
    <x v="972"/>
    <n v="0"/>
    <e v="#DIV/0!"/>
    <n v="1498.586601"/>
    <e v="#DIV/0!"/>
    <n v="1140.4768652968037"/>
    <x v="965"/>
    <n v="4"/>
  </r>
  <r>
    <s v="Mobile - US&gt;Food&gt;Restaurant&gt;Brand&gt;Jersey Mikes"/>
    <x v="0"/>
    <s v="10% Discount - Ends 6/1"/>
    <s v="Columbus-Tupelo-West Point"/>
    <x v="13"/>
    <x v="402"/>
    <x v="1"/>
    <x v="0"/>
    <n v="64"/>
    <n v="0"/>
    <n v="44"/>
    <n v="53"/>
    <n v="1"/>
    <x v="973"/>
    <n v="0"/>
    <e v="#DIV/0!"/>
    <n v="1495.2285810000001"/>
    <e v="#DIV/0!"/>
    <n v="28211.860018867927"/>
    <x v="966"/>
    <n v="5"/>
  </r>
  <r>
    <s v="Mobile - US&gt;Device Ownership&gt;Smartphones&gt;iOS (Apple)&gt;iPhone 11"/>
    <x v="0"/>
    <s v="10% Discount - Ends 6/1"/>
    <s v="New York City"/>
    <x v="0"/>
    <x v="35"/>
    <x v="2"/>
    <x v="0"/>
    <n v="22163"/>
    <n v="0"/>
    <n v="2368"/>
    <n v="8130"/>
    <n v="1"/>
    <x v="974"/>
    <n v="0"/>
    <e v="#DIV/0!"/>
    <n v="1493.7793280000001"/>
    <e v="#DIV/0!"/>
    <n v="183.73669471094712"/>
    <x v="967"/>
    <n v="5"/>
  </r>
  <r>
    <s v="OnAudience&gt;Interest&gt;Shopping&gt;Online Shoppers"/>
    <x v="0"/>
    <s v="Sign up Today - 10% Off"/>
    <s v="New York City"/>
    <x v="0"/>
    <x v="403"/>
    <x v="4"/>
    <x v="0"/>
    <n v="1596"/>
    <n v="0"/>
    <n v="473"/>
    <n v="1454"/>
    <n v="24"/>
    <x v="975"/>
    <n v="0"/>
    <e v="#DIV/0!"/>
    <n v="62.22117325"/>
    <e v="#DIV/0!"/>
    <n v="1027.0344965612105"/>
    <x v="968"/>
    <n v="4"/>
  </r>
  <r>
    <s v="Travel"/>
    <x v="1"/>
    <s v="Sign up Now - 10% Off"/>
    <s v="Knoxville"/>
    <x v="5"/>
    <x v="404"/>
    <x v="2"/>
    <x v="0"/>
    <n v="868"/>
    <n v="0"/>
    <n v="404"/>
    <n v="597"/>
    <n v="4"/>
    <x v="976"/>
    <n v="0"/>
    <e v="#DIV/0!"/>
    <n v="373.05625325"/>
    <e v="#DIV/0!"/>
    <n v="2499.5393852596312"/>
    <x v="969"/>
    <n v="1"/>
  </r>
  <r>
    <s v="Lotame&gt;Social Media&gt;Online Dating"/>
    <x v="0"/>
    <s v="Subscribe Today - 10% Discount"/>
    <s v="Meridian"/>
    <x v="13"/>
    <x v="405"/>
    <x v="2"/>
    <x v="0"/>
    <n v="53"/>
    <n v="0"/>
    <n v="34"/>
    <n v="50"/>
    <n v="11"/>
    <x v="977"/>
    <n v="0"/>
    <e v="#DIV/0!"/>
    <n v="135.55640027272727"/>
    <e v="#DIV/0!"/>
    <n v="29822.408059999998"/>
    <x v="970"/>
    <n v="3"/>
  </r>
  <r>
    <s v="OnAudience&gt;Interest&gt;Lifestyle"/>
    <x v="0"/>
    <s v="10% Discount - Ends 6/1"/>
    <s v="Chicago"/>
    <x v="2"/>
    <x v="406"/>
    <x v="2"/>
    <x v="0"/>
    <n v="149"/>
    <n v="0"/>
    <n v="65"/>
    <n v="205"/>
    <n v="19"/>
    <x v="978"/>
    <n v="0"/>
    <e v="#DIV/0!"/>
    <n v="78.441338368421043"/>
    <e v="#DIV/0!"/>
    <n v="7270.1728243902435"/>
    <x v="971"/>
    <n v="3"/>
  </r>
  <r>
    <s v="Mobile - US&gt;Food&gt;Coffee &amp; Tea"/>
    <x v="2"/>
    <s v="Sign up Now - 10% Off"/>
    <s v="Ft. Myers-Naples"/>
    <x v="1"/>
    <x v="5"/>
    <x v="4"/>
    <x v="0"/>
    <n v="1443"/>
    <n v="0"/>
    <n v="1179"/>
    <n v="1293"/>
    <n v="1"/>
    <x v="979"/>
    <n v="0"/>
    <e v="#DIV/0!"/>
    <n v="1487.0267369999999"/>
    <e v="#DIV/0!"/>
    <n v="1150.0593480278424"/>
    <x v="972"/>
    <n v="3"/>
  </r>
  <r>
    <s v="US Interest&gt;Home&gt;Furnishings&gt;Decorating"/>
    <x v="1"/>
    <s v="Subscribe Today - 10% Discount"/>
    <s v="West Palm Beach-Ft. Pierce"/>
    <x v="1"/>
    <x v="407"/>
    <x v="10"/>
    <x v="2"/>
    <n v="5772"/>
    <n v="0"/>
    <n v="894"/>
    <n v="4612"/>
    <n v="6"/>
    <x v="980"/>
    <n v="0"/>
    <e v="#DIV/0!"/>
    <n v="247.50943433333336"/>
    <e v="#DIV/0!"/>
    <n v="321.99839679098005"/>
    <x v="973"/>
    <n v="4"/>
  </r>
  <r>
    <s v="OnAudience&gt;Interest&gt;Style &amp; Fashion"/>
    <x v="0"/>
    <s v="Sign up Now - 10% Off"/>
    <s v="Memphis"/>
    <x v="5"/>
    <x v="399"/>
    <x v="13"/>
    <x v="0"/>
    <n v="1621"/>
    <n v="0"/>
    <n v="1247"/>
    <n v="1526"/>
    <n v="1"/>
    <x v="981"/>
    <n v="0"/>
    <e v="#DIV/0!"/>
    <n v="1479.823132"/>
    <e v="#DIV/0!"/>
    <n v="969.73992922673654"/>
    <x v="974"/>
    <n v="3"/>
  </r>
  <r>
    <s v="US&gt;Brand Propensities&gt;Apparel&gt;Chicos Buyer Propensity"/>
    <x v="0"/>
    <s v="Sign up Today - 10% Off"/>
    <s v="Jacksonville"/>
    <x v="1"/>
    <x v="408"/>
    <x v="2"/>
    <x v="0"/>
    <n v="770"/>
    <n v="0"/>
    <n v="15"/>
    <n v="172"/>
    <n v="2"/>
    <x v="982"/>
    <n v="0"/>
    <e v="#DIV/0!"/>
    <n v="739.90996299999995"/>
    <e v="#DIV/0!"/>
    <n v="8603.6042209302304"/>
    <x v="975"/>
    <n v="4"/>
  </r>
  <r>
    <s v="US&gt;Composite Segment&gt;Women Born to Shop"/>
    <x v="0"/>
    <s v="Subscribe Today - 10% Discount"/>
    <s v="San Francisco"/>
    <x v="4"/>
    <x v="27"/>
    <x v="4"/>
    <x v="0"/>
    <n v="12220"/>
    <n v="0"/>
    <n v="7133"/>
    <n v="11331"/>
    <n v="13"/>
    <x v="983"/>
    <n v="0"/>
    <e v="#DIV/0!"/>
    <n v="113.72248053846154"/>
    <e v="#DIV/0!"/>
    <n v="130.47323687229724"/>
    <x v="976"/>
    <n v="3"/>
  </r>
  <r>
    <s v="Mobile - US&gt;Sports&gt;Water Sports&gt;Boating"/>
    <x v="0"/>
    <s v="10% Discount - Ends 6/1"/>
    <s v="New York City"/>
    <x v="0"/>
    <x v="289"/>
    <x v="15"/>
    <x v="0"/>
    <n v="13655"/>
    <n v="0"/>
    <n v="9519"/>
    <n v="13041"/>
    <n v="1"/>
    <x v="984"/>
    <n v="0"/>
    <e v="#DIV/0!"/>
    <n v="1475.2451189999999"/>
    <e v="#DIV/0!"/>
    <n v="113.12361927766275"/>
    <x v="977"/>
    <n v="4"/>
  </r>
  <r>
    <s v="Lotame&gt;Style, Fashion &amp; Clothing&gt;Women's Clothing Shoppers"/>
    <x v="0"/>
    <s v="Subscribe Today - 10% Discount"/>
    <s v="Orlando-Daytona Beach"/>
    <x v="1"/>
    <x v="147"/>
    <x v="4"/>
    <x v="0"/>
    <n v="9040"/>
    <n v="0"/>
    <n v="3585"/>
    <n v="8450"/>
    <n v="1"/>
    <x v="985"/>
    <n v="0"/>
    <e v="#DIV/0!"/>
    <n v="1473.192464"/>
    <e v="#DIV/0!"/>
    <n v="174.34230343195267"/>
    <x v="978"/>
    <n v="3"/>
  </r>
  <r>
    <s v="OnAudience&gt;Intent&gt;Media&gt;DVDs &amp; Videos"/>
    <x v="0"/>
    <s v="10% Discount - Ends 6/1"/>
    <s v="Grand Rapids-Kalamazoo"/>
    <x v="6"/>
    <x v="409"/>
    <x v="2"/>
    <x v="0"/>
    <n v="34"/>
    <n v="0"/>
    <n v="19"/>
    <n v="22"/>
    <n v="9"/>
    <x v="986"/>
    <n v="0"/>
    <e v="#DIV/0!"/>
    <n v="163.47024822222224"/>
    <e v="#DIV/0!"/>
    <n v="66874.192454545453"/>
    <x v="979"/>
    <n v="4"/>
  </r>
  <r>
    <s v="OnAudience&gt;Intent&gt;Auto"/>
    <x v="1"/>
    <s v="Subscribe Today - 10% Discount"/>
    <s v="New York City"/>
    <x v="0"/>
    <x v="410"/>
    <x v="5"/>
    <x v="0"/>
    <n v="736"/>
    <n v="0"/>
    <n v="524"/>
    <n v="714"/>
    <n v="8"/>
    <x v="987"/>
    <n v="0"/>
    <e v="#DIV/0!"/>
    <n v="183.53677937500001"/>
    <e v="#DIV/0!"/>
    <n v="2056.4345028011207"/>
    <x v="980"/>
    <n v="3"/>
  </r>
  <r>
    <s v="Mobile - US&gt;Gamers&gt;Online&gt;Multi-player"/>
    <x v="0"/>
    <s v="Sign up Now - 10% Off"/>
    <s v="San Francisco"/>
    <x v="4"/>
    <x v="411"/>
    <x v="2"/>
    <x v="0"/>
    <n v="428"/>
    <n v="0"/>
    <n v="316"/>
    <n v="383"/>
    <n v="8"/>
    <x v="988"/>
    <n v="0"/>
    <e v="#DIV/0!"/>
    <n v="183.44524212499999"/>
    <e v="#DIV/0!"/>
    <n v="3831.7544046997386"/>
    <x v="981"/>
    <n v="4"/>
  </r>
  <r>
    <s v="Purchase-Based&gt;Categories&gt;Home and Garden Buyers"/>
    <x v="0"/>
    <s v="Sign up Today - 10% Off"/>
    <s v="Nashville"/>
    <x v="5"/>
    <x v="412"/>
    <x v="2"/>
    <x v="0"/>
    <n v="576"/>
    <n v="0"/>
    <n v="404"/>
    <n v="532"/>
    <n v="2"/>
    <x v="989"/>
    <n v="0"/>
    <e v="#DIV/0!"/>
    <n v="730.69254599999999"/>
    <e v="#DIV/0!"/>
    <n v="2746.9644586466165"/>
    <x v="982"/>
    <n v="3"/>
  </r>
  <r>
    <s v="Lotame&gt;Style, Fashion &amp; Clothing&gt;Men's Clothing Shoppers"/>
    <x v="0"/>
    <s v="Sign up Today - 10% Off"/>
    <s v="Chicago"/>
    <x v="2"/>
    <x v="413"/>
    <x v="5"/>
    <x v="0"/>
    <n v="10903"/>
    <n v="0"/>
    <n v="3776"/>
    <n v="9581"/>
    <n v="1"/>
    <x v="990"/>
    <n v="0"/>
    <e v="#DIV/0!"/>
    <n v="1460.0097539999999"/>
    <e v="#DIV/0!"/>
    <n v="152.38594656090177"/>
    <x v="983"/>
    <n v="3"/>
  </r>
  <r>
    <s v="OnAudience&gt;Intent&gt;Electronics&gt;Video&gt;Satellite &amp; Cable TV"/>
    <x v="1"/>
    <s v="Sign up Today - 10% Off"/>
    <s v="Chicago"/>
    <x v="2"/>
    <x v="414"/>
    <x v="4"/>
    <x v="1"/>
    <n v="126"/>
    <n v="0"/>
    <n v="62"/>
    <n v="118"/>
    <n v="2"/>
    <x v="991"/>
    <n v="0"/>
    <e v="#DIV/0!"/>
    <n v="724.54347700000005"/>
    <e v="#DIV/0!"/>
    <n v="12280.397915254238"/>
    <x v="984"/>
    <n v="5"/>
  </r>
  <r>
    <s v="Lotame&gt;Personal Finance&gt;Stocks"/>
    <x v="1"/>
    <s v="Sign up Now - 10% Off"/>
    <s v="New York City"/>
    <x v="0"/>
    <x v="267"/>
    <x v="9"/>
    <x v="0"/>
    <n v="13382"/>
    <n v="0"/>
    <n v="3340"/>
    <n v="11662"/>
    <n v="1"/>
    <x v="992"/>
    <n v="0"/>
    <e v="#DIV/0!"/>
    <n v="1447.927193"/>
    <e v="#DIV/0!"/>
    <n v="124.15770819756473"/>
    <x v="985"/>
    <n v="3"/>
  </r>
  <r>
    <s v="OnAudience&gt;Intent&gt;Electronics&gt;Video"/>
    <x v="0"/>
    <s v="Sign up Now - 10% Off"/>
    <s v="New York City"/>
    <x v="0"/>
    <x v="260"/>
    <x v="8"/>
    <x v="0"/>
    <n v="113"/>
    <n v="0"/>
    <n v="100"/>
    <n v="107"/>
    <n v="2"/>
    <x v="993"/>
    <n v="0"/>
    <e v="#DIV/0!"/>
    <n v="723.66995499999996"/>
    <e v="#DIV/0!"/>
    <n v="13526.541214953271"/>
    <x v="986"/>
    <n v="4"/>
  </r>
  <r>
    <s v="US Interest&gt;Home&gt;Cooking/Food"/>
    <x v="0"/>
    <s v="Sign up Now - 10% Off"/>
    <s v="Flint-Saginaw-Bay City"/>
    <x v="6"/>
    <x v="264"/>
    <x v="5"/>
    <x v="0"/>
    <n v="1273"/>
    <n v="0"/>
    <n v="357"/>
    <n v="1193"/>
    <n v="2"/>
    <x v="994"/>
    <n v="0"/>
    <e v="#DIV/0!"/>
    <n v="723.27402849999999"/>
    <e v="#DIV/0!"/>
    <n v="1212.5298046940486"/>
    <x v="987"/>
    <n v="3"/>
  </r>
  <r>
    <s v="Mobile - US&gt;Sports&gt;Fantasy Sports"/>
    <x v="1"/>
    <s v="Sign up Now - 10% Off"/>
    <s v="San Francisco"/>
    <x v="4"/>
    <x v="144"/>
    <x v="7"/>
    <x v="0"/>
    <n v="103"/>
    <n v="0"/>
    <n v="19"/>
    <n v="86"/>
    <n v="5"/>
    <x v="995"/>
    <n v="0"/>
    <e v="#DIV/0!"/>
    <n v="288.39947139999998"/>
    <e v="#DIV/0!"/>
    <n v="16767.411127906977"/>
    <x v="988"/>
    <n v="3"/>
  </r>
  <r>
    <s v="Lotame&gt;Travel&gt;Cruise Travel"/>
    <x v="0"/>
    <s v="Sign up Today - 10% Off"/>
    <s v="Los Angeles"/>
    <x v="4"/>
    <x v="415"/>
    <x v="2"/>
    <x v="0"/>
    <n v="702"/>
    <n v="0"/>
    <n v="82"/>
    <n v="562"/>
    <n v="7"/>
    <x v="996"/>
    <n v="0"/>
    <e v="#DIV/0!"/>
    <n v="205.98501985714285"/>
    <e v="#DIV/0!"/>
    <n v="2565.6497135231316"/>
    <x v="989"/>
    <n v="3"/>
  </r>
  <r>
    <s v="US&gt;Sociodemographic&gt;P$YCLE Premier Lifestage&gt;M4 Midscale Matures"/>
    <x v="1"/>
    <s v="Sign up Today - 10% Off"/>
    <s v="New York City"/>
    <x v="0"/>
    <x v="416"/>
    <x v="2"/>
    <x v="1"/>
    <n v="1045"/>
    <n v="0"/>
    <n v="609"/>
    <n v="974"/>
    <n v="2"/>
    <x v="997"/>
    <n v="0"/>
    <e v="#DIV/0!"/>
    <n v="720.94311849999997"/>
    <e v="#DIV/0!"/>
    <n v="1480.3760133470225"/>
    <x v="990"/>
    <n v="4"/>
  </r>
  <r>
    <s v="Media and Entertainment&gt;News and Current Events&gt;Pop Culture"/>
    <x v="0"/>
    <s v="Sign up Today - 10% Off"/>
    <s v="Los Angeles"/>
    <x v="4"/>
    <x v="417"/>
    <x v="5"/>
    <x v="0"/>
    <n v="332"/>
    <n v="0"/>
    <n v="194"/>
    <n v="300"/>
    <n v="3"/>
    <x v="998"/>
    <n v="0"/>
    <e v="#DIV/0!"/>
    <n v="480.46257466666663"/>
    <e v="#DIV/0!"/>
    <n v="4804.6257466666666"/>
    <x v="991"/>
    <n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D1D3C2-D261-9F4C-A641-2BEBAB5553E9}" name="PivotTable1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C10" firstHeaderRow="0" firstDataRow="1" firstDataCol="1"/>
  <pivotFields count="21"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>
      <items count="21">
        <item x="15"/>
        <item x="16"/>
        <item x="17"/>
        <item x="4"/>
        <item x="1"/>
        <item x="11"/>
        <item x="8"/>
        <item x="2"/>
        <item x="3"/>
        <item x="18"/>
        <item x="14"/>
        <item x="6"/>
        <item x="13"/>
        <item x="0"/>
        <item x="7"/>
        <item x="10"/>
        <item x="5"/>
        <item x="12"/>
        <item x="9"/>
        <item x="19"/>
        <item t="default"/>
      </items>
    </pivotField>
    <pivotField showAll="0">
      <items count="419">
        <item x="366"/>
        <item x="414"/>
        <item x="43"/>
        <item x="252"/>
        <item x="239"/>
        <item x="411"/>
        <item x="166"/>
        <item x="17"/>
        <item x="72"/>
        <item x="248"/>
        <item x="38"/>
        <item x="301"/>
        <item x="243"/>
        <item x="91"/>
        <item x="107"/>
        <item x="70"/>
        <item x="408"/>
        <item x="116"/>
        <item x="40"/>
        <item x="337"/>
        <item x="367"/>
        <item x="215"/>
        <item x="202"/>
        <item x="118"/>
        <item x="263"/>
        <item x="71"/>
        <item x="230"/>
        <item x="22"/>
        <item x="179"/>
        <item x="224"/>
        <item x="362"/>
        <item x="385"/>
        <item x="342"/>
        <item x="18"/>
        <item x="182"/>
        <item x="76"/>
        <item x="183"/>
        <item x="401"/>
        <item x="357"/>
        <item x="381"/>
        <item x="154"/>
        <item x="278"/>
        <item x="56"/>
        <item x="285"/>
        <item x="326"/>
        <item x="347"/>
        <item x="393"/>
        <item x="207"/>
        <item x="256"/>
        <item x="37"/>
        <item x="184"/>
        <item x="259"/>
        <item x="219"/>
        <item x="402"/>
        <item x="63"/>
        <item x="260"/>
        <item x="379"/>
        <item x="369"/>
        <item x="79"/>
        <item x="81"/>
        <item x="156"/>
        <item x="0"/>
        <item x="49"/>
        <item x="386"/>
        <item x="298"/>
        <item x="332"/>
        <item x="68"/>
        <item x="241"/>
        <item x="262"/>
        <item x="165"/>
        <item x="283"/>
        <item x="93"/>
        <item x="387"/>
        <item x="148"/>
        <item x="135"/>
        <item x="229"/>
        <item x="15"/>
        <item x="169"/>
        <item x="10"/>
        <item x="312"/>
        <item x="288"/>
        <item x="352"/>
        <item x="282"/>
        <item x="149"/>
        <item x="345"/>
        <item x="415"/>
        <item x="325"/>
        <item x="223"/>
        <item x="220"/>
        <item x="131"/>
        <item x="321"/>
        <item x="61"/>
        <item x="309"/>
        <item x="295"/>
        <item x="247"/>
        <item x="94"/>
        <item x="416"/>
        <item x="46"/>
        <item x="109"/>
        <item x="113"/>
        <item x="392"/>
        <item x="133"/>
        <item x="187"/>
        <item x="316"/>
        <item x="197"/>
        <item x="199"/>
        <item x="112"/>
        <item x="121"/>
        <item x="180"/>
        <item x="244"/>
        <item x="354"/>
        <item x="270"/>
        <item x="291"/>
        <item x="338"/>
        <item x="146"/>
        <item x="175"/>
        <item x="27"/>
        <item x="11"/>
        <item x="269"/>
        <item x="152"/>
        <item x="120"/>
        <item x="308"/>
        <item x="158"/>
        <item x="417"/>
        <item x="53"/>
        <item x="62"/>
        <item x="177"/>
        <item x="129"/>
        <item x="195"/>
        <item x="340"/>
        <item x="329"/>
        <item x="268"/>
        <item x="77"/>
        <item x="74"/>
        <item x="185"/>
        <item x="21"/>
        <item x="25"/>
        <item x="35"/>
        <item x="331"/>
        <item x="110"/>
        <item x="211"/>
        <item x="134"/>
        <item x="196"/>
        <item x="170"/>
        <item x="276"/>
        <item x="188"/>
        <item x="28"/>
        <item x="409"/>
        <item x="20"/>
        <item x="293"/>
        <item x="103"/>
        <item x="335"/>
        <item x="236"/>
        <item x="16"/>
        <item x="358"/>
        <item x="290"/>
        <item x="280"/>
        <item x="92"/>
        <item x="378"/>
        <item x="213"/>
        <item x="87"/>
        <item x="190"/>
        <item x="226"/>
        <item x="174"/>
        <item x="234"/>
        <item x="273"/>
        <item x="334"/>
        <item x="297"/>
        <item x="370"/>
        <item x="127"/>
        <item x="186"/>
        <item x="157"/>
        <item x="189"/>
        <item x="222"/>
        <item x="162"/>
        <item x="125"/>
        <item x="343"/>
        <item x="289"/>
        <item x="47"/>
        <item x="376"/>
        <item x="361"/>
        <item x="150"/>
        <item x="32"/>
        <item x="254"/>
        <item x="51"/>
        <item x="173"/>
        <item x="235"/>
        <item x="171"/>
        <item x="139"/>
        <item x="106"/>
        <item x="341"/>
        <item x="310"/>
        <item x="265"/>
        <item x="313"/>
        <item x="19"/>
        <item x="59"/>
        <item x="333"/>
        <item x="31"/>
        <item x="176"/>
        <item x="153"/>
        <item x="356"/>
        <item x="277"/>
        <item x="147"/>
        <item x="390"/>
        <item x="217"/>
        <item x="52"/>
        <item x="194"/>
        <item x="271"/>
        <item x="363"/>
        <item x="255"/>
        <item x="319"/>
        <item x="246"/>
        <item x="216"/>
        <item x="306"/>
        <item x="391"/>
        <item x="119"/>
        <item x="193"/>
        <item x="384"/>
        <item x="9"/>
        <item x="57"/>
        <item x="108"/>
        <item x="305"/>
        <item x="26"/>
        <item x="6"/>
        <item x="261"/>
        <item x="104"/>
        <item x="80"/>
        <item x="238"/>
        <item x="359"/>
        <item x="141"/>
        <item x="42"/>
        <item x="58"/>
        <item x="403"/>
        <item x="122"/>
        <item x="33"/>
        <item x="212"/>
        <item x="23"/>
        <item x="405"/>
        <item x="83"/>
        <item x="218"/>
        <item x="410"/>
        <item x="132"/>
        <item x="315"/>
        <item x="13"/>
        <item x="324"/>
        <item x="155"/>
        <item x="44"/>
        <item x="399"/>
        <item x="4"/>
        <item x="322"/>
        <item x="163"/>
        <item x="317"/>
        <item x="200"/>
        <item x="249"/>
        <item x="318"/>
        <item x="299"/>
        <item x="206"/>
        <item x="45"/>
        <item x="144"/>
        <item x="160"/>
        <item x="3"/>
        <item x="339"/>
        <item x="323"/>
        <item x="372"/>
        <item x="29"/>
        <item x="344"/>
        <item x="111"/>
        <item x="351"/>
        <item x="201"/>
        <item x="86"/>
        <item x="7"/>
        <item x="84"/>
        <item x="245"/>
        <item x="232"/>
        <item x="287"/>
        <item x="5"/>
        <item x="90"/>
        <item x="304"/>
        <item x="237"/>
        <item x="307"/>
        <item x="30"/>
        <item x="266"/>
        <item x="36"/>
        <item x="397"/>
        <item x="257"/>
        <item x="191"/>
        <item x="258"/>
        <item x="82"/>
        <item x="374"/>
        <item x="382"/>
        <item x="394"/>
        <item x="168"/>
        <item x="66"/>
        <item x="50"/>
        <item x="380"/>
        <item x="98"/>
        <item x="395"/>
        <item x="178"/>
        <item x="267"/>
        <item x="353"/>
        <item x="130"/>
        <item x="303"/>
        <item x="75"/>
        <item x="388"/>
        <item x="365"/>
        <item x="240"/>
        <item x="100"/>
        <item x="164"/>
        <item x="375"/>
        <item x="88"/>
        <item x="64"/>
        <item x="373"/>
        <item x="24"/>
        <item x="214"/>
        <item x="360"/>
        <item x="78"/>
        <item x="39"/>
        <item x="228"/>
        <item x="151"/>
        <item x="161"/>
        <item x="67"/>
        <item x="138"/>
        <item x="69"/>
        <item x="85"/>
        <item x="327"/>
        <item x="412"/>
        <item x="349"/>
        <item x="209"/>
        <item x="398"/>
        <item x="292"/>
        <item x="55"/>
        <item x="330"/>
        <item x="371"/>
        <item x="264"/>
        <item x="34"/>
        <item x="406"/>
        <item x="2"/>
        <item x="294"/>
        <item x="65"/>
        <item x="314"/>
        <item x="368"/>
        <item x="383"/>
        <item x="377"/>
        <item x="159"/>
        <item x="251"/>
        <item x="208"/>
        <item x="1"/>
        <item x="225"/>
        <item x="281"/>
        <item x="117"/>
        <item x="233"/>
        <item x="275"/>
        <item x="286"/>
        <item x="105"/>
        <item x="96"/>
        <item x="203"/>
        <item x="204"/>
        <item x="328"/>
        <item x="172"/>
        <item x="346"/>
        <item x="311"/>
        <item x="364"/>
        <item x="102"/>
        <item x="210"/>
        <item x="89"/>
        <item x="227"/>
        <item x="97"/>
        <item x="355"/>
        <item x="242"/>
        <item x="272"/>
        <item x="205"/>
        <item x="145"/>
        <item x="400"/>
        <item x="140"/>
        <item x="253"/>
        <item x="284"/>
        <item x="124"/>
        <item x="14"/>
        <item x="114"/>
        <item x="300"/>
        <item x="181"/>
        <item x="250"/>
        <item x="336"/>
        <item x="389"/>
        <item x="296"/>
        <item x="128"/>
        <item x="167"/>
        <item x="198"/>
        <item x="12"/>
        <item x="142"/>
        <item x="348"/>
        <item x="302"/>
        <item x="101"/>
        <item x="320"/>
        <item x="54"/>
        <item x="396"/>
        <item x="126"/>
        <item x="95"/>
        <item x="99"/>
        <item x="279"/>
        <item x="136"/>
        <item x="123"/>
        <item x="73"/>
        <item x="60"/>
        <item x="231"/>
        <item x="192"/>
        <item x="274"/>
        <item x="8"/>
        <item x="48"/>
        <item x="407"/>
        <item x="404"/>
        <item x="143"/>
        <item x="350"/>
        <item x="137"/>
        <item x="41"/>
        <item x="115"/>
        <item x="221"/>
        <item x="413"/>
        <item t="default"/>
      </items>
    </pivotField>
    <pivotField showAll="0">
      <items count="18">
        <item x="1"/>
        <item x="2"/>
        <item x="11"/>
        <item x="8"/>
        <item x="16"/>
        <item x="4"/>
        <item x="3"/>
        <item x="5"/>
        <item x="14"/>
        <item x="15"/>
        <item x="10"/>
        <item x="12"/>
        <item x="6"/>
        <item x="0"/>
        <item x="7"/>
        <item x="9"/>
        <item x="13"/>
        <item t="default"/>
      </items>
    </pivotField>
    <pivotField axis="axisRow"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/>
    <pivotField showAll="0"/>
    <pivotField dataField="1" numFmtId="2" showAll="0">
      <items count="1000">
        <item x="168"/>
        <item x="998"/>
        <item x="323"/>
        <item x="997"/>
        <item x="996"/>
        <item x="995"/>
        <item x="531"/>
        <item x="167"/>
        <item x="994"/>
        <item x="993"/>
        <item x="676"/>
        <item x="675"/>
        <item x="992"/>
        <item x="991"/>
        <item x="322"/>
        <item x="3"/>
        <item x="258"/>
        <item x="240"/>
        <item x="294"/>
        <item x="530"/>
        <item x="107"/>
        <item x="321"/>
        <item x="529"/>
        <item x="990"/>
        <item x="989"/>
        <item x="272"/>
        <item x="72"/>
        <item x="257"/>
        <item x="141"/>
        <item x="674"/>
        <item x="459"/>
        <item x="528"/>
        <item x="988"/>
        <item x="987"/>
        <item x="458"/>
        <item x="402"/>
        <item x="79"/>
        <item x="673"/>
        <item x="986"/>
        <item x="672"/>
        <item x="985"/>
        <item x="457"/>
        <item x="984"/>
        <item x="172"/>
        <item x="671"/>
        <item x="25"/>
        <item x="670"/>
        <item x="983"/>
        <item x="982"/>
        <item x="981"/>
        <item x="456"/>
        <item x="229"/>
        <item x="185"/>
        <item x="980"/>
        <item x="979"/>
        <item x="271"/>
        <item x="293"/>
        <item x="455"/>
        <item x="527"/>
        <item x="978"/>
        <item x="977"/>
        <item x="976"/>
        <item x="41"/>
        <item x="50"/>
        <item x="975"/>
        <item x="974"/>
        <item x="973"/>
        <item x="11"/>
        <item x="526"/>
        <item x="320"/>
        <item x="972"/>
        <item x="971"/>
        <item x="970"/>
        <item x="669"/>
        <item x="525"/>
        <item x="524"/>
        <item x="969"/>
        <item x="104"/>
        <item x="59"/>
        <item x="968"/>
        <item x="967"/>
        <item x="668"/>
        <item x="966"/>
        <item x="523"/>
        <item x="965"/>
        <item x="964"/>
        <item x="667"/>
        <item x="666"/>
        <item x="963"/>
        <item x="122"/>
        <item x="962"/>
        <item x="961"/>
        <item x="171"/>
        <item x="292"/>
        <item x="401"/>
        <item x="960"/>
        <item x="166"/>
        <item x="140"/>
        <item x="959"/>
        <item x="351"/>
        <item x="350"/>
        <item x="958"/>
        <item x="454"/>
        <item x="270"/>
        <item x="665"/>
        <item x="400"/>
        <item x="522"/>
        <item x="957"/>
        <item x="521"/>
        <item x="664"/>
        <item x="239"/>
        <item x="956"/>
        <item x="399"/>
        <item x="663"/>
        <item x="955"/>
        <item x="195"/>
        <item x="453"/>
        <item x="201"/>
        <item x="256"/>
        <item x="520"/>
        <item x="36"/>
        <item x="398"/>
        <item x="662"/>
        <item x="85"/>
        <item x="118"/>
        <item x="954"/>
        <item x="953"/>
        <item x="952"/>
        <item x="269"/>
        <item x="661"/>
        <item x="452"/>
        <item x="349"/>
        <item x="519"/>
        <item x="117"/>
        <item x="951"/>
        <item x="228"/>
        <item x="397"/>
        <item x="191"/>
        <item x="268"/>
        <item x="451"/>
        <item x="267"/>
        <item x="950"/>
        <item x="949"/>
        <item x="948"/>
        <item x="947"/>
        <item x="52"/>
        <item x="946"/>
        <item x="450"/>
        <item x="518"/>
        <item x="49"/>
        <item x="207"/>
        <item x="945"/>
        <item x="129"/>
        <item x="517"/>
        <item x="944"/>
        <item x="943"/>
        <item x="516"/>
        <item x="82"/>
        <item x="942"/>
        <item x="449"/>
        <item x="101"/>
        <item x="448"/>
        <item x="266"/>
        <item x="941"/>
        <item x="238"/>
        <item x="660"/>
        <item x="940"/>
        <item x="139"/>
        <item x="939"/>
        <item x="157"/>
        <item x="938"/>
        <item x="348"/>
        <item x="165"/>
        <item x="659"/>
        <item x="937"/>
        <item x="658"/>
        <item x="184"/>
        <item x="200"/>
        <item x="156"/>
        <item x="936"/>
        <item x="935"/>
        <item x="396"/>
        <item x="934"/>
        <item x="933"/>
        <item x="94"/>
        <item x="932"/>
        <item x="291"/>
        <item x="447"/>
        <item x="657"/>
        <item x="515"/>
        <item x="931"/>
        <item x="183"/>
        <item x="150"/>
        <item x="112"/>
        <item x="656"/>
        <item x="20"/>
        <item x="290"/>
        <item x="930"/>
        <item x="929"/>
        <item x="170"/>
        <item x="514"/>
        <item x="395"/>
        <item x="513"/>
        <item x="512"/>
        <item x="928"/>
        <item x="319"/>
        <item x="655"/>
        <item x="511"/>
        <item x="927"/>
        <item x="926"/>
        <item x="925"/>
        <item x="654"/>
        <item x="318"/>
        <item x="924"/>
        <item x="510"/>
        <item x="289"/>
        <item x="149"/>
        <item x="394"/>
        <item x="923"/>
        <item x="265"/>
        <item x="116"/>
        <item x="922"/>
        <item x="653"/>
        <item x="347"/>
        <item x="921"/>
        <item x="920"/>
        <item x="509"/>
        <item x="919"/>
        <item x="918"/>
        <item x="393"/>
        <item x="917"/>
        <item x="346"/>
        <item x="45"/>
        <item x="916"/>
        <item x="227"/>
        <item x="915"/>
        <item x="914"/>
        <item x="392"/>
        <item x="913"/>
        <item x="652"/>
        <item x="912"/>
        <item x="911"/>
        <item x="288"/>
        <item x="44"/>
        <item x="391"/>
        <item x="910"/>
        <item x="909"/>
        <item x="908"/>
        <item x="907"/>
        <item x="906"/>
        <item x="905"/>
        <item x="651"/>
        <item x="904"/>
        <item x="317"/>
        <item x="903"/>
        <item x="902"/>
        <item x="508"/>
        <item x="901"/>
        <item x="650"/>
        <item x="649"/>
        <item x="226"/>
        <item x="648"/>
        <item x="160"/>
        <item x="647"/>
        <item x="507"/>
        <item x="506"/>
        <item x="646"/>
        <item x="255"/>
        <item x="900"/>
        <item x="645"/>
        <item x="899"/>
        <item x="898"/>
        <item x="390"/>
        <item x="897"/>
        <item x="128"/>
        <item x="115"/>
        <item x="896"/>
        <item x="644"/>
        <item x="199"/>
        <item x="254"/>
        <item x="316"/>
        <item x="56"/>
        <item x="643"/>
        <item x="389"/>
        <item x="388"/>
        <item x="58"/>
        <item x="895"/>
        <item x="894"/>
        <item x="893"/>
        <item x="642"/>
        <item x="892"/>
        <item x="891"/>
        <item x="890"/>
        <item x="387"/>
        <item x="505"/>
        <item x="98"/>
        <item x="504"/>
        <item x="641"/>
        <item x="640"/>
        <item x="889"/>
        <item x="386"/>
        <item x="287"/>
        <item x="92"/>
        <item x="639"/>
        <item x="888"/>
        <item x="887"/>
        <item x="159"/>
        <item x="503"/>
        <item x="206"/>
        <item x="264"/>
        <item x="886"/>
        <item x="121"/>
        <item x="638"/>
        <item x="148"/>
        <item x="75"/>
        <item x="502"/>
        <item x="885"/>
        <item x="884"/>
        <item x="883"/>
        <item x="882"/>
        <item x="637"/>
        <item x="48"/>
        <item x="111"/>
        <item x="636"/>
        <item x="97"/>
        <item x="881"/>
        <item x="880"/>
        <item x="169"/>
        <item x="253"/>
        <item x="879"/>
        <item x="878"/>
        <item x="385"/>
        <item x="84"/>
        <item x="635"/>
        <item x="384"/>
        <item x="501"/>
        <item x="345"/>
        <item x="500"/>
        <item x="877"/>
        <item x="634"/>
        <item x="876"/>
        <item x="875"/>
        <item x="499"/>
        <item x="874"/>
        <item x="873"/>
        <item x="446"/>
        <item x="445"/>
        <item x="96"/>
        <item x="498"/>
        <item x="383"/>
        <item x="872"/>
        <item x="871"/>
        <item x="198"/>
        <item x="65"/>
        <item x="444"/>
        <item x="127"/>
        <item x="497"/>
        <item x="633"/>
        <item x="870"/>
        <item x="344"/>
        <item x="382"/>
        <item x="869"/>
        <item x="868"/>
        <item x="867"/>
        <item x="381"/>
        <item x="866"/>
        <item x="632"/>
        <item x="631"/>
        <item x="190"/>
        <item x="865"/>
        <item x="214"/>
        <item x="864"/>
        <item x="630"/>
        <item x="863"/>
        <item x="862"/>
        <item x="134"/>
        <item x="315"/>
        <item x="861"/>
        <item x="860"/>
        <item x="443"/>
        <item x="859"/>
        <item x="225"/>
        <item x="442"/>
        <item x="858"/>
        <item x="314"/>
        <item x="380"/>
        <item x="857"/>
        <item x="856"/>
        <item x="629"/>
        <item x="441"/>
        <item x="855"/>
        <item x="47"/>
        <item x="63"/>
        <item x="379"/>
        <item x="854"/>
        <item x="628"/>
        <item x="853"/>
        <item x="8"/>
        <item x="627"/>
        <item x="626"/>
        <item x="213"/>
        <item x="286"/>
        <item x="852"/>
        <item x="90"/>
        <item x="28"/>
        <item x="496"/>
        <item x="851"/>
        <item x="850"/>
        <item x="625"/>
        <item x="495"/>
        <item x="849"/>
        <item x="440"/>
        <item x="378"/>
        <item x="848"/>
        <item x="285"/>
        <item x="284"/>
        <item x="439"/>
        <item x="847"/>
        <item x="67"/>
        <item x="846"/>
        <item x="624"/>
        <item x="69"/>
        <item x="161"/>
        <item x="845"/>
        <item x="844"/>
        <item x="623"/>
        <item x="843"/>
        <item x="377"/>
        <item x="622"/>
        <item x="438"/>
        <item x="842"/>
        <item x="494"/>
        <item x="621"/>
        <item x="138"/>
        <item x="841"/>
        <item x="126"/>
        <item x="224"/>
        <item x="840"/>
        <item x="839"/>
        <item x="437"/>
        <item x="493"/>
        <item x="492"/>
        <item x="252"/>
        <item x="838"/>
        <item x="620"/>
        <item x="837"/>
        <item x="189"/>
        <item x="313"/>
        <item x="836"/>
        <item x="491"/>
        <item x="835"/>
        <item x="376"/>
        <item x="834"/>
        <item x="188"/>
        <item x="833"/>
        <item x="832"/>
        <item x="164"/>
        <item x="619"/>
        <item x="436"/>
        <item x="831"/>
        <item x="618"/>
        <item x="830"/>
        <item x="829"/>
        <item x="617"/>
        <item x="616"/>
        <item x="91"/>
        <item x="828"/>
        <item x="106"/>
        <item x="490"/>
        <item x="51"/>
        <item x="205"/>
        <item x="223"/>
        <item x="312"/>
        <item x="827"/>
        <item x="182"/>
        <item x="251"/>
        <item x="826"/>
        <item x="435"/>
        <item x="343"/>
        <item x="342"/>
        <item x="825"/>
        <item x="615"/>
        <item x="824"/>
        <item x="375"/>
        <item x="222"/>
        <item x="614"/>
        <item x="823"/>
        <item x="221"/>
        <item x="7"/>
        <item x="194"/>
        <item x="822"/>
        <item x="821"/>
        <item x="820"/>
        <item x="613"/>
        <item x="819"/>
        <item x="341"/>
        <item x="212"/>
        <item x="818"/>
        <item x="193"/>
        <item x="612"/>
        <item x="817"/>
        <item x="816"/>
        <item x="815"/>
        <item x="489"/>
        <item x="250"/>
        <item x="488"/>
        <item x="814"/>
        <item x="487"/>
        <item x="813"/>
        <item x="812"/>
        <item x="374"/>
        <item x="373"/>
        <item x="811"/>
        <item x="372"/>
        <item x="611"/>
        <item x="810"/>
        <item x="340"/>
        <item x="147"/>
        <item x="263"/>
        <item x="809"/>
        <item x="38"/>
        <item x="339"/>
        <item x="808"/>
        <item x="610"/>
        <item x="283"/>
        <item x="609"/>
        <item x="608"/>
        <item x="486"/>
        <item x="434"/>
        <item x="807"/>
        <item x="806"/>
        <item x="607"/>
        <item x="606"/>
        <item x="805"/>
        <item x="311"/>
        <item x="804"/>
        <item x="204"/>
        <item x="803"/>
        <item x="485"/>
        <item x="802"/>
        <item x="801"/>
        <item x="262"/>
        <item x="800"/>
        <item x="433"/>
        <item x="133"/>
        <item x="605"/>
        <item x="799"/>
        <item x="798"/>
        <item x="797"/>
        <item x="484"/>
        <item x="211"/>
        <item x="604"/>
        <item x="603"/>
        <item x="796"/>
        <item x="602"/>
        <item x="601"/>
        <item x="237"/>
        <item x="22"/>
        <item x="795"/>
        <item x="794"/>
        <item x="249"/>
        <item x="155"/>
        <item x="793"/>
        <item x="282"/>
        <item x="432"/>
        <item x="792"/>
        <item x="600"/>
        <item x="791"/>
        <item x="790"/>
        <item x="220"/>
        <item x="74"/>
        <item x="236"/>
        <item x="281"/>
        <item x="483"/>
        <item x="599"/>
        <item x="789"/>
        <item x="248"/>
        <item x="310"/>
        <item x="431"/>
        <item x="178"/>
        <item x="788"/>
        <item x="371"/>
        <item x="787"/>
        <item x="786"/>
        <item x="785"/>
        <item x="784"/>
        <item x="187"/>
        <item x="783"/>
        <item x="370"/>
        <item x="782"/>
        <item x="781"/>
        <item x="780"/>
        <item x="598"/>
        <item x="779"/>
        <item x="430"/>
        <item x="597"/>
        <item x="778"/>
        <item x="64"/>
        <item x="596"/>
        <item x="595"/>
        <item x="777"/>
        <item x="776"/>
        <item x="594"/>
        <item x="247"/>
        <item x="35"/>
        <item x="429"/>
        <item x="246"/>
        <item x="428"/>
        <item x="245"/>
        <item x="132"/>
        <item x="775"/>
        <item x="78"/>
        <item x="309"/>
        <item x="774"/>
        <item x="593"/>
        <item x="592"/>
        <item x="18"/>
        <item x="773"/>
        <item x="308"/>
        <item x="772"/>
        <item x="17"/>
        <item x="369"/>
        <item x="771"/>
        <item x="427"/>
        <item x="261"/>
        <item x="591"/>
        <item x="338"/>
        <item x="770"/>
        <item x="34"/>
        <item x="219"/>
        <item x="307"/>
        <item x="280"/>
        <item x="120"/>
        <item x="769"/>
        <item x="768"/>
        <item x="767"/>
        <item x="306"/>
        <item x="89"/>
        <item x="482"/>
        <item x="88"/>
        <item x="305"/>
        <item x="766"/>
        <item x="218"/>
        <item x="279"/>
        <item x="765"/>
        <item x="426"/>
        <item x="764"/>
        <item x="481"/>
        <item x="590"/>
        <item x="589"/>
        <item x="119"/>
        <item x="588"/>
        <item x="163"/>
        <item x="587"/>
        <item x="425"/>
        <item x="278"/>
        <item x="77"/>
        <item x="424"/>
        <item x="586"/>
        <item x="763"/>
        <item x="260"/>
        <item x="87"/>
        <item x="762"/>
        <item x="146"/>
        <item x="10"/>
        <item x="259"/>
        <item x="585"/>
        <item x="277"/>
        <item x="81"/>
        <item x="154"/>
        <item x="584"/>
        <item x="761"/>
        <item x="217"/>
        <item x="583"/>
        <item x="423"/>
        <item x="582"/>
        <item x="760"/>
        <item x="276"/>
        <item x="197"/>
        <item x="275"/>
        <item x="759"/>
        <item x="337"/>
        <item x="422"/>
        <item x="125"/>
        <item x="758"/>
        <item x="216"/>
        <item x="757"/>
        <item x="66"/>
        <item x="756"/>
        <item x="368"/>
        <item x="755"/>
        <item x="480"/>
        <item x="336"/>
        <item x="754"/>
        <item x="335"/>
        <item x="581"/>
        <item x="753"/>
        <item x="752"/>
        <item x="421"/>
        <item x="751"/>
        <item x="750"/>
        <item x="244"/>
        <item x="580"/>
        <item x="235"/>
        <item x="579"/>
        <item x="578"/>
        <item x="479"/>
        <item x="243"/>
        <item x="577"/>
        <item x="749"/>
        <item x="145"/>
        <item x="103"/>
        <item x="576"/>
        <item x="334"/>
        <item x="748"/>
        <item x="367"/>
        <item x="420"/>
        <item x="575"/>
        <item x="100"/>
        <item x="574"/>
        <item x="110"/>
        <item x="747"/>
        <item x="419"/>
        <item x="153"/>
        <item x="124"/>
        <item x="366"/>
        <item x="144"/>
        <item x="746"/>
        <item x="745"/>
        <item x="333"/>
        <item x="744"/>
        <item x="573"/>
        <item x="93"/>
        <item x="332"/>
        <item x="743"/>
        <item x="12"/>
        <item x="418"/>
        <item x="365"/>
        <item x="572"/>
        <item x="203"/>
        <item x="234"/>
        <item x="233"/>
        <item x="478"/>
        <item x="742"/>
        <item x="27"/>
        <item x="741"/>
        <item x="99"/>
        <item x="740"/>
        <item x="364"/>
        <item x="105"/>
        <item x="417"/>
        <item x="477"/>
        <item x="416"/>
        <item x="571"/>
        <item x="331"/>
        <item x="192"/>
        <item x="9"/>
        <item x="16"/>
        <item x="215"/>
        <item x="739"/>
        <item x="738"/>
        <item x="737"/>
        <item x="570"/>
        <item x="736"/>
        <item x="476"/>
        <item x="152"/>
        <item x="363"/>
        <item x="475"/>
        <item x="569"/>
        <item x="330"/>
        <item x="54"/>
        <item x="37"/>
        <item x="568"/>
        <item x="0"/>
        <item x="196"/>
        <item x="60"/>
        <item x="567"/>
        <item x="31"/>
        <item x="735"/>
        <item x="19"/>
        <item x="143"/>
        <item x="734"/>
        <item x="304"/>
        <item x="733"/>
        <item x="415"/>
        <item x="732"/>
        <item x="731"/>
        <item x="362"/>
        <item x="474"/>
        <item x="566"/>
        <item x="473"/>
        <item x="414"/>
        <item x="177"/>
        <item x="472"/>
        <item x="151"/>
        <item x="565"/>
        <item x="108"/>
        <item x="730"/>
        <item x="729"/>
        <item x="728"/>
        <item x="564"/>
        <item x="727"/>
        <item x="242"/>
        <item x="413"/>
        <item x="563"/>
        <item x="303"/>
        <item x="726"/>
        <item x="329"/>
        <item x="562"/>
        <item x="412"/>
        <item x="561"/>
        <item x="274"/>
        <item x="560"/>
        <item x="361"/>
        <item x="725"/>
        <item x="559"/>
        <item x="724"/>
        <item x="5"/>
        <item x="137"/>
        <item x="24"/>
        <item x="302"/>
        <item x="471"/>
        <item x="328"/>
        <item x="558"/>
        <item x="411"/>
        <item x="470"/>
        <item x="557"/>
        <item x="556"/>
        <item x="57"/>
        <item x="723"/>
        <item x="555"/>
        <item x="83"/>
        <item x="301"/>
        <item x="410"/>
        <item x="327"/>
        <item x="210"/>
        <item x="68"/>
        <item x="469"/>
        <item x="409"/>
        <item x="408"/>
        <item x="722"/>
        <item x="721"/>
        <item x="720"/>
        <item x="719"/>
        <item x="718"/>
        <item x="300"/>
        <item x="554"/>
        <item x="717"/>
        <item x="716"/>
        <item x="553"/>
        <item x="80"/>
        <item x="715"/>
        <item x="552"/>
        <item x="468"/>
        <item x="467"/>
        <item x="62"/>
        <item x="714"/>
        <item x="551"/>
        <item x="209"/>
        <item x="550"/>
        <item x="181"/>
        <item x="549"/>
        <item x="713"/>
        <item x="299"/>
        <item x="712"/>
        <item x="407"/>
        <item x="180"/>
        <item x="711"/>
        <item x="710"/>
        <item x="709"/>
        <item x="708"/>
        <item x="131"/>
        <item x="360"/>
        <item x="176"/>
        <item x="707"/>
        <item x="73"/>
        <item x="359"/>
        <item x="466"/>
        <item x="706"/>
        <item x="358"/>
        <item x="705"/>
        <item x="548"/>
        <item x="357"/>
        <item x="547"/>
        <item x="704"/>
        <item x="546"/>
        <item x="703"/>
        <item x="702"/>
        <item x="701"/>
        <item x="700"/>
        <item x="545"/>
        <item x="699"/>
        <item x="76"/>
        <item x="1"/>
        <item x="698"/>
        <item x="697"/>
        <item x="130"/>
        <item x="696"/>
        <item x="695"/>
        <item x="465"/>
        <item x="2"/>
        <item x="694"/>
        <item x="406"/>
        <item x="693"/>
        <item x="232"/>
        <item x="544"/>
        <item x="298"/>
        <item x="186"/>
        <item x="136"/>
        <item x="102"/>
        <item x="543"/>
        <item x="542"/>
        <item x="405"/>
        <item x="202"/>
        <item x="26"/>
        <item x="175"/>
        <item x="541"/>
        <item x="326"/>
        <item x="692"/>
        <item x="691"/>
        <item x="61"/>
        <item x="540"/>
        <item x="690"/>
        <item x="689"/>
        <item x="297"/>
        <item x="688"/>
        <item x="325"/>
        <item x="539"/>
        <item x="687"/>
        <item x="686"/>
        <item x="53"/>
        <item x="685"/>
        <item x="464"/>
        <item x="71"/>
        <item x="538"/>
        <item x="684"/>
        <item x="683"/>
        <item x="537"/>
        <item x="174"/>
        <item x="682"/>
        <item x="404"/>
        <item x="536"/>
        <item x="681"/>
        <item x="535"/>
        <item x="680"/>
        <item x="158"/>
        <item x="324"/>
        <item x="356"/>
        <item x="114"/>
        <item x="231"/>
        <item x="534"/>
        <item x="679"/>
        <item x="678"/>
        <item x="43"/>
        <item x="173"/>
        <item x="463"/>
        <item x="135"/>
        <item x="462"/>
        <item x="403"/>
        <item x="15"/>
        <item x="162"/>
        <item x="461"/>
        <item x="460"/>
        <item x="355"/>
        <item x="354"/>
        <item x="353"/>
        <item x="533"/>
        <item x="142"/>
        <item x="95"/>
        <item x="123"/>
        <item x="273"/>
        <item x="55"/>
        <item x="179"/>
        <item x="32"/>
        <item x="23"/>
        <item x="4"/>
        <item x="296"/>
        <item x="230"/>
        <item x="14"/>
        <item x="13"/>
        <item x="42"/>
        <item x="46"/>
        <item x="29"/>
        <item x="532"/>
        <item x="352"/>
        <item x="40"/>
        <item x="33"/>
        <item x="86"/>
        <item x="208"/>
        <item x="295"/>
        <item x="677"/>
        <item x="21"/>
        <item x="241"/>
        <item x="6"/>
        <item x="70"/>
        <item x="39"/>
        <item x="109"/>
        <item x="113"/>
        <item x="30"/>
        <item t="default"/>
      </items>
    </pivotField>
    <pivotField dataField="1" showAll="0"/>
    <pivotField showAll="0"/>
    <pivotField showAll="0"/>
    <pivotField showAll="0"/>
    <pivotField showAll="0"/>
    <pivotField showAll="0">
      <items count="993">
        <item x="815"/>
        <item x="613"/>
        <item x="731"/>
        <item x="843"/>
        <item x="780"/>
        <item x="705"/>
        <item x="781"/>
        <item x="975"/>
        <item x="853"/>
        <item x="253"/>
        <item x="581"/>
        <item x="417"/>
        <item x="959"/>
        <item x="806"/>
        <item x="344"/>
        <item x="797"/>
        <item x="879"/>
        <item x="917"/>
        <item x="883"/>
        <item x="244"/>
        <item x="38"/>
        <item x="860"/>
        <item x="904"/>
        <item x="854"/>
        <item x="867"/>
        <item x="635"/>
        <item x="411"/>
        <item x="542"/>
        <item x="179"/>
        <item x="129"/>
        <item x="549"/>
        <item x="320"/>
        <item x="412"/>
        <item x="249"/>
        <item x="677"/>
        <item x="777"/>
        <item x="578"/>
        <item x="126"/>
        <item x="585"/>
        <item x="954"/>
        <item x="926"/>
        <item x="897"/>
        <item x="669"/>
        <item x="648"/>
        <item x="713"/>
        <item x="565"/>
        <item x="309"/>
        <item x="276"/>
        <item x="829"/>
        <item x="724"/>
        <item x="560"/>
        <item x="935"/>
        <item x="352"/>
        <item x="876"/>
        <item x="967"/>
        <item x="649"/>
        <item x="256"/>
        <item x="370"/>
        <item x="285"/>
        <item x="750"/>
        <item x="896"/>
        <item x="556"/>
        <item x="943"/>
        <item x="955"/>
        <item x="989"/>
        <item x="914"/>
        <item x="906"/>
        <item x="273"/>
        <item x="729"/>
        <item x="962"/>
        <item x="907"/>
        <item x="764"/>
        <item x="436"/>
        <item x="459"/>
        <item x="775"/>
        <item x="183"/>
        <item x="662"/>
        <item x="812"/>
        <item x="262"/>
        <item x="923"/>
        <item x="721"/>
        <item x="506"/>
        <item x="22"/>
        <item x="194"/>
        <item x="223"/>
        <item x="145"/>
        <item x="434"/>
        <item x="728"/>
        <item x="687"/>
        <item x="114"/>
        <item x="332"/>
        <item x="92"/>
        <item x="735"/>
        <item x="873"/>
        <item x="156"/>
        <item x="666"/>
        <item x="236"/>
        <item x="659"/>
        <item x="78"/>
        <item x="631"/>
        <item x="456"/>
        <item x="973"/>
        <item x="483"/>
        <item x="295"/>
        <item x="678"/>
        <item x="665"/>
        <item x="621"/>
        <item x="684"/>
        <item x="60"/>
        <item x="206"/>
        <item x="744"/>
        <item x="476"/>
        <item x="35"/>
        <item x="350"/>
        <item x="413"/>
        <item x="552"/>
        <item x="866"/>
        <item x="324"/>
        <item x="760"/>
        <item x="335"/>
        <item x="689"/>
        <item x="898"/>
        <item x="793"/>
        <item x="420"/>
        <item x="524"/>
        <item x="140"/>
        <item x="573"/>
        <item x="72"/>
        <item x="988"/>
        <item x="421"/>
        <item x="160"/>
        <item x="299"/>
        <item x="281"/>
        <item x="414"/>
        <item x="424"/>
        <item x="490"/>
        <item x="892"/>
        <item x="612"/>
        <item x="357"/>
        <item x="872"/>
        <item x="504"/>
        <item x="498"/>
        <item x="339"/>
        <item x="658"/>
        <item x="903"/>
        <item x="629"/>
        <item x="130"/>
        <item x="858"/>
        <item x="502"/>
        <item x="837"/>
        <item x="301"/>
        <item x="643"/>
        <item x="874"/>
        <item x="323"/>
        <item x="246"/>
        <item x="804"/>
        <item x="946"/>
        <item x="811"/>
        <item x="774"/>
        <item x="369"/>
        <item x="186"/>
        <item x="716"/>
        <item x="594"/>
        <item x="484"/>
        <item x="667"/>
        <item x="478"/>
        <item x="439"/>
        <item x="924"/>
        <item x="915"/>
        <item x="455"/>
        <item x="985"/>
        <item x="551"/>
        <item x="520"/>
        <item x="592"/>
        <item x="694"/>
        <item x="152"/>
        <item x="757"/>
        <item x="918"/>
        <item x="792"/>
        <item x="628"/>
        <item x="41"/>
        <item x="429"/>
        <item x="531"/>
        <item x="368"/>
        <item x="645"/>
        <item x="693"/>
        <item x="821"/>
        <item x="218"/>
        <item x="700"/>
        <item x="467"/>
        <item x="580"/>
        <item x="589"/>
        <item x="600"/>
        <item x="856"/>
        <item x="170"/>
        <item x="557"/>
        <item x="730"/>
        <item x="987"/>
        <item x="289"/>
        <item x="255"/>
        <item x="855"/>
        <item x="163"/>
        <item x="895"/>
        <item x="968"/>
        <item x="340"/>
        <item x="848"/>
        <item x="200"/>
        <item x="555"/>
        <item x="762"/>
        <item x="120"/>
        <item x="639"/>
        <item x="702"/>
        <item x="512"/>
        <item x="197"/>
        <item x="28"/>
        <item x="294"/>
        <item x="682"/>
        <item x="501"/>
        <item x="783"/>
        <item x="722"/>
        <item x="521"/>
        <item x="622"/>
        <item x="765"/>
        <item x="503"/>
        <item x="850"/>
        <item x="796"/>
        <item x="172"/>
        <item x="642"/>
        <item x="675"/>
        <item x="113"/>
        <item x="616"/>
        <item x="901"/>
        <item x="838"/>
        <item x="217"/>
        <item x="671"/>
        <item x="293"/>
        <item x="187"/>
        <item x="885"/>
        <item x="226"/>
        <item x="96"/>
        <item x="31"/>
        <item x="751"/>
        <item x="128"/>
        <item x="248"/>
        <item x="158"/>
        <item x="480"/>
        <item x="3"/>
        <item x="298"/>
        <item x="983"/>
        <item x="782"/>
        <item x="168"/>
        <item x="584"/>
        <item x="545"/>
        <item x="889"/>
        <item x="664"/>
        <item x="444"/>
        <item x="544"/>
        <item x="77"/>
        <item x="155"/>
        <item x="609"/>
        <item x="315"/>
        <item x="833"/>
        <item x="623"/>
        <item x="251"/>
        <item x="559"/>
        <item x="844"/>
        <item x="212"/>
        <item x="367"/>
        <item x="62"/>
        <item x="445"/>
        <item x="147"/>
        <item x="511"/>
        <item x="587"/>
        <item x="912"/>
        <item x="15"/>
        <item x="326"/>
        <item x="808"/>
        <item x="106"/>
        <item x="204"/>
        <item x="311"/>
        <item x="209"/>
        <item x="199"/>
        <item x="802"/>
        <item x="845"/>
        <item x="586"/>
        <item x="127"/>
        <item x="841"/>
        <item x="870"/>
        <item x="710"/>
        <item x="523"/>
        <item x="611"/>
        <item x="448"/>
        <item x="154"/>
        <item x="327"/>
        <item x="16"/>
        <item x="220"/>
        <item x="358"/>
        <item x="82"/>
        <item x="242"/>
        <item x="359"/>
        <item x="450"/>
        <item x="732"/>
        <item x="691"/>
        <item x="260"/>
        <item x="978"/>
        <item x="161"/>
        <item x="188"/>
        <item x="97"/>
        <item x="243"/>
        <item x="229"/>
        <item x="771"/>
        <item x="953"/>
        <item x="742"/>
        <item x="393"/>
        <item x="583"/>
        <item x="473"/>
        <item x="494"/>
        <item x="49"/>
        <item x="576"/>
        <item x="620"/>
        <item x="491"/>
        <item x="632"/>
        <item x="271"/>
        <item x="603"/>
        <item x="192"/>
        <item x="911"/>
        <item x="371"/>
        <item x="871"/>
        <item x="668"/>
        <item x="614"/>
        <item x="184"/>
        <item x="487"/>
        <item x="941"/>
        <item x="634"/>
        <item x="279"/>
        <item x="269"/>
        <item x="84"/>
        <item x="365"/>
        <item x="93"/>
        <item x="274"/>
        <item x="110"/>
        <item x="803"/>
        <item x="313"/>
        <item x="714"/>
        <item x="564"/>
        <item x="441"/>
        <item x="109"/>
        <item x="278"/>
        <item x="447"/>
        <item x="500"/>
        <item x="55"/>
        <item x="786"/>
        <item x="314"/>
        <item x="394"/>
        <item x="535"/>
        <item x="252"/>
        <item x="857"/>
        <item x="442"/>
        <item x="861"/>
        <item x="208"/>
        <item x="868"/>
        <item x="234"/>
        <item x="610"/>
        <item x="102"/>
        <item x="257"/>
        <item x="146"/>
        <item x="457"/>
        <item x="449"/>
        <item x="516"/>
        <item x="132"/>
        <item x="383"/>
        <item x="361"/>
        <item x="462"/>
        <item x="517"/>
        <item x="63"/>
        <item x="766"/>
        <item x="362"/>
        <item x="419"/>
        <item x="758"/>
        <item x="331"/>
        <item x="495"/>
        <item x="443"/>
        <item x="971"/>
        <item x="437"/>
        <item x="207"/>
        <item x="334"/>
        <item x="68"/>
        <item x="756"/>
        <item x="119"/>
        <item x="426"/>
        <item x="933"/>
        <item x="338"/>
        <item x="228"/>
        <item x="382"/>
        <item x="496"/>
        <item x="961"/>
        <item x="282"/>
        <item x="507"/>
        <item x="882"/>
        <item x="291"/>
        <item x="636"/>
        <item x="355"/>
        <item x="27"/>
        <item x="286"/>
        <item x="24"/>
        <item x="537"/>
        <item x="463"/>
        <item x="810"/>
        <item x="624"/>
        <item x="296"/>
        <item x="839"/>
        <item x="698"/>
        <item x="86"/>
        <item x="45"/>
        <item x="88"/>
        <item x="761"/>
        <item x="826"/>
        <item x="290"/>
        <item x="913"/>
        <item x="862"/>
        <item x="454"/>
        <item x="604"/>
        <item x="348"/>
        <item x="157"/>
        <item x="404"/>
        <item x="925"/>
        <item x="250"/>
        <item x="597"/>
        <item x="942"/>
        <item x="570"/>
        <item x="237"/>
        <item x="373"/>
        <item x="697"/>
        <item x="575"/>
        <item x="510"/>
        <item x="969"/>
        <item x="485"/>
        <item x="720"/>
        <item x="80"/>
        <item x="877"/>
        <item x="337"/>
        <item x="428"/>
        <item x="541"/>
        <item x="215"/>
        <item x="143"/>
        <item x="107"/>
        <item x="169"/>
        <item x="159"/>
        <item x="205"/>
        <item x="466"/>
        <item x="768"/>
        <item x="593"/>
        <item x="81"/>
        <item x="596"/>
        <item x="824"/>
        <item x="801"/>
        <item x="342"/>
        <item x="247"/>
        <item x="288"/>
        <item x="748"/>
        <item x="141"/>
        <item x="492"/>
        <item x="54"/>
        <item x="956"/>
        <item x="405"/>
        <item x="949"/>
        <item x="554"/>
        <item x="709"/>
        <item x="772"/>
        <item x="210"/>
        <item x="625"/>
        <item x="433"/>
        <item x="66"/>
        <item x="469"/>
        <item x="568"/>
        <item x="287"/>
        <item x="548"/>
        <item x="894"/>
        <item x="385"/>
        <item x="343"/>
        <item x="984"/>
        <item x="65"/>
        <item x="940"/>
        <item x="416"/>
        <item x="395"/>
        <item x="51"/>
        <item x="322"/>
        <item x="740"/>
        <item x="166"/>
        <item x="922"/>
        <item x="615"/>
        <item x="651"/>
        <item x="831"/>
        <item x="151"/>
        <item x="606"/>
        <item x="23"/>
        <item x="376"/>
        <item x="655"/>
        <item x="387"/>
        <item x="79"/>
        <item x="891"/>
        <item x="546"/>
        <item x="670"/>
        <item x="591"/>
        <item x="488"/>
        <item x="280"/>
        <item x="836"/>
        <item x="14"/>
        <item x="175"/>
        <item x="695"/>
        <item x="263"/>
        <item x="105"/>
        <item x="712"/>
        <item x="116"/>
        <item x="633"/>
        <item x="360"/>
        <item x="408"/>
        <item x="619"/>
        <item x="465"/>
        <item x="202"/>
        <item x="738"/>
        <item x="960"/>
        <item x="673"/>
        <item x="138"/>
        <item x="696"/>
        <item x="737"/>
        <item x="743"/>
        <item x="47"/>
        <item x="178"/>
        <item x="717"/>
        <item x="561"/>
        <item x="270"/>
        <item x="460"/>
        <item x="103"/>
        <item x="321"/>
        <item x="536"/>
        <item x="708"/>
        <item x="438"/>
        <item x="739"/>
        <item x="144"/>
        <item x="938"/>
        <item x="300"/>
        <item x="264"/>
        <item x="100"/>
        <item x="240"/>
        <item x="481"/>
        <item x="468"/>
        <item x="319"/>
        <item x="259"/>
        <item x="886"/>
        <item x="638"/>
        <item x="351"/>
        <item x="579"/>
        <item x="948"/>
        <item x="964"/>
        <item x="174"/>
        <item x="221"/>
        <item x="347"/>
        <item x="190"/>
        <item x="881"/>
        <item x="440"/>
        <item x="769"/>
        <item x="173"/>
        <item x="397"/>
        <item x="823"/>
        <item x="403"/>
        <item x="122"/>
        <item x="233"/>
        <item x="139"/>
        <item x="48"/>
        <item x="794"/>
        <item x="827"/>
        <item x="142"/>
        <item x="425"/>
        <item x="715"/>
        <item x="458"/>
        <item x="920"/>
        <item x="19"/>
        <item x="57"/>
        <item x="32"/>
        <item x="509"/>
        <item x="193"/>
        <item x="191"/>
        <item x="725"/>
        <item x="238"/>
        <item x="9"/>
        <item x="704"/>
        <item x="788"/>
        <item x="934"/>
        <item x="396"/>
        <item x="859"/>
        <item x="241"/>
        <item x="674"/>
        <item x="566"/>
        <item x="550"/>
        <item x="477"/>
        <item x="543"/>
        <item x="317"/>
        <item x="688"/>
        <item x="707"/>
        <item x="533"/>
        <item x="64"/>
        <item x="663"/>
        <item x="388"/>
        <item x="513"/>
        <item x="30"/>
        <item x="529"/>
        <item x="979"/>
        <item x="608"/>
        <item x="189"/>
        <item x="686"/>
        <item x="661"/>
        <item x="590"/>
        <item x="807"/>
        <item x="409"/>
        <item x="875"/>
        <item x="547"/>
        <item x="6"/>
        <item x="50"/>
        <item x="754"/>
        <item x="182"/>
        <item x="683"/>
        <item x="784"/>
        <item x="330"/>
        <item x="431"/>
        <item x="644"/>
        <item x="124"/>
        <item x="418"/>
        <item x="690"/>
        <item x="939"/>
        <item x="2"/>
        <item x="391"/>
        <item x="818"/>
        <item x="341"/>
        <item x="42"/>
        <item x="778"/>
        <item x="303"/>
        <item x="21"/>
        <item x="626"/>
        <item x="945"/>
        <item x="878"/>
        <item x="427"/>
        <item x="304"/>
        <item x="366"/>
        <item x="571"/>
        <item x="123"/>
        <item x="759"/>
        <item x="618"/>
        <item x="646"/>
        <item x="522"/>
        <item x="582"/>
        <item x="809"/>
        <item x="602"/>
        <item x="595"/>
        <item x="562"/>
        <item x="931"/>
        <item x="380"/>
        <item x="56"/>
        <item x="842"/>
        <item x="863"/>
        <item x="39"/>
        <item x="990"/>
        <item x="44"/>
        <item x="37"/>
        <item x="112"/>
        <item x="908"/>
        <item x="976"/>
        <item x="121"/>
        <item x="148"/>
        <item x="991"/>
        <item x="654"/>
        <item x="927"/>
        <item x="91"/>
        <item x="111"/>
        <item x="171"/>
        <item x="302"/>
        <item x="963"/>
        <item x="656"/>
        <item x="446"/>
        <item x="432"/>
        <item x="461"/>
        <item x="820"/>
        <item x="525"/>
        <item x="17"/>
        <item x="727"/>
        <item x="401"/>
        <item x="227"/>
        <item x="177"/>
        <item x="930"/>
        <item x="951"/>
        <item x="406"/>
        <item x="929"/>
        <item x="752"/>
        <item x="292"/>
        <item x="505"/>
        <item x="196"/>
        <item x="336"/>
        <item x="680"/>
        <item x="201"/>
        <item x="410"/>
        <item x="392"/>
        <item x="464"/>
        <item x="254"/>
        <item x="890"/>
        <item x="598"/>
        <item x="328"/>
        <item x="900"/>
        <item x="407"/>
        <item x="805"/>
        <item x="43"/>
        <item x="137"/>
        <item x="508"/>
        <item x="947"/>
        <item x="94"/>
        <item x="749"/>
        <item x="58"/>
        <item x="211"/>
        <item x="398"/>
        <item x="846"/>
        <item x="452"/>
        <item x="902"/>
        <item x="899"/>
        <item x="306"/>
        <item x="527"/>
        <item x="284"/>
        <item x="472"/>
        <item x="726"/>
        <item x="755"/>
        <item x="681"/>
        <item x="33"/>
        <item x="384"/>
        <item x="605"/>
        <item x="753"/>
        <item x="71"/>
        <item x="816"/>
        <item x="11"/>
        <item x="519"/>
        <item x="258"/>
        <item x="944"/>
        <item x="785"/>
        <item x="869"/>
        <item x="830"/>
        <item x="470"/>
        <item x="76"/>
        <item x="268"/>
        <item x="354"/>
        <item x="814"/>
        <item x="741"/>
        <item x="479"/>
        <item x="12"/>
        <item x="641"/>
        <item x="52"/>
        <item x="650"/>
        <item x="617"/>
        <item x="767"/>
        <item x="499"/>
        <item x="916"/>
        <item x="958"/>
        <item x="970"/>
        <item x="957"/>
        <item x="532"/>
        <item x="825"/>
        <item x="195"/>
        <item x="451"/>
        <item x="4"/>
        <item x="887"/>
        <item x="653"/>
        <item x="572"/>
        <item x="893"/>
        <item x="723"/>
        <item x="422"/>
        <item x="377"/>
        <item x="952"/>
        <item x="83"/>
        <item x="790"/>
        <item x="736"/>
        <item x="381"/>
        <item x="153"/>
        <item x="497"/>
        <item x="965"/>
        <item x="225"/>
        <item x="734"/>
        <item x="329"/>
        <item x="136"/>
        <item x="909"/>
        <item x="471"/>
        <item x="87"/>
        <item x="852"/>
        <item x="905"/>
        <item x="703"/>
        <item x="333"/>
        <item x="430"/>
        <item x="245"/>
        <item x="773"/>
        <item x="493"/>
        <item x="822"/>
        <item x="90"/>
        <item x="676"/>
        <item x="198"/>
        <item x="222"/>
        <item x="345"/>
        <item x="530"/>
        <item x="672"/>
        <item x="599"/>
        <item x="185"/>
        <item x="230"/>
        <item x="400"/>
        <item x="558"/>
        <item x="849"/>
        <item x="910"/>
        <item x="261"/>
        <item x="489"/>
        <item x="819"/>
        <item x="789"/>
        <item x="1"/>
        <item x="733"/>
        <item x="36"/>
        <item x="577"/>
        <item x="569"/>
        <item x="966"/>
        <item x="25"/>
        <item x="453"/>
        <item x="5"/>
        <item x="553"/>
        <item x="59"/>
        <item x="627"/>
        <item x="75"/>
        <item x="13"/>
        <item x="637"/>
        <item x="538"/>
        <item x="718"/>
        <item x="374"/>
        <item x="375"/>
        <item x="518"/>
        <item x="539"/>
        <item x="534"/>
        <item x="312"/>
        <item x="832"/>
        <item x="746"/>
        <item x="977"/>
        <item x="865"/>
        <item x="567"/>
        <item x="486"/>
        <item x="85"/>
        <item x="982"/>
        <item x="813"/>
        <item x="588"/>
        <item x="310"/>
        <item x="316"/>
        <item x="235"/>
        <item x="363"/>
        <item x="69"/>
        <item x="745"/>
        <item x="101"/>
        <item x="272"/>
        <item x="415"/>
        <item x="26"/>
        <item x="10"/>
        <item x="176"/>
        <item x="799"/>
        <item x="219"/>
        <item x="308"/>
        <item x="679"/>
        <item x="115"/>
        <item x="980"/>
        <item x="89"/>
        <item x="356"/>
        <item x="117"/>
        <item x="34"/>
        <item x="770"/>
        <item x="7"/>
        <item x="828"/>
        <item x="706"/>
        <item x="932"/>
        <item x="540"/>
        <item x="277"/>
        <item x="325"/>
        <item x="134"/>
        <item x="389"/>
        <item x="180"/>
        <item x="791"/>
        <item x="474"/>
        <item x="203"/>
        <item x="346"/>
        <item x="349"/>
        <item x="402"/>
        <item x="70"/>
        <item x="482"/>
        <item x="74"/>
        <item x="266"/>
        <item x="165"/>
        <item x="379"/>
        <item x="135"/>
        <item x="297"/>
        <item x="53"/>
        <item x="46"/>
        <item x="99"/>
        <item x="657"/>
        <item x="515"/>
        <item x="167"/>
        <item x="981"/>
        <item x="692"/>
        <item x="67"/>
        <item x="685"/>
        <item x="950"/>
        <item x="378"/>
        <item x="275"/>
        <item x="719"/>
        <item x="125"/>
        <item x="800"/>
        <item x="763"/>
        <item x="372"/>
        <item x="601"/>
        <item x="779"/>
        <item x="214"/>
        <item x="164"/>
        <item x="353"/>
        <item x="528"/>
        <item x="835"/>
        <item x="699"/>
        <item x="364"/>
        <item x="231"/>
        <item x="795"/>
        <item x="640"/>
        <item x="514"/>
        <item x="526"/>
        <item x="29"/>
        <item x="630"/>
        <item x="607"/>
        <item x="239"/>
        <item x="936"/>
        <item x="847"/>
        <item x="937"/>
        <item x="974"/>
        <item x="660"/>
        <item x="0"/>
        <item x="840"/>
        <item x="851"/>
        <item x="563"/>
        <item x="386"/>
        <item x="61"/>
        <item x="435"/>
        <item x="711"/>
        <item x="834"/>
        <item x="787"/>
        <item x="133"/>
        <item x="817"/>
        <item x="928"/>
        <item x="747"/>
        <item x="390"/>
        <item x="921"/>
        <item x="216"/>
        <item x="798"/>
        <item x="305"/>
        <item x="307"/>
        <item x="98"/>
        <item x="399"/>
        <item x="972"/>
        <item x="919"/>
        <item x="880"/>
        <item x="18"/>
        <item x="647"/>
        <item x="8"/>
        <item x="104"/>
        <item x="150"/>
        <item x="149"/>
        <item x="776"/>
        <item x="224"/>
        <item x="20"/>
        <item x="131"/>
        <item x="73"/>
        <item x="162"/>
        <item x="95"/>
        <item x="701"/>
        <item x="40"/>
        <item x="318"/>
        <item x="267"/>
        <item x="265"/>
        <item x="181"/>
        <item x="423"/>
        <item x="232"/>
        <item x="475"/>
        <item x="283"/>
        <item x="108"/>
        <item x="652"/>
        <item x="118"/>
        <item x="213"/>
        <item x="864"/>
        <item x="986"/>
        <item x="888"/>
        <item x="574"/>
        <item x="884"/>
        <item t="default"/>
      </items>
    </pivotField>
    <pivotField showAll="0"/>
  </pivotFields>
  <rowFields count="2">
    <field x="7"/>
    <field x="1"/>
  </rowFields>
  <rowItems count="9">
    <i>
      <x/>
    </i>
    <i r="1">
      <x/>
    </i>
    <i>
      <x v="1"/>
    </i>
    <i r="1">
      <x/>
    </i>
    <i r="1">
      <x v="1"/>
    </i>
    <i r="1">
      <x v="2"/>
    </i>
    <i>
      <x v="2"/>
    </i>
    <i r="1"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CTR" fld="14" subtotal="average" baseField="0" baseItem="0"/>
    <dataField name="Sum of Gross_Cost" fld="13" baseField="0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0"/>
  <sheetViews>
    <sheetView zoomScale="115" workbookViewId="0">
      <selection activeCell="A5" sqref="A5"/>
    </sheetView>
  </sheetViews>
  <sheetFormatPr baseColWidth="10" defaultColWidth="12.6640625" defaultRowHeight="15" customHeight="1" x14ac:dyDescent="0.2"/>
  <cols>
    <col min="1" max="1" width="134.1640625" style="3" bestFit="1" customWidth="1"/>
    <col min="2" max="2" width="10.1640625" style="3" bestFit="1" customWidth="1"/>
    <col min="3" max="3" width="25.1640625" style="3" bestFit="1" customWidth="1"/>
    <col min="4" max="4" width="33.6640625" style="3" bestFit="1" customWidth="1"/>
    <col min="5" max="5" width="27.5" style="3" bestFit="1" customWidth="1"/>
    <col min="6" max="6" width="25.6640625" style="3" bestFit="1" customWidth="1"/>
    <col min="7" max="7" width="10.5" style="3" bestFit="1" customWidth="1"/>
    <col min="8" max="8" width="10.33203125" style="3" bestFit="1" customWidth="1"/>
    <col min="9" max="9" width="5.6640625" style="3" bestFit="1" customWidth="1"/>
    <col min="10" max="10" width="17.33203125" style="3" bestFit="1" customWidth="1"/>
    <col min="11" max="11" width="19.33203125" style="3" bestFit="1" customWidth="1"/>
    <col min="12" max="12" width="14.5" style="3" bestFit="1" customWidth="1"/>
    <col min="13" max="13" width="12.1640625" style="3" bestFit="1" customWidth="1"/>
    <col min="14" max="26" width="8.6640625" style="3" customWidth="1"/>
    <col min="27" max="16384" width="12.6640625" style="3"/>
  </cols>
  <sheetData>
    <row r="1" spans="1:13" ht="14.25" customHeight="1" x14ac:dyDescent="0.2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 ht="14.25" customHeight="1" x14ac:dyDescent="0.2">
      <c r="A2" s="3" t="s">
        <v>13</v>
      </c>
      <c r="B2" s="3" t="s">
        <v>14</v>
      </c>
      <c r="C2" s="3" t="s">
        <v>15</v>
      </c>
      <c r="D2" s="3" t="s">
        <v>16</v>
      </c>
      <c r="E2" s="3" t="s">
        <v>17</v>
      </c>
      <c r="F2" s="3" t="s">
        <v>18</v>
      </c>
      <c r="G2" s="3" t="s">
        <v>19</v>
      </c>
      <c r="H2" s="3">
        <v>134847</v>
      </c>
      <c r="I2" s="3">
        <v>582</v>
      </c>
      <c r="J2" s="3">
        <v>104268</v>
      </c>
      <c r="K2" s="3">
        <v>128470</v>
      </c>
      <c r="L2" s="3">
        <v>132</v>
      </c>
      <c r="M2" s="3">
        <v>6040.5955780000004</v>
      </c>
    </row>
    <row r="3" spans="1:13" ht="14.25" customHeight="1" x14ac:dyDescent="0.2">
      <c r="A3" s="3" t="s">
        <v>20</v>
      </c>
      <c r="B3" s="3" t="s">
        <v>14</v>
      </c>
      <c r="C3" s="3" t="s">
        <v>15</v>
      </c>
      <c r="D3" s="3" t="s">
        <v>21</v>
      </c>
      <c r="E3" s="3" t="s">
        <v>17</v>
      </c>
      <c r="F3" s="3" t="s">
        <v>22</v>
      </c>
      <c r="G3" s="3" t="s">
        <v>19</v>
      </c>
      <c r="H3" s="3">
        <v>115544</v>
      </c>
      <c r="I3" s="3">
        <v>491</v>
      </c>
      <c r="J3" s="3">
        <v>79182</v>
      </c>
      <c r="K3" s="3">
        <v>109463</v>
      </c>
      <c r="L3" s="3">
        <v>69</v>
      </c>
      <c r="M3" s="3">
        <v>6721.0944529999997</v>
      </c>
    </row>
    <row r="4" spans="1:13" ht="14.25" customHeight="1" x14ac:dyDescent="0.2">
      <c r="A4" s="3" t="s">
        <v>23</v>
      </c>
      <c r="B4" s="3" t="s">
        <v>24</v>
      </c>
      <c r="C4" s="3" t="s">
        <v>15</v>
      </c>
      <c r="D4" s="3" t="s">
        <v>25</v>
      </c>
      <c r="E4" s="3" t="s">
        <v>26</v>
      </c>
      <c r="F4" s="3" t="s">
        <v>27</v>
      </c>
      <c r="G4" s="3" t="s">
        <v>19</v>
      </c>
      <c r="H4" s="3">
        <v>357707</v>
      </c>
      <c r="I4" s="3">
        <v>444</v>
      </c>
      <c r="J4" s="3">
        <v>203987</v>
      </c>
      <c r="K4" s="3">
        <v>338107</v>
      </c>
      <c r="L4" s="3">
        <v>74</v>
      </c>
      <c r="M4" s="3">
        <v>6749.2023529999997</v>
      </c>
    </row>
    <row r="5" spans="1:13" ht="14.25" customHeight="1" x14ac:dyDescent="0.2">
      <c r="A5" s="3" t="s">
        <v>28</v>
      </c>
      <c r="B5" s="3" t="s">
        <v>24</v>
      </c>
      <c r="C5" s="3" t="s">
        <v>29</v>
      </c>
      <c r="D5" s="3" t="s">
        <v>21</v>
      </c>
      <c r="E5" s="3" t="s">
        <v>30</v>
      </c>
      <c r="F5" s="3" t="s">
        <v>18</v>
      </c>
      <c r="G5" s="3" t="s">
        <v>19</v>
      </c>
      <c r="H5" s="3">
        <v>217824</v>
      </c>
      <c r="I5" s="3">
        <v>339</v>
      </c>
      <c r="J5" s="3">
        <v>75089</v>
      </c>
      <c r="K5" s="3">
        <v>179723</v>
      </c>
      <c r="L5" s="3">
        <v>16</v>
      </c>
      <c r="M5" s="3">
        <v>1451.808544</v>
      </c>
    </row>
    <row r="6" spans="1:13" ht="14.25" customHeight="1" x14ac:dyDescent="0.2">
      <c r="A6" s="3" t="s">
        <v>31</v>
      </c>
      <c r="B6" s="3" t="s">
        <v>24</v>
      </c>
      <c r="C6" s="3" t="s">
        <v>32</v>
      </c>
      <c r="D6" s="3" t="s">
        <v>25</v>
      </c>
      <c r="E6" s="3" t="s">
        <v>26</v>
      </c>
      <c r="F6" s="3" t="s">
        <v>33</v>
      </c>
      <c r="G6" s="3" t="s">
        <v>19</v>
      </c>
      <c r="H6" s="3">
        <v>247106</v>
      </c>
      <c r="I6" s="3">
        <v>290</v>
      </c>
      <c r="J6" s="3">
        <v>159618</v>
      </c>
      <c r="K6" s="3">
        <v>233150</v>
      </c>
      <c r="L6" s="3">
        <v>32</v>
      </c>
      <c r="M6" s="3">
        <v>7629.94427</v>
      </c>
    </row>
    <row r="7" spans="1:13" ht="14.25" customHeight="1" x14ac:dyDescent="0.2">
      <c r="A7" s="3" t="s">
        <v>34</v>
      </c>
      <c r="B7" s="3" t="s">
        <v>14</v>
      </c>
      <c r="C7" s="3" t="s">
        <v>35</v>
      </c>
      <c r="D7" s="3" t="s">
        <v>36</v>
      </c>
      <c r="E7" s="3" t="s">
        <v>37</v>
      </c>
      <c r="F7" s="3" t="s">
        <v>38</v>
      </c>
      <c r="G7" s="3" t="s">
        <v>19</v>
      </c>
      <c r="H7" s="3">
        <v>189571</v>
      </c>
      <c r="I7" s="3">
        <v>278</v>
      </c>
      <c r="J7" s="3">
        <v>130676</v>
      </c>
      <c r="K7" s="3">
        <v>183688</v>
      </c>
      <c r="L7" s="3">
        <v>44</v>
      </c>
      <c r="M7" s="3">
        <v>6335.9483879999998</v>
      </c>
    </row>
    <row r="8" spans="1:13" ht="14.25" customHeight="1" x14ac:dyDescent="0.2">
      <c r="A8" s="3" t="s">
        <v>39</v>
      </c>
      <c r="B8" s="3" t="s">
        <v>14</v>
      </c>
      <c r="C8" s="3" t="s">
        <v>29</v>
      </c>
      <c r="D8" s="3" t="s">
        <v>25</v>
      </c>
      <c r="E8" s="3" t="s">
        <v>40</v>
      </c>
      <c r="F8" s="3" t="s">
        <v>41</v>
      </c>
      <c r="G8" s="3" t="s">
        <v>19</v>
      </c>
      <c r="H8" s="3">
        <v>4154911</v>
      </c>
      <c r="I8" s="3">
        <v>261</v>
      </c>
      <c r="J8" s="3">
        <v>2338732</v>
      </c>
      <c r="K8" s="3">
        <v>3445626</v>
      </c>
      <c r="L8" s="3">
        <v>154</v>
      </c>
      <c r="M8" s="3">
        <v>8038.5703709999998</v>
      </c>
    </row>
    <row r="9" spans="1:13" ht="14.25" customHeight="1" x14ac:dyDescent="0.2">
      <c r="A9" s="3" t="s">
        <v>42</v>
      </c>
      <c r="B9" s="3" t="s">
        <v>24</v>
      </c>
      <c r="C9" s="3" t="s">
        <v>32</v>
      </c>
      <c r="D9" s="3" t="s">
        <v>43</v>
      </c>
      <c r="E9" s="3" t="s">
        <v>37</v>
      </c>
      <c r="F9" s="3" t="s">
        <v>27</v>
      </c>
      <c r="G9" s="3" t="s">
        <v>19</v>
      </c>
      <c r="H9" s="3">
        <v>183208</v>
      </c>
      <c r="I9" s="3">
        <v>237</v>
      </c>
      <c r="J9" s="3">
        <v>131164</v>
      </c>
      <c r="K9" s="3">
        <v>177952</v>
      </c>
      <c r="L9" s="3">
        <v>43</v>
      </c>
      <c r="M9" s="3">
        <v>2682.4366230000001</v>
      </c>
    </row>
    <row r="10" spans="1:13" ht="14.25" customHeight="1" x14ac:dyDescent="0.2">
      <c r="A10" s="3" t="s">
        <v>44</v>
      </c>
      <c r="B10" s="3" t="s">
        <v>14</v>
      </c>
      <c r="C10" s="3" t="s">
        <v>15</v>
      </c>
      <c r="D10" s="3" t="s">
        <v>45</v>
      </c>
      <c r="E10" s="3" t="s">
        <v>46</v>
      </c>
      <c r="F10" s="3" t="s">
        <v>38</v>
      </c>
      <c r="G10" s="3" t="s">
        <v>19</v>
      </c>
      <c r="H10" s="3">
        <v>481526</v>
      </c>
      <c r="I10" s="3">
        <v>223</v>
      </c>
      <c r="J10" s="3">
        <v>396802</v>
      </c>
      <c r="K10" s="3">
        <v>437639</v>
      </c>
      <c r="L10" s="3">
        <v>23</v>
      </c>
      <c r="M10" s="3">
        <v>2037.8655940000001</v>
      </c>
    </row>
    <row r="11" spans="1:13" ht="14.25" customHeight="1" x14ac:dyDescent="0.2">
      <c r="A11" s="3" t="s">
        <v>47</v>
      </c>
      <c r="B11" s="3" t="s">
        <v>24</v>
      </c>
      <c r="C11" s="3" t="s">
        <v>15</v>
      </c>
      <c r="D11" s="3" t="s">
        <v>43</v>
      </c>
      <c r="E11" s="3" t="s">
        <v>48</v>
      </c>
      <c r="F11" s="3" t="s">
        <v>41</v>
      </c>
      <c r="G11" s="3" t="s">
        <v>19</v>
      </c>
      <c r="H11" s="3">
        <v>1720462</v>
      </c>
      <c r="I11" s="3">
        <v>214</v>
      </c>
      <c r="J11" s="3">
        <v>940296</v>
      </c>
      <c r="K11" s="3">
        <v>1516537</v>
      </c>
      <c r="L11" s="3">
        <v>20</v>
      </c>
      <c r="M11" s="3">
        <v>5906.4649669999999</v>
      </c>
    </row>
    <row r="12" spans="1:13" ht="14.25" customHeight="1" x14ac:dyDescent="0.2">
      <c r="A12" s="3" t="s">
        <v>49</v>
      </c>
      <c r="B12" s="3" t="s">
        <v>24</v>
      </c>
      <c r="C12" s="3" t="s">
        <v>35</v>
      </c>
      <c r="D12" s="3" t="s">
        <v>43</v>
      </c>
      <c r="E12" s="3" t="s">
        <v>48</v>
      </c>
      <c r="F12" s="3" t="s">
        <v>50</v>
      </c>
      <c r="G12" s="3" t="s">
        <v>19</v>
      </c>
      <c r="H12" s="3">
        <v>908899</v>
      </c>
      <c r="I12" s="3">
        <v>204</v>
      </c>
      <c r="J12" s="3">
        <v>644697</v>
      </c>
      <c r="K12" s="3">
        <v>853964</v>
      </c>
      <c r="L12" s="3">
        <v>32</v>
      </c>
      <c r="M12" s="3">
        <v>5181.087383</v>
      </c>
    </row>
    <row r="13" spans="1:13" ht="14.25" customHeight="1" x14ac:dyDescent="0.2">
      <c r="A13" s="3" t="s">
        <v>51</v>
      </c>
      <c r="B13" s="3" t="s">
        <v>14</v>
      </c>
      <c r="C13" s="3" t="s">
        <v>15</v>
      </c>
      <c r="D13" s="3" t="s">
        <v>25</v>
      </c>
      <c r="E13" s="3" t="s">
        <v>52</v>
      </c>
      <c r="F13" s="3" t="s">
        <v>27</v>
      </c>
      <c r="G13" s="3" t="s">
        <v>19</v>
      </c>
      <c r="H13" s="3">
        <v>152881</v>
      </c>
      <c r="I13" s="3">
        <v>204</v>
      </c>
      <c r="J13" s="3">
        <v>94895</v>
      </c>
      <c r="K13" s="3">
        <v>145113</v>
      </c>
      <c r="L13" s="3">
        <v>11</v>
      </c>
      <c r="M13" s="3">
        <v>1496.6685239999999</v>
      </c>
    </row>
    <row r="14" spans="1:13" ht="14.25" customHeight="1" x14ac:dyDescent="0.2">
      <c r="A14" s="3" t="s">
        <v>53</v>
      </c>
      <c r="B14" s="3" t="s">
        <v>14</v>
      </c>
      <c r="C14" s="3" t="s">
        <v>35</v>
      </c>
      <c r="D14" s="3" t="s">
        <v>25</v>
      </c>
      <c r="E14" s="3" t="s">
        <v>40</v>
      </c>
      <c r="F14" s="3" t="s">
        <v>33</v>
      </c>
      <c r="G14" s="3" t="s">
        <v>19</v>
      </c>
      <c r="H14" s="3">
        <v>3196231</v>
      </c>
      <c r="I14" s="3">
        <v>203</v>
      </c>
      <c r="J14" s="3">
        <v>2013324</v>
      </c>
      <c r="K14" s="3">
        <v>2669103</v>
      </c>
      <c r="L14" s="3">
        <v>70</v>
      </c>
      <c r="M14" s="3">
        <v>5756.2711719999998</v>
      </c>
    </row>
    <row r="15" spans="1:13" ht="14.25" customHeight="1" x14ac:dyDescent="0.2">
      <c r="A15" s="3" t="s">
        <v>54</v>
      </c>
      <c r="B15" s="3" t="s">
        <v>14</v>
      </c>
      <c r="C15" s="3" t="s">
        <v>32</v>
      </c>
      <c r="D15" s="3" t="s">
        <v>16</v>
      </c>
      <c r="E15" s="3" t="s">
        <v>48</v>
      </c>
      <c r="F15" s="3" t="s">
        <v>38</v>
      </c>
      <c r="G15" s="3" t="s">
        <v>19</v>
      </c>
      <c r="H15" s="3">
        <v>1010148</v>
      </c>
      <c r="I15" s="3">
        <v>202</v>
      </c>
      <c r="J15" s="3">
        <v>699834</v>
      </c>
      <c r="K15" s="3">
        <v>955905</v>
      </c>
      <c r="L15" s="3">
        <v>31</v>
      </c>
      <c r="M15" s="3">
        <v>7788.7016210000002</v>
      </c>
    </row>
    <row r="16" spans="1:13" ht="14.25" customHeight="1" x14ac:dyDescent="0.2">
      <c r="A16" s="3" t="s">
        <v>55</v>
      </c>
      <c r="B16" s="3" t="s">
        <v>24</v>
      </c>
      <c r="C16" s="3" t="s">
        <v>29</v>
      </c>
      <c r="D16" s="3" t="s">
        <v>16</v>
      </c>
      <c r="E16" s="3" t="s">
        <v>48</v>
      </c>
      <c r="F16" s="3" t="s">
        <v>22</v>
      </c>
      <c r="G16" s="3" t="s">
        <v>19</v>
      </c>
      <c r="H16" s="3">
        <v>1956642</v>
      </c>
      <c r="I16" s="3">
        <v>194</v>
      </c>
      <c r="J16" s="3">
        <v>981461</v>
      </c>
      <c r="K16" s="3">
        <v>1731673</v>
      </c>
      <c r="L16" s="3">
        <v>106</v>
      </c>
      <c r="M16" s="3">
        <v>7730.240616</v>
      </c>
    </row>
    <row r="17" spans="1:13" ht="14.25" customHeight="1" x14ac:dyDescent="0.2">
      <c r="A17" s="3" t="s">
        <v>56</v>
      </c>
      <c r="B17" s="3" t="s">
        <v>14</v>
      </c>
      <c r="C17" s="3" t="s">
        <v>15</v>
      </c>
      <c r="D17" s="3" t="s">
        <v>25</v>
      </c>
      <c r="E17" s="3" t="s">
        <v>57</v>
      </c>
      <c r="F17" s="3" t="s">
        <v>58</v>
      </c>
      <c r="G17" s="3" t="s">
        <v>19</v>
      </c>
      <c r="H17" s="3">
        <v>446774</v>
      </c>
      <c r="I17" s="3">
        <v>184</v>
      </c>
      <c r="J17" s="3">
        <v>163786</v>
      </c>
      <c r="K17" s="3">
        <v>374116</v>
      </c>
      <c r="L17" s="3">
        <v>12</v>
      </c>
      <c r="M17" s="3">
        <v>7248.2316119999996</v>
      </c>
    </row>
    <row r="18" spans="1:13" ht="14.25" customHeight="1" x14ac:dyDescent="0.2">
      <c r="A18" s="3" t="s">
        <v>59</v>
      </c>
      <c r="B18" s="3" t="s">
        <v>24</v>
      </c>
      <c r="C18" s="3" t="s">
        <v>35</v>
      </c>
      <c r="D18" s="3" t="s">
        <v>60</v>
      </c>
      <c r="E18" s="3" t="s">
        <v>61</v>
      </c>
      <c r="F18" s="3" t="s">
        <v>38</v>
      </c>
      <c r="G18" s="3" t="s">
        <v>19</v>
      </c>
      <c r="H18" s="3">
        <v>150457</v>
      </c>
      <c r="I18" s="3">
        <v>169</v>
      </c>
      <c r="J18" s="3">
        <v>58372</v>
      </c>
      <c r="K18" s="3">
        <v>135099</v>
      </c>
      <c r="L18" s="3">
        <v>14</v>
      </c>
      <c r="M18" s="3">
        <v>5906.8300060000001</v>
      </c>
    </row>
    <row r="19" spans="1:13" ht="14.25" customHeight="1" x14ac:dyDescent="0.2">
      <c r="A19" s="3" t="s">
        <v>62</v>
      </c>
      <c r="B19" s="3" t="s">
        <v>14</v>
      </c>
      <c r="C19" s="3" t="s">
        <v>32</v>
      </c>
      <c r="D19" s="3" t="s">
        <v>25</v>
      </c>
      <c r="E19" s="3" t="s">
        <v>63</v>
      </c>
      <c r="F19" s="3" t="s">
        <v>64</v>
      </c>
      <c r="G19" s="3" t="s">
        <v>19</v>
      </c>
      <c r="H19" s="3">
        <v>116926</v>
      </c>
      <c r="I19" s="3">
        <v>166</v>
      </c>
      <c r="J19" s="3">
        <v>69132</v>
      </c>
      <c r="K19" s="3">
        <v>111957</v>
      </c>
      <c r="L19" s="3">
        <v>22</v>
      </c>
      <c r="M19" s="3">
        <v>4918.0409820000004</v>
      </c>
    </row>
    <row r="20" spans="1:13" ht="14.25" customHeight="1" x14ac:dyDescent="0.2">
      <c r="A20" s="3" t="s">
        <v>65</v>
      </c>
      <c r="B20" s="3" t="s">
        <v>14</v>
      </c>
      <c r="C20" s="3" t="s">
        <v>32</v>
      </c>
      <c r="D20" s="3" t="s">
        <v>66</v>
      </c>
      <c r="E20" s="3" t="s">
        <v>46</v>
      </c>
      <c r="F20" s="3" t="s">
        <v>22</v>
      </c>
      <c r="G20" s="3" t="s">
        <v>19</v>
      </c>
      <c r="H20" s="3">
        <v>264580</v>
      </c>
      <c r="I20" s="3">
        <v>143</v>
      </c>
      <c r="J20" s="3">
        <v>217526</v>
      </c>
      <c r="K20" s="3">
        <v>240731</v>
      </c>
      <c r="L20" s="3">
        <v>9</v>
      </c>
      <c r="M20" s="3">
        <v>4874.6517219999996</v>
      </c>
    </row>
    <row r="21" spans="1:13" ht="14.25" customHeight="1" x14ac:dyDescent="0.2">
      <c r="A21" s="3" t="s">
        <v>67</v>
      </c>
      <c r="B21" s="3" t="s">
        <v>68</v>
      </c>
      <c r="C21" s="3" t="s">
        <v>32</v>
      </c>
      <c r="D21" s="3" t="s">
        <v>66</v>
      </c>
      <c r="E21" s="3" t="s">
        <v>52</v>
      </c>
      <c r="F21" s="3" t="s">
        <v>58</v>
      </c>
      <c r="G21" s="3" t="s">
        <v>19</v>
      </c>
      <c r="H21" s="3">
        <v>140359</v>
      </c>
      <c r="I21" s="3">
        <v>139</v>
      </c>
      <c r="J21" s="3">
        <v>76130</v>
      </c>
      <c r="K21" s="3">
        <v>133578</v>
      </c>
      <c r="L21" s="3">
        <v>26</v>
      </c>
      <c r="M21" s="3">
        <v>6094.6667989999996</v>
      </c>
    </row>
    <row r="22" spans="1:13" ht="14.25" customHeight="1" x14ac:dyDescent="0.2">
      <c r="A22" s="3" t="s">
        <v>69</v>
      </c>
      <c r="B22" s="3" t="s">
        <v>24</v>
      </c>
      <c r="C22" s="3" t="s">
        <v>35</v>
      </c>
      <c r="D22" s="3" t="s">
        <v>70</v>
      </c>
      <c r="E22" s="3" t="s">
        <v>46</v>
      </c>
      <c r="F22" s="3" t="s">
        <v>27</v>
      </c>
      <c r="G22" s="3" t="s">
        <v>19</v>
      </c>
      <c r="H22" s="3">
        <v>284783</v>
      </c>
      <c r="I22" s="3">
        <v>132</v>
      </c>
      <c r="J22" s="3">
        <v>239363</v>
      </c>
      <c r="K22" s="3">
        <v>261467</v>
      </c>
      <c r="L22" s="3">
        <v>9</v>
      </c>
      <c r="M22" s="3">
        <v>1605.5380720000001</v>
      </c>
    </row>
    <row r="23" spans="1:13" ht="14.25" customHeight="1" x14ac:dyDescent="0.2">
      <c r="A23" s="3" t="s">
        <v>71</v>
      </c>
      <c r="B23" s="3" t="s">
        <v>24</v>
      </c>
      <c r="C23" s="3" t="s">
        <v>15</v>
      </c>
      <c r="D23" s="3" t="s">
        <v>25</v>
      </c>
      <c r="E23" s="3" t="s">
        <v>72</v>
      </c>
      <c r="F23" s="3" t="s">
        <v>27</v>
      </c>
      <c r="G23" s="3" t="s">
        <v>19</v>
      </c>
      <c r="H23" s="3">
        <v>1100942</v>
      </c>
      <c r="I23" s="3">
        <v>129</v>
      </c>
      <c r="J23" s="3">
        <v>629973</v>
      </c>
      <c r="K23" s="3">
        <v>1041225</v>
      </c>
      <c r="L23" s="3">
        <v>147</v>
      </c>
      <c r="M23" s="3">
        <v>7979.3485890000002</v>
      </c>
    </row>
    <row r="24" spans="1:13" ht="14.25" customHeight="1" x14ac:dyDescent="0.2">
      <c r="A24" s="3" t="s">
        <v>73</v>
      </c>
      <c r="B24" s="3" t="s">
        <v>24</v>
      </c>
      <c r="C24" s="3" t="s">
        <v>29</v>
      </c>
      <c r="D24" s="3" t="s">
        <v>74</v>
      </c>
      <c r="E24" s="3" t="s">
        <v>17</v>
      </c>
      <c r="F24" s="3" t="s">
        <v>22</v>
      </c>
      <c r="G24" s="3" t="s">
        <v>19</v>
      </c>
      <c r="H24" s="3">
        <v>510778</v>
      </c>
      <c r="I24" s="3">
        <v>129</v>
      </c>
      <c r="J24" s="3">
        <v>70777</v>
      </c>
      <c r="K24" s="3">
        <v>436133</v>
      </c>
      <c r="L24" s="3">
        <v>6</v>
      </c>
      <c r="M24" s="3">
        <v>3870.2538669999999</v>
      </c>
    </row>
    <row r="25" spans="1:13" ht="14.25" customHeight="1" x14ac:dyDescent="0.2">
      <c r="A25" s="3" t="s">
        <v>75</v>
      </c>
      <c r="B25" s="3" t="s">
        <v>24</v>
      </c>
      <c r="C25" s="3" t="s">
        <v>15</v>
      </c>
      <c r="D25" s="3" t="s">
        <v>25</v>
      </c>
      <c r="E25" s="3" t="s">
        <v>57</v>
      </c>
      <c r="F25" s="3" t="s">
        <v>76</v>
      </c>
      <c r="G25" s="3" t="s">
        <v>19</v>
      </c>
      <c r="H25" s="3">
        <v>1767940</v>
      </c>
      <c r="I25" s="3">
        <v>127</v>
      </c>
      <c r="J25" s="3">
        <v>881525</v>
      </c>
      <c r="K25" s="3">
        <v>1550866</v>
      </c>
      <c r="L25" s="3">
        <v>78</v>
      </c>
      <c r="M25" s="3">
        <v>7511.656191</v>
      </c>
    </row>
    <row r="26" spans="1:13" ht="14.25" customHeight="1" x14ac:dyDescent="0.2">
      <c r="A26" s="3" t="s">
        <v>77</v>
      </c>
      <c r="B26" s="3" t="s">
        <v>14</v>
      </c>
      <c r="C26" s="3" t="s">
        <v>15</v>
      </c>
      <c r="D26" s="3" t="s">
        <v>78</v>
      </c>
      <c r="E26" s="3" t="s">
        <v>79</v>
      </c>
      <c r="F26" s="3" t="s">
        <v>27</v>
      </c>
      <c r="G26" s="3" t="s">
        <v>19</v>
      </c>
      <c r="H26" s="3">
        <v>210700</v>
      </c>
      <c r="I26" s="3">
        <v>124</v>
      </c>
      <c r="J26" s="3">
        <v>94625</v>
      </c>
      <c r="K26" s="3">
        <v>180681</v>
      </c>
      <c r="L26" s="3">
        <v>3</v>
      </c>
      <c r="M26" s="3">
        <v>6341.8793009999999</v>
      </c>
    </row>
    <row r="27" spans="1:13" ht="14.25" customHeight="1" x14ac:dyDescent="0.2">
      <c r="A27" s="3" t="s">
        <v>80</v>
      </c>
      <c r="B27" s="3" t="s">
        <v>24</v>
      </c>
      <c r="C27" s="3" t="s">
        <v>35</v>
      </c>
      <c r="D27" s="3" t="s">
        <v>66</v>
      </c>
      <c r="E27" s="3" t="s">
        <v>48</v>
      </c>
      <c r="F27" s="3" t="s">
        <v>81</v>
      </c>
      <c r="G27" s="3" t="s">
        <v>19</v>
      </c>
      <c r="H27" s="3">
        <v>679098</v>
      </c>
      <c r="I27" s="3">
        <v>121</v>
      </c>
      <c r="J27" s="3">
        <v>467726</v>
      </c>
      <c r="K27" s="3">
        <v>634589</v>
      </c>
      <c r="L27" s="3">
        <v>9</v>
      </c>
      <c r="M27" s="3">
        <v>1477.4248560000001</v>
      </c>
    </row>
    <row r="28" spans="1:13" ht="14.25" customHeight="1" x14ac:dyDescent="0.2">
      <c r="A28" s="3" t="s">
        <v>82</v>
      </c>
      <c r="B28" s="3" t="s">
        <v>14</v>
      </c>
      <c r="C28" s="3" t="s">
        <v>29</v>
      </c>
      <c r="D28" s="3" t="s">
        <v>70</v>
      </c>
      <c r="E28" s="3" t="s">
        <v>40</v>
      </c>
      <c r="F28" s="3" t="s">
        <v>41</v>
      </c>
      <c r="G28" s="3" t="s">
        <v>19</v>
      </c>
      <c r="H28" s="3">
        <v>1601933</v>
      </c>
      <c r="I28" s="3">
        <v>113</v>
      </c>
      <c r="J28" s="3">
        <v>1135085</v>
      </c>
      <c r="K28" s="3">
        <v>1487426</v>
      </c>
      <c r="L28" s="3">
        <v>29</v>
      </c>
      <c r="M28" s="3">
        <v>6785.7097899999999</v>
      </c>
    </row>
    <row r="29" spans="1:13" ht="14.25" customHeight="1" x14ac:dyDescent="0.2">
      <c r="A29" s="3" t="s">
        <v>83</v>
      </c>
      <c r="B29" s="3" t="s">
        <v>24</v>
      </c>
      <c r="C29" s="3" t="s">
        <v>15</v>
      </c>
      <c r="D29" s="3" t="s">
        <v>84</v>
      </c>
      <c r="E29" s="3" t="s">
        <v>48</v>
      </c>
      <c r="F29" s="3" t="s">
        <v>27</v>
      </c>
      <c r="G29" s="3" t="s">
        <v>19</v>
      </c>
      <c r="H29" s="3">
        <v>766674</v>
      </c>
      <c r="I29" s="3">
        <v>103</v>
      </c>
      <c r="J29" s="3">
        <v>344201</v>
      </c>
      <c r="K29" s="3">
        <v>720606</v>
      </c>
      <c r="L29" s="3">
        <v>17</v>
      </c>
      <c r="M29" s="3">
        <v>5816.2346189999998</v>
      </c>
    </row>
    <row r="30" spans="1:13" ht="14.25" customHeight="1" x14ac:dyDescent="0.2">
      <c r="A30" s="3" t="s">
        <v>85</v>
      </c>
      <c r="B30" s="3" t="s">
        <v>14</v>
      </c>
      <c r="C30" s="3" t="s">
        <v>35</v>
      </c>
      <c r="D30" s="3" t="s">
        <v>86</v>
      </c>
      <c r="E30" s="3" t="s">
        <v>87</v>
      </c>
      <c r="F30" s="3" t="s">
        <v>27</v>
      </c>
      <c r="G30" s="3" t="s">
        <v>19</v>
      </c>
      <c r="H30" s="3">
        <v>98509</v>
      </c>
      <c r="I30" s="3">
        <v>103</v>
      </c>
      <c r="J30" s="3">
        <v>30688</v>
      </c>
      <c r="K30" s="3">
        <v>109518</v>
      </c>
      <c r="L30" s="3">
        <v>19</v>
      </c>
      <c r="M30" s="3">
        <v>2059.2702939999999</v>
      </c>
    </row>
    <row r="31" spans="1:13" ht="14.25" customHeight="1" x14ac:dyDescent="0.2">
      <c r="A31" s="3" t="s">
        <v>88</v>
      </c>
      <c r="B31" s="3" t="s">
        <v>14</v>
      </c>
      <c r="C31" s="3" t="s">
        <v>29</v>
      </c>
      <c r="D31" s="3" t="s">
        <v>43</v>
      </c>
      <c r="E31" s="3" t="s">
        <v>40</v>
      </c>
      <c r="F31" s="3" t="s">
        <v>27</v>
      </c>
      <c r="G31" s="3" t="s">
        <v>19</v>
      </c>
      <c r="H31" s="3">
        <v>1515751</v>
      </c>
      <c r="I31" s="3">
        <v>98</v>
      </c>
      <c r="J31" s="3">
        <v>1151776</v>
      </c>
      <c r="K31" s="3">
        <v>1396230</v>
      </c>
      <c r="L31" s="3">
        <v>49</v>
      </c>
      <c r="M31" s="3">
        <v>7850.6442440000001</v>
      </c>
    </row>
    <row r="32" spans="1:13" ht="14.25" customHeight="1" x14ac:dyDescent="0.2">
      <c r="A32" s="3" t="s">
        <v>89</v>
      </c>
      <c r="B32" s="3" t="s">
        <v>14</v>
      </c>
      <c r="C32" s="3" t="s">
        <v>29</v>
      </c>
      <c r="D32" s="3" t="s">
        <v>25</v>
      </c>
      <c r="E32" s="3" t="s">
        <v>48</v>
      </c>
      <c r="F32" s="3" t="s">
        <v>58</v>
      </c>
      <c r="G32" s="3" t="s">
        <v>19</v>
      </c>
      <c r="H32" s="3">
        <v>1323451</v>
      </c>
      <c r="I32" s="3">
        <v>97</v>
      </c>
      <c r="J32" s="3">
        <v>737990</v>
      </c>
      <c r="K32" s="3">
        <v>1177859</v>
      </c>
      <c r="L32" s="3">
        <v>123</v>
      </c>
      <c r="M32" s="3">
        <v>8187.1145409999999</v>
      </c>
    </row>
    <row r="33" spans="1:13" ht="14.25" customHeight="1" x14ac:dyDescent="0.2">
      <c r="A33" s="3" t="s">
        <v>90</v>
      </c>
      <c r="B33" s="3" t="s">
        <v>24</v>
      </c>
      <c r="C33" s="3" t="s">
        <v>15</v>
      </c>
      <c r="D33" s="3" t="s">
        <v>91</v>
      </c>
      <c r="E33" s="3" t="s">
        <v>57</v>
      </c>
      <c r="F33" s="3" t="s">
        <v>27</v>
      </c>
      <c r="G33" s="3" t="s">
        <v>19</v>
      </c>
      <c r="H33" s="3">
        <v>310255</v>
      </c>
      <c r="I33" s="3">
        <v>97</v>
      </c>
      <c r="J33" s="3">
        <v>105054</v>
      </c>
      <c r="K33" s="3">
        <v>260998</v>
      </c>
      <c r="L33" s="3">
        <v>14</v>
      </c>
      <c r="M33" s="3">
        <v>6057.8567220000004</v>
      </c>
    </row>
    <row r="34" spans="1:13" ht="14.25" customHeight="1" x14ac:dyDescent="0.2">
      <c r="A34" s="3" t="s">
        <v>92</v>
      </c>
      <c r="B34" s="3" t="s">
        <v>68</v>
      </c>
      <c r="C34" s="3" t="s">
        <v>32</v>
      </c>
      <c r="D34" s="3" t="s">
        <v>25</v>
      </c>
      <c r="E34" s="3" t="s">
        <v>48</v>
      </c>
      <c r="F34" s="3" t="s">
        <v>38</v>
      </c>
      <c r="G34" s="3" t="s">
        <v>19</v>
      </c>
      <c r="H34" s="3">
        <v>1083050</v>
      </c>
      <c r="I34" s="3">
        <v>96</v>
      </c>
      <c r="J34" s="3">
        <v>590156</v>
      </c>
      <c r="K34" s="3">
        <v>953556</v>
      </c>
      <c r="L34" s="3">
        <v>19</v>
      </c>
      <c r="M34" s="3">
        <v>7495.749847</v>
      </c>
    </row>
    <row r="35" spans="1:13" ht="14.25" customHeight="1" x14ac:dyDescent="0.2">
      <c r="A35" s="3" t="s">
        <v>93</v>
      </c>
      <c r="B35" s="3" t="s">
        <v>14</v>
      </c>
      <c r="C35" s="3" t="s">
        <v>35</v>
      </c>
      <c r="D35" s="3" t="s">
        <v>70</v>
      </c>
      <c r="E35" s="3" t="s">
        <v>40</v>
      </c>
      <c r="F35" s="3" t="s">
        <v>27</v>
      </c>
      <c r="G35" s="3" t="s">
        <v>19</v>
      </c>
      <c r="H35" s="3">
        <v>999915</v>
      </c>
      <c r="I35" s="3">
        <v>95</v>
      </c>
      <c r="J35" s="3">
        <v>618816</v>
      </c>
      <c r="K35" s="3">
        <v>829942</v>
      </c>
      <c r="L35" s="3">
        <v>23</v>
      </c>
      <c r="M35" s="3">
        <v>7879.3167869999997</v>
      </c>
    </row>
    <row r="36" spans="1:13" ht="14.25" customHeight="1" x14ac:dyDescent="0.2">
      <c r="A36" s="3" t="s">
        <v>94</v>
      </c>
      <c r="B36" s="3" t="s">
        <v>24</v>
      </c>
      <c r="C36" s="3" t="s">
        <v>32</v>
      </c>
      <c r="D36" s="3" t="s">
        <v>25</v>
      </c>
      <c r="E36" s="3" t="s">
        <v>48</v>
      </c>
      <c r="F36" s="3" t="s">
        <v>27</v>
      </c>
      <c r="G36" s="3" t="s">
        <v>19</v>
      </c>
      <c r="H36" s="3">
        <v>470192</v>
      </c>
      <c r="I36" s="3">
        <v>94</v>
      </c>
      <c r="J36" s="3">
        <v>336480</v>
      </c>
      <c r="K36" s="3">
        <v>443202</v>
      </c>
      <c r="L36" s="3">
        <v>3</v>
      </c>
      <c r="M36" s="3">
        <v>4963.9662509999998</v>
      </c>
    </row>
    <row r="37" spans="1:13" ht="14.25" customHeight="1" x14ac:dyDescent="0.2">
      <c r="A37" s="3" t="s">
        <v>95</v>
      </c>
      <c r="B37" s="3" t="s">
        <v>24</v>
      </c>
      <c r="C37" s="3" t="s">
        <v>35</v>
      </c>
      <c r="D37" s="3" t="s">
        <v>16</v>
      </c>
      <c r="E37" s="3" t="s">
        <v>96</v>
      </c>
      <c r="F37" s="3" t="s">
        <v>27</v>
      </c>
      <c r="G37" s="3" t="s">
        <v>19</v>
      </c>
      <c r="H37" s="3">
        <v>186404</v>
      </c>
      <c r="I37" s="3">
        <v>94</v>
      </c>
      <c r="J37" s="3">
        <v>30885</v>
      </c>
      <c r="K37" s="3">
        <v>151358</v>
      </c>
      <c r="L37" s="3">
        <v>3</v>
      </c>
      <c r="M37" s="3">
        <v>4702.027505</v>
      </c>
    </row>
    <row r="38" spans="1:13" ht="14.25" customHeight="1" x14ac:dyDescent="0.2">
      <c r="A38" s="3" t="s">
        <v>97</v>
      </c>
      <c r="B38" s="3" t="s">
        <v>24</v>
      </c>
      <c r="C38" s="3" t="s">
        <v>32</v>
      </c>
      <c r="D38" s="3" t="s">
        <v>25</v>
      </c>
      <c r="E38" s="3" t="s">
        <v>98</v>
      </c>
      <c r="F38" s="3" t="s">
        <v>27</v>
      </c>
      <c r="G38" s="3" t="s">
        <v>19</v>
      </c>
      <c r="H38" s="3">
        <v>42451</v>
      </c>
      <c r="I38" s="3">
        <v>94</v>
      </c>
      <c r="J38" s="3">
        <v>29142</v>
      </c>
      <c r="K38" s="3">
        <v>41093</v>
      </c>
      <c r="L38" s="3">
        <v>3</v>
      </c>
      <c r="M38" s="3">
        <v>1530.553686</v>
      </c>
    </row>
    <row r="39" spans="1:13" ht="14.25" customHeight="1" x14ac:dyDescent="0.2">
      <c r="A39" s="3" t="s">
        <v>99</v>
      </c>
      <c r="B39" s="3" t="s">
        <v>14</v>
      </c>
      <c r="C39" s="3" t="s">
        <v>32</v>
      </c>
      <c r="D39" s="3" t="s">
        <v>25</v>
      </c>
      <c r="E39" s="3" t="s">
        <v>48</v>
      </c>
      <c r="F39" s="3" t="s">
        <v>76</v>
      </c>
      <c r="G39" s="3" t="s">
        <v>19</v>
      </c>
      <c r="H39" s="3">
        <v>742281</v>
      </c>
      <c r="I39" s="3">
        <v>93</v>
      </c>
      <c r="J39" s="3">
        <v>432673</v>
      </c>
      <c r="K39" s="3">
        <v>642404</v>
      </c>
      <c r="L39" s="3">
        <v>11</v>
      </c>
      <c r="M39" s="3">
        <v>6024.4224869999998</v>
      </c>
    </row>
    <row r="40" spans="1:13" ht="14.25" customHeight="1" x14ac:dyDescent="0.2">
      <c r="A40" s="3" t="s">
        <v>100</v>
      </c>
      <c r="B40" s="3" t="s">
        <v>14</v>
      </c>
      <c r="C40" s="3" t="s">
        <v>29</v>
      </c>
      <c r="D40" s="3" t="s">
        <v>16</v>
      </c>
      <c r="E40" s="3" t="s">
        <v>79</v>
      </c>
      <c r="F40" s="3" t="s">
        <v>27</v>
      </c>
      <c r="G40" s="3" t="s">
        <v>19</v>
      </c>
      <c r="H40" s="3">
        <v>654902</v>
      </c>
      <c r="I40" s="3">
        <v>92</v>
      </c>
      <c r="J40" s="3">
        <v>40733</v>
      </c>
      <c r="K40" s="3">
        <v>477114</v>
      </c>
      <c r="L40" s="3">
        <v>4</v>
      </c>
      <c r="M40" s="3">
        <v>3178.6103149999999</v>
      </c>
    </row>
    <row r="41" spans="1:13" ht="14.25" customHeight="1" x14ac:dyDescent="0.2">
      <c r="A41" s="3" t="s">
        <v>101</v>
      </c>
      <c r="B41" s="3" t="s">
        <v>24</v>
      </c>
      <c r="C41" s="3" t="s">
        <v>29</v>
      </c>
      <c r="D41" s="3" t="s">
        <v>25</v>
      </c>
      <c r="E41" s="3" t="s">
        <v>48</v>
      </c>
      <c r="F41" s="3" t="s">
        <v>22</v>
      </c>
      <c r="G41" s="3" t="s">
        <v>19</v>
      </c>
      <c r="H41" s="3">
        <v>728841</v>
      </c>
      <c r="I41" s="3">
        <v>91</v>
      </c>
      <c r="J41" s="3">
        <v>424340</v>
      </c>
      <c r="K41" s="3">
        <v>634059</v>
      </c>
      <c r="L41" s="3">
        <v>37</v>
      </c>
      <c r="M41" s="3">
        <v>8054.1413679999996</v>
      </c>
    </row>
    <row r="42" spans="1:13" ht="14.25" customHeight="1" x14ac:dyDescent="0.2">
      <c r="A42" s="3" t="s">
        <v>102</v>
      </c>
      <c r="B42" s="3" t="s">
        <v>14</v>
      </c>
      <c r="C42" s="3" t="s">
        <v>35</v>
      </c>
      <c r="D42" s="3" t="s">
        <v>45</v>
      </c>
      <c r="E42" s="3" t="s">
        <v>46</v>
      </c>
      <c r="F42" s="3" t="s">
        <v>58</v>
      </c>
      <c r="G42" s="3" t="s">
        <v>19</v>
      </c>
      <c r="H42" s="3">
        <v>183230</v>
      </c>
      <c r="I42" s="3">
        <v>89</v>
      </c>
      <c r="J42" s="3">
        <v>155260</v>
      </c>
      <c r="K42" s="3">
        <v>169583</v>
      </c>
      <c r="L42" s="3">
        <v>34</v>
      </c>
      <c r="M42" s="3">
        <v>7863.469709</v>
      </c>
    </row>
    <row r="43" spans="1:13" ht="14.25" customHeight="1" x14ac:dyDescent="0.2">
      <c r="A43" s="3" t="s">
        <v>103</v>
      </c>
      <c r="B43" s="3" t="s">
        <v>24</v>
      </c>
      <c r="C43" s="3" t="s">
        <v>15</v>
      </c>
      <c r="D43" s="3" t="s">
        <v>66</v>
      </c>
      <c r="E43" s="3" t="s">
        <v>79</v>
      </c>
      <c r="F43" s="3" t="s">
        <v>81</v>
      </c>
      <c r="G43" s="3" t="s">
        <v>19</v>
      </c>
      <c r="H43" s="3">
        <v>253577</v>
      </c>
      <c r="I43" s="3">
        <v>89</v>
      </c>
      <c r="J43" s="3">
        <v>66972</v>
      </c>
      <c r="K43" s="3">
        <v>191183</v>
      </c>
      <c r="L43" s="3">
        <v>44</v>
      </c>
      <c r="M43" s="3">
        <v>1493.074494</v>
      </c>
    </row>
    <row r="44" spans="1:13" ht="14.25" customHeight="1" x14ac:dyDescent="0.2">
      <c r="A44" s="3" t="s">
        <v>104</v>
      </c>
      <c r="B44" s="3" t="s">
        <v>14</v>
      </c>
      <c r="C44" s="3" t="s">
        <v>15</v>
      </c>
      <c r="D44" s="3" t="s">
        <v>66</v>
      </c>
      <c r="E44" s="3" t="s">
        <v>72</v>
      </c>
      <c r="F44" s="3" t="s">
        <v>76</v>
      </c>
      <c r="G44" s="3" t="s">
        <v>19</v>
      </c>
      <c r="H44" s="3">
        <v>680912</v>
      </c>
      <c r="I44" s="3">
        <v>87</v>
      </c>
      <c r="J44" s="3">
        <v>388915</v>
      </c>
      <c r="K44" s="3">
        <v>648524</v>
      </c>
      <c r="L44" s="3">
        <v>39</v>
      </c>
      <c r="M44" s="3">
        <v>7814.2624939999996</v>
      </c>
    </row>
    <row r="45" spans="1:13" ht="14.25" customHeight="1" x14ac:dyDescent="0.2">
      <c r="A45" s="3" t="s">
        <v>105</v>
      </c>
      <c r="B45" s="3" t="s">
        <v>24</v>
      </c>
      <c r="C45" s="3" t="s">
        <v>29</v>
      </c>
      <c r="D45" s="3" t="s">
        <v>45</v>
      </c>
      <c r="E45" s="3" t="s">
        <v>72</v>
      </c>
      <c r="F45" s="3" t="s">
        <v>58</v>
      </c>
      <c r="G45" s="3" t="s">
        <v>19</v>
      </c>
      <c r="H45" s="3">
        <v>569171</v>
      </c>
      <c r="I45" s="3">
        <v>86</v>
      </c>
      <c r="J45" s="3">
        <v>343050</v>
      </c>
      <c r="K45" s="3">
        <v>541133</v>
      </c>
      <c r="L45" s="3">
        <v>78</v>
      </c>
      <c r="M45" s="3">
        <v>7129.6332869999997</v>
      </c>
    </row>
    <row r="46" spans="1:13" ht="14.25" customHeight="1" x14ac:dyDescent="0.2">
      <c r="A46" s="3" t="s">
        <v>106</v>
      </c>
      <c r="B46" s="3" t="s">
        <v>68</v>
      </c>
      <c r="C46" s="3" t="s">
        <v>32</v>
      </c>
      <c r="D46" s="3" t="s">
        <v>21</v>
      </c>
      <c r="E46" s="3" t="s">
        <v>107</v>
      </c>
      <c r="F46" s="3" t="s">
        <v>22</v>
      </c>
      <c r="G46" s="3" t="s">
        <v>19</v>
      </c>
      <c r="H46" s="3">
        <v>69722</v>
      </c>
      <c r="I46" s="3">
        <v>85</v>
      </c>
      <c r="J46" s="3">
        <v>40640</v>
      </c>
      <c r="K46" s="3">
        <v>64819</v>
      </c>
      <c r="L46" s="3">
        <v>10</v>
      </c>
      <c r="M46" s="3">
        <v>1667.6558950000001</v>
      </c>
    </row>
    <row r="47" spans="1:13" ht="14.25" customHeight="1" x14ac:dyDescent="0.2">
      <c r="A47" s="3" t="s">
        <v>108</v>
      </c>
      <c r="B47" s="3" t="s">
        <v>14</v>
      </c>
      <c r="C47" s="3" t="s">
        <v>29</v>
      </c>
      <c r="D47" s="3" t="s">
        <v>84</v>
      </c>
      <c r="E47" s="3" t="s">
        <v>26</v>
      </c>
      <c r="F47" s="3" t="s">
        <v>27</v>
      </c>
      <c r="G47" s="3" t="s">
        <v>19</v>
      </c>
      <c r="H47" s="3">
        <v>97346</v>
      </c>
      <c r="I47" s="3">
        <v>79</v>
      </c>
      <c r="J47" s="3">
        <v>44118</v>
      </c>
      <c r="K47" s="3">
        <v>91080</v>
      </c>
      <c r="L47" s="3">
        <v>19</v>
      </c>
      <c r="M47" s="3">
        <v>1657.5648699999999</v>
      </c>
    </row>
    <row r="48" spans="1:13" ht="14.25" customHeight="1" x14ac:dyDescent="0.2">
      <c r="A48" s="3" t="s">
        <v>109</v>
      </c>
      <c r="B48" s="3" t="s">
        <v>24</v>
      </c>
      <c r="C48" s="3" t="s">
        <v>32</v>
      </c>
      <c r="D48" s="3" t="s">
        <v>43</v>
      </c>
      <c r="E48" s="3" t="s">
        <v>40</v>
      </c>
      <c r="F48" s="3" t="s">
        <v>64</v>
      </c>
      <c r="G48" s="3" t="s">
        <v>19</v>
      </c>
      <c r="H48" s="3">
        <v>1575592</v>
      </c>
      <c r="I48" s="3">
        <v>78</v>
      </c>
      <c r="J48" s="3">
        <v>1155869</v>
      </c>
      <c r="K48" s="3">
        <v>1447900</v>
      </c>
      <c r="L48" s="3">
        <v>88</v>
      </c>
      <c r="M48" s="3">
        <v>7818.6482969999997</v>
      </c>
    </row>
    <row r="49" spans="1:13" ht="14.25" customHeight="1" x14ac:dyDescent="0.2">
      <c r="A49" s="3" t="s">
        <v>110</v>
      </c>
      <c r="B49" s="3" t="s">
        <v>14</v>
      </c>
      <c r="C49" s="3" t="s">
        <v>35</v>
      </c>
      <c r="D49" s="3" t="s">
        <v>91</v>
      </c>
      <c r="E49" s="3" t="s">
        <v>111</v>
      </c>
      <c r="F49" s="3" t="s">
        <v>33</v>
      </c>
      <c r="G49" s="3" t="s">
        <v>19</v>
      </c>
      <c r="H49" s="3">
        <v>49936</v>
      </c>
      <c r="I49" s="3">
        <v>78</v>
      </c>
      <c r="J49" s="3">
        <v>25461</v>
      </c>
      <c r="K49" s="3">
        <v>44751</v>
      </c>
      <c r="L49" s="3">
        <v>13</v>
      </c>
      <c r="M49" s="3">
        <v>2025.7840189999999</v>
      </c>
    </row>
    <row r="50" spans="1:13" ht="14.25" customHeight="1" x14ac:dyDescent="0.2">
      <c r="A50" s="3" t="s">
        <v>112</v>
      </c>
      <c r="B50" s="3" t="s">
        <v>68</v>
      </c>
      <c r="C50" s="3" t="s">
        <v>32</v>
      </c>
      <c r="D50" s="3" t="s">
        <v>25</v>
      </c>
      <c r="E50" s="3" t="s">
        <v>63</v>
      </c>
      <c r="F50" s="3" t="s">
        <v>27</v>
      </c>
      <c r="G50" s="3" t="s">
        <v>19</v>
      </c>
      <c r="H50" s="3">
        <v>84306</v>
      </c>
      <c r="I50" s="3">
        <v>76</v>
      </c>
      <c r="J50" s="3">
        <v>45376</v>
      </c>
      <c r="K50" s="3">
        <v>79935</v>
      </c>
      <c r="L50" s="3">
        <v>3</v>
      </c>
      <c r="M50" s="3">
        <v>1809.5909610000001</v>
      </c>
    </row>
    <row r="51" spans="1:13" ht="14.25" customHeight="1" x14ac:dyDescent="0.2">
      <c r="A51" s="3" t="s">
        <v>113</v>
      </c>
      <c r="B51" s="3" t="s">
        <v>24</v>
      </c>
      <c r="C51" s="3" t="s">
        <v>29</v>
      </c>
      <c r="D51" s="3" t="s">
        <v>86</v>
      </c>
      <c r="E51" s="3" t="s">
        <v>72</v>
      </c>
      <c r="F51" s="3" t="s">
        <v>22</v>
      </c>
      <c r="G51" s="3" t="s">
        <v>114</v>
      </c>
      <c r="H51" s="3">
        <v>74436</v>
      </c>
      <c r="I51" s="3">
        <v>76</v>
      </c>
      <c r="J51" s="3">
        <v>30158</v>
      </c>
      <c r="K51" s="3">
        <v>69150</v>
      </c>
      <c r="L51" s="3">
        <v>21</v>
      </c>
      <c r="M51" s="3">
        <v>1558.5491380000001</v>
      </c>
    </row>
    <row r="52" spans="1:13" ht="14.25" customHeight="1" x14ac:dyDescent="0.2">
      <c r="A52" s="3" t="s">
        <v>115</v>
      </c>
      <c r="B52" s="3" t="s">
        <v>24</v>
      </c>
      <c r="C52" s="3" t="s">
        <v>35</v>
      </c>
      <c r="D52" s="3" t="s">
        <v>21</v>
      </c>
      <c r="E52" s="3" t="s">
        <v>107</v>
      </c>
      <c r="F52" s="3" t="s">
        <v>33</v>
      </c>
      <c r="G52" s="3" t="s">
        <v>114</v>
      </c>
      <c r="H52" s="3">
        <v>76724</v>
      </c>
      <c r="I52" s="3">
        <v>75</v>
      </c>
      <c r="J52" s="3">
        <v>43209</v>
      </c>
      <c r="K52" s="3">
        <v>69530</v>
      </c>
      <c r="L52" s="3">
        <v>15</v>
      </c>
      <c r="M52" s="3">
        <v>1493.204528</v>
      </c>
    </row>
    <row r="53" spans="1:13" ht="14.25" customHeight="1" x14ac:dyDescent="0.2">
      <c r="A53" s="3" t="s">
        <v>116</v>
      </c>
      <c r="B53" s="3" t="s">
        <v>24</v>
      </c>
      <c r="C53" s="3" t="s">
        <v>15</v>
      </c>
      <c r="D53" s="3" t="s">
        <v>16</v>
      </c>
      <c r="E53" s="3" t="s">
        <v>57</v>
      </c>
      <c r="F53" s="3" t="s">
        <v>27</v>
      </c>
      <c r="G53" s="3" t="s">
        <v>19</v>
      </c>
      <c r="H53" s="3">
        <v>1116343</v>
      </c>
      <c r="I53" s="3">
        <v>74</v>
      </c>
      <c r="J53" s="3">
        <v>550519</v>
      </c>
      <c r="K53" s="3">
        <v>977978</v>
      </c>
      <c r="L53" s="3">
        <v>9</v>
      </c>
      <c r="M53" s="3">
        <v>2494.217596</v>
      </c>
    </row>
    <row r="54" spans="1:13" ht="14.25" customHeight="1" x14ac:dyDescent="0.2">
      <c r="A54" s="3" t="s">
        <v>117</v>
      </c>
      <c r="B54" s="3" t="s">
        <v>24</v>
      </c>
      <c r="C54" s="3" t="s">
        <v>29</v>
      </c>
      <c r="D54" s="3" t="s">
        <v>45</v>
      </c>
      <c r="E54" s="3" t="s">
        <v>72</v>
      </c>
      <c r="F54" s="3" t="s">
        <v>76</v>
      </c>
      <c r="G54" s="3" t="s">
        <v>19</v>
      </c>
      <c r="H54" s="3">
        <v>435848</v>
      </c>
      <c r="I54" s="3">
        <v>70</v>
      </c>
      <c r="J54" s="3">
        <v>274912</v>
      </c>
      <c r="K54" s="3">
        <v>415601</v>
      </c>
      <c r="L54" s="3">
        <v>15</v>
      </c>
      <c r="M54" s="3">
        <v>1554.439959</v>
      </c>
    </row>
    <row r="55" spans="1:13" ht="14.25" customHeight="1" x14ac:dyDescent="0.2">
      <c r="A55" s="3" t="s">
        <v>118</v>
      </c>
      <c r="B55" s="3" t="s">
        <v>14</v>
      </c>
      <c r="C55" s="3" t="s">
        <v>29</v>
      </c>
      <c r="D55" s="3" t="s">
        <v>25</v>
      </c>
      <c r="E55" s="3" t="s">
        <v>119</v>
      </c>
      <c r="F55" s="3" t="s">
        <v>27</v>
      </c>
      <c r="G55" s="3" t="s">
        <v>19</v>
      </c>
      <c r="H55" s="3">
        <v>108559</v>
      </c>
      <c r="I55" s="3">
        <v>69</v>
      </c>
      <c r="J55" s="3">
        <v>79254</v>
      </c>
      <c r="K55" s="3">
        <v>100563</v>
      </c>
      <c r="L55" s="3">
        <v>7</v>
      </c>
      <c r="M55" s="3">
        <v>6850.5764829999998</v>
      </c>
    </row>
    <row r="56" spans="1:13" ht="14.25" customHeight="1" x14ac:dyDescent="0.2">
      <c r="A56" s="3" t="s">
        <v>120</v>
      </c>
      <c r="B56" s="3" t="s">
        <v>24</v>
      </c>
      <c r="C56" s="3" t="s">
        <v>32</v>
      </c>
      <c r="D56" s="3" t="s">
        <v>121</v>
      </c>
      <c r="E56" s="3" t="s">
        <v>57</v>
      </c>
      <c r="F56" s="3" t="s">
        <v>38</v>
      </c>
      <c r="G56" s="3" t="s">
        <v>19</v>
      </c>
      <c r="H56" s="3">
        <v>818919</v>
      </c>
      <c r="I56" s="3">
        <v>66</v>
      </c>
      <c r="J56" s="3">
        <v>395852</v>
      </c>
      <c r="K56" s="3">
        <v>699064</v>
      </c>
      <c r="L56" s="3">
        <v>22</v>
      </c>
      <c r="M56" s="3">
        <v>6012.1024649999999</v>
      </c>
    </row>
    <row r="57" spans="1:13" ht="14.25" customHeight="1" x14ac:dyDescent="0.2">
      <c r="A57" s="3" t="s">
        <v>122</v>
      </c>
      <c r="B57" s="3" t="s">
        <v>24</v>
      </c>
      <c r="C57" s="3" t="s">
        <v>35</v>
      </c>
      <c r="D57" s="3" t="s">
        <v>16</v>
      </c>
      <c r="E57" s="3" t="s">
        <v>57</v>
      </c>
      <c r="F57" s="3" t="s">
        <v>27</v>
      </c>
      <c r="G57" s="3" t="s">
        <v>19</v>
      </c>
      <c r="H57" s="3">
        <v>1221746</v>
      </c>
      <c r="I57" s="3">
        <v>64</v>
      </c>
      <c r="J57" s="3">
        <v>512107</v>
      </c>
      <c r="K57" s="3">
        <v>1088748</v>
      </c>
      <c r="L57" s="3">
        <v>19</v>
      </c>
      <c r="M57" s="3">
        <v>7483.8871870000003</v>
      </c>
    </row>
    <row r="58" spans="1:13" ht="14.25" customHeight="1" x14ac:dyDescent="0.2">
      <c r="A58" s="3" t="s">
        <v>123</v>
      </c>
      <c r="B58" s="3" t="s">
        <v>14</v>
      </c>
      <c r="C58" s="3" t="s">
        <v>35</v>
      </c>
      <c r="D58" s="3" t="s">
        <v>70</v>
      </c>
      <c r="E58" s="3" t="s">
        <v>48</v>
      </c>
      <c r="F58" s="3" t="s">
        <v>27</v>
      </c>
      <c r="G58" s="3" t="s">
        <v>19</v>
      </c>
      <c r="H58" s="3">
        <v>780475</v>
      </c>
      <c r="I58" s="3">
        <v>63</v>
      </c>
      <c r="J58" s="3">
        <v>453974</v>
      </c>
      <c r="K58" s="3">
        <v>691696</v>
      </c>
      <c r="L58" s="3">
        <v>11</v>
      </c>
      <c r="M58" s="3">
        <v>1726.2494569999999</v>
      </c>
    </row>
    <row r="59" spans="1:13" ht="14.25" customHeight="1" x14ac:dyDescent="0.2">
      <c r="A59" s="3" t="s">
        <v>124</v>
      </c>
      <c r="B59" s="3" t="s">
        <v>68</v>
      </c>
      <c r="C59" s="3" t="s">
        <v>35</v>
      </c>
      <c r="D59" s="3" t="s">
        <v>16</v>
      </c>
      <c r="E59" s="3" t="s">
        <v>125</v>
      </c>
      <c r="F59" s="3" t="s">
        <v>27</v>
      </c>
      <c r="G59" s="3" t="s">
        <v>19</v>
      </c>
      <c r="H59" s="3">
        <v>89744</v>
      </c>
      <c r="I59" s="3">
        <v>62</v>
      </c>
      <c r="J59" s="3">
        <v>48786</v>
      </c>
      <c r="K59" s="3">
        <v>85900</v>
      </c>
      <c r="L59" s="3">
        <v>3</v>
      </c>
      <c r="M59" s="3">
        <v>6369.8112259999998</v>
      </c>
    </row>
    <row r="60" spans="1:13" ht="14.25" customHeight="1" x14ac:dyDescent="0.2">
      <c r="A60" s="3" t="s">
        <v>126</v>
      </c>
      <c r="B60" s="3" t="s">
        <v>68</v>
      </c>
      <c r="C60" s="3" t="s">
        <v>35</v>
      </c>
      <c r="D60" s="3" t="s">
        <v>25</v>
      </c>
      <c r="E60" s="3" t="s">
        <v>48</v>
      </c>
      <c r="F60" s="3" t="s">
        <v>27</v>
      </c>
      <c r="G60" s="3" t="s">
        <v>19</v>
      </c>
      <c r="H60" s="3">
        <v>562103</v>
      </c>
      <c r="I60" s="3">
        <v>62</v>
      </c>
      <c r="J60" s="3">
        <v>340616</v>
      </c>
      <c r="K60" s="3">
        <v>488921</v>
      </c>
      <c r="L60" s="3">
        <v>8</v>
      </c>
      <c r="M60" s="3">
        <v>1733.8301719999999</v>
      </c>
    </row>
    <row r="61" spans="1:13" ht="14.25" customHeight="1" x14ac:dyDescent="0.2">
      <c r="A61" s="3" t="s">
        <v>127</v>
      </c>
      <c r="B61" s="3" t="s">
        <v>14</v>
      </c>
      <c r="C61" s="3" t="s">
        <v>32</v>
      </c>
      <c r="D61" s="3" t="s">
        <v>86</v>
      </c>
      <c r="E61" s="3" t="s">
        <v>128</v>
      </c>
      <c r="F61" s="3" t="s">
        <v>27</v>
      </c>
      <c r="G61" s="3" t="s">
        <v>19</v>
      </c>
      <c r="H61" s="3">
        <v>54134</v>
      </c>
      <c r="I61" s="3">
        <v>61</v>
      </c>
      <c r="J61" s="3">
        <v>37418</v>
      </c>
      <c r="K61" s="3">
        <v>51299</v>
      </c>
      <c r="L61" s="3">
        <v>2</v>
      </c>
      <c r="M61" s="3">
        <v>1502.01775</v>
      </c>
    </row>
    <row r="62" spans="1:13" ht="14.25" customHeight="1" x14ac:dyDescent="0.2">
      <c r="A62" s="3" t="s">
        <v>129</v>
      </c>
      <c r="B62" s="3" t="s">
        <v>68</v>
      </c>
      <c r="C62" s="3" t="s">
        <v>15</v>
      </c>
      <c r="D62" s="3" t="s">
        <v>25</v>
      </c>
      <c r="E62" s="3" t="s">
        <v>79</v>
      </c>
      <c r="F62" s="3" t="s">
        <v>27</v>
      </c>
      <c r="G62" s="3" t="s">
        <v>19</v>
      </c>
      <c r="H62" s="3">
        <v>207823</v>
      </c>
      <c r="I62" s="3">
        <v>60</v>
      </c>
      <c r="J62" s="3">
        <v>33602</v>
      </c>
      <c r="K62" s="3">
        <v>167814</v>
      </c>
      <c r="L62" s="3">
        <v>13</v>
      </c>
      <c r="M62" s="3">
        <v>6048.9556110000003</v>
      </c>
    </row>
    <row r="63" spans="1:13" ht="14.25" customHeight="1" x14ac:dyDescent="0.2">
      <c r="A63" s="3" t="s">
        <v>130</v>
      </c>
      <c r="B63" s="3" t="s">
        <v>24</v>
      </c>
      <c r="C63" s="3" t="s">
        <v>29</v>
      </c>
      <c r="D63" s="3" t="s">
        <v>45</v>
      </c>
      <c r="E63" s="3" t="s">
        <v>17</v>
      </c>
      <c r="F63" s="3" t="s">
        <v>22</v>
      </c>
      <c r="G63" s="3" t="s">
        <v>19</v>
      </c>
      <c r="H63" s="3">
        <v>7229</v>
      </c>
      <c r="I63" s="3">
        <v>59</v>
      </c>
      <c r="J63" s="3">
        <v>5668</v>
      </c>
      <c r="K63" s="3">
        <v>6760</v>
      </c>
      <c r="L63" s="3">
        <v>3</v>
      </c>
      <c r="M63" s="3">
        <v>6812.588702</v>
      </c>
    </row>
    <row r="64" spans="1:13" ht="14.25" customHeight="1" x14ac:dyDescent="0.2">
      <c r="A64" s="3" t="s">
        <v>131</v>
      </c>
      <c r="B64" s="3" t="s">
        <v>14</v>
      </c>
      <c r="C64" s="3" t="s">
        <v>15</v>
      </c>
      <c r="D64" s="3" t="s">
        <v>25</v>
      </c>
      <c r="E64" s="3" t="s">
        <v>132</v>
      </c>
      <c r="F64" s="3" t="s">
        <v>33</v>
      </c>
      <c r="G64" s="3" t="s">
        <v>19</v>
      </c>
      <c r="H64" s="3">
        <v>111624</v>
      </c>
      <c r="I64" s="3">
        <v>59</v>
      </c>
      <c r="J64" s="3">
        <v>40343</v>
      </c>
      <c r="K64" s="3">
        <v>101306</v>
      </c>
      <c r="L64" s="3">
        <v>21</v>
      </c>
      <c r="M64" s="3">
        <v>6510.4466560000001</v>
      </c>
    </row>
    <row r="65" spans="1:13" ht="14.25" customHeight="1" x14ac:dyDescent="0.2">
      <c r="A65" s="3" t="s">
        <v>133</v>
      </c>
      <c r="B65" s="3" t="s">
        <v>24</v>
      </c>
      <c r="C65" s="3" t="s">
        <v>29</v>
      </c>
      <c r="D65" s="3" t="s">
        <v>25</v>
      </c>
      <c r="E65" s="3" t="s">
        <v>119</v>
      </c>
      <c r="F65" s="3" t="s">
        <v>38</v>
      </c>
      <c r="G65" s="3" t="s">
        <v>19</v>
      </c>
      <c r="H65" s="3">
        <v>210096</v>
      </c>
      <c r="I65" s="3">
        <v>59</v>
      </c>
      <c r="J65" s="3">
        <v>90928</v>
      </c>
      <c r="K65" s="3">
        <v>184823</v>
      </c>
      <c r="L65" s="3">
        <v>4</v>
      </c>
      <c r="M65" s="3">
        <v>2027.431388</v>
      </c>
    </row>
    <row r="66" spans="1:13" ht="14.25" customHeight="1" x14ac:dyDescent="0.2">
      <c r="A66" s="3" t="s">
        <v>134</v>
      </c>
      <c r="B66" s="3" t="s">
        <v>24</v>
      </c>
      <c r="C66" s="3" t="s">
        <v>32</v>
      </c>
      <c r="D66" s="3" t="s">
        <v>25</v>
      </c>
      <c r="E66" s="3" t="s">
        <v>79</v>
      </c>
      <c r="F66" s="3" t="s">
        <v>27</v>
      </c>
      <c r="G66" s="3" t="s">
        <v>19</v>
      </c>
      <c r="H66" s="3">
        <v>100991</v>
      </c>
      <c r="I66" s="3">
        <v>57</v>
      </c>
      <c r="J66" s="3">
        <v>56138</v>
      </c>
      <c r="K66" s="3">
        <v>88836</v>
      </c>
      <c r="L66" s="3">
        <v>9</v>
      </c>
      <c r="M66" s="3">
        <v>4652.3676290000003</v>
      </c>
    </row>
    <row r="67" spans="1:13" ht="14.25" customHeight="1" x14ac:dyDescent="0.2">
      <c r="A67" s="3" t="s">
        <v>135</v>
      </c>
      <c r="B67" s="3" t="s">
        <v>24</v>
      </c>
      <c r="C67" s="3" t="s">
        <v>29</v>
      </c>
      <c r="D67" s="3" t="s">
        <v>16</v>
      </c>
      <c r="E67" s="3" t="s">
        <v>136</v>
      </c>
      <c r="F67" s="3" t="s">
        <v>27</v>
      </c>
      <c r="G67" s="3" t="s">
        <v>114</v>
      </c>
      <c r="H67" s="3">
        <v>32845</v>
      </c>
      <c r="I67" s="3">
        <v>53</v>
      </c>
      <c r="J67" s="3">
        <v>16163</v>
      </c>
      <c r="K67" s="3">
        <v>30368</v>
      </c>
      <c r="L67" s="3">
        <v>1</v>
      </c>
      <c r="M67" s="3">
        <v>1910.436686</v>
      </c>
    </row>
    <row r="68" spans="1:13" ht="14.25" customHeight="1" x14ac:dyDescent="0.2">
      <c r="A68" s="3" t="s">
        <v>137</v>
      </c>
      <c r="B68" s="3" t="s">
        <v>14</v>
      </c>
      <c r="C68" s="3" t="s">
        <v>29</v>
      </c>
      <c r="D68" s="3" t="s">
        <v>74</v>
      </c>
      <c r="E68" s="3" t="s">
        <v>79</v>
      </c>
      <c r="F68" s="3" t="s">
        <v>27</v>
      </c>
      <c r="G68" s="3" t="s">
        <v>19</v>
      </c>
      <c r="H68" s="3">
        <v>96508</v>
      </c>
      <c r="I68" s="3">
        <v>52</v>
      </c>
      <c r="J68" s="3">
        <v>47065</v>
      </c>
      <c r="K68" s="3">
        <v>73640</v>
      </c>
      <c r="L68" s="3">
        <v>4</v>
      </c>
      <c r="M68" s="3">
        <v>5310.7695720000002</v>
      </c>
    </row>
    <row r="69" spans="1:13" ht="14.25" customHeight="1" x14ac:dyDescent="0.2">
      <c r="A69" s="3" t="s">
        <v>138</v>
      </c>
      <c r="B69" s="3" t="s">
        <v>14</v>
      </c>
      <c r="C69" s="3" t="s">
        <v>35</v>
      </c>
      <c r="D69" s="3" t="s">
        <v>25</v>
      </c>
      <c r="E69" s="3" t="s">
        <v>139</v>
      </c>
      <c r="F69" s="3" t="s">
        <v>27</v>
      </c>
      <c r="G69" s="3" t="s">
        <v>19</v>
      </c>
      <c r="H69" s="3">
        <v>38735</v>
      </c>
      <c r="I69" s="3">
        <v>51</v>
      </c>
      <c r="J69" s="3">
        <v>28719</v>
      </c>
      <c r="K69" s="3">
        <v>36629</v>
      </c>
      <c r="L69" s="3">
        <v>1</v>
      </c>
      <c r="M69" s="3">
        <v>2127.8240660000001</v>
      </c>
    </row>
    <row r="70" spans="1:13" ht="14.25" customHeight="1" x14ac:dyDescent="0.2">
      <c r="A70" s="3" t="s">
        <v>140</v>
      </c>
      <c r="B70" s="3" t="s">
        <v>14</v>
      </c>
      <c r="C70" s="3" t="s">
        <v>15</v>
      </c>
      <c r="D70" s="3" t="s">
        <v>21</v>
      </c>
      <c r="E70" s="3" t="s">
        <v>125</v>
      </c>
      <c r="F70" s="3" t="s">
        <v>27</v>
      </c>
      <c r="G70" s="3" t="s">
        <v>19</v>
      </c>
      <c r="H70" s="3">
        <v>102905</v>
      </c>
      <c r="I70" s="3">
        <v>50</v>
      </c>
      <c r="J70" s="3">
        <v>45324</v>
      </c>
      <c r="K70" s="3">
        <v>99065</v>
      </c>
      <c r="L70" s="3">
        <v>1</v>
      </c>
      <c r="M70" s="3">
        <v>6407.5818280000003</v>
      </c>
    </row>
    <row r="71" spans="1:13" ht="14.25" customHeight="1" x14ac:dyDescent="0.2">
      <c r="A71" s="3" t="s">
        <v>141</v>
      </c>
      <c r="B71" s="3" t="s">
        <v>24</v>
      </c>
      <c r="C71" s="3" t="s">
        <v>29</v>
      </c>
      <c r="D71" s="3" t="s">
        <v>25</v>
      </c>
      <c r="E71" s="3" t="s">
        <v>142</v>
      </c>
      <c r="F71" s="3" t="s">
        <v>27</v>
      </c>
      <c r="G71" s="3" t="s">
        <v>114</v>
      </c>
      <c r="H71" s="3">
        <v>62040</v>
      </c>
      <c r="I71" s="3">
        <v>50</v>
      </c>
      <c r="J71" s="3">
        <v>43853</v>
      </c>
      <c r="K71" s="3">
        <v>58642</v>
      </c>
      <c r="L71" s="3">
        <v>15</v>
      </c>
      <c r="M71" s="3">
        <v>2139.0657930000002</v>
      </c>
    </row>
    <row r="72" spans="1:13" ht="14.25" customHeight="1" x14ac:dyDescent="0.2">
      <c r="A72" s="3" t="s">
        <v>143</v>
      </c>
      <c r="B72" s="3" t="s">
        <v>14</v>
      </c>
      <c r="C72" s="3" t="s">
        <v>29</v>
      </c>
      <c r="D72" s="3" t="s">
        <v>43</v>
      </c>
      <c r="E72" s="3" t="s">
        <v>40</v>
      </c>
      <c r="F72" s="3" t="s">
        <v>27</v>
      </c>
      <c r="G72" s="3" t="s">
        <v>19</v>
      </c>
      <c r="H72" s="3">
        <v>921791</v>
      </c>
      <c r="I72" s="3">
        <v>49</v>
      </c>
      <c r="J72" s="3">
        <v>668449</v>
      </c>
      <c r="K72" s="3">
        <v>852442</v>
      </c>
      <c r="L72" s="3">
        <v>69</v>
      </c>
      <c r="M72" s="3">
        <v>8042.8979490000002</v>
      </c>
    </row>
    <row r="73" spans="1:13" ht="14.25" customHeight="1" x14ac:dyDescent="0.2">
      <c r="A73" s="3" t="s">
        <v>144</v>
      </c>
      <c r="B73" s="3" t="s">
        <v>68</v>
      </c>
      <c r="C73" s="3" t="s">
        <v>29</v>
      </c>
      <c r="D73" s="3" t="s">
        <v>66</v>
      </c>
      <c r="E73" s="3" t="s">
        <v>145</v>
      </c>
      <c r="F73" s="3" t="s">
        <v>22</v>
      </c>
      <c r="G73" s="3" t="s">
        <v>19</v>
      </c>
      <c r="H73" s="3">
        <v>115412</v>
      </c>
      <c r="I73" s="3">
        <v>49</v>
      </c>
      <c r="J73" s="3">
        <v>71564</v>
      </c>
      <c r="K73" s="3">
        <v>81785</v>
      </c>
      <c r="L73" s="3">
        <v>21</v>
      </c>
      <c r="M73" s="3">
        <v>6861.5363799999996</v>
      </c>
    </row>
    <row r="74" spans="1:13" ht="14.25" customHeight="1" x14ac:dyDescent="0.2">
      <c r="A74" s="3" t="s">
        <v>146</v>
      </c>
      <c r="B74" s="3" t="s">
        <v>24</v>
      </c>
      <c r="C74" s="3" t="s">
        <v>35</v>
      </c>
      <c r="D74" s="3" t="s">
        <v>43</v>
      </c>
      <c r="E74" s="3" t="s">
        <v>72</v>
      </c>
      <c r="F74" s="3" t="s">
        <v>64</v>
      </c>
      <c r="G74" s="3" t="s">
        <v>19</v>
      </c>
      <c r="H74" s="3">
        <v>144088</v>
      </c>
      <c r="I74" s="3">
        <v>49</v>
      </c>
      <c r="J74" s="3">
        <v>26416</v>
      </c>
      <c r="K74" s="3">
        <v>137369</v>
      </c>
      <c r="L74" s="3">
        <v>7</v>
      </c>
      <c r="M74" s="3">
        <v>1464.0642350000001</v>
      </c>
    </row>
    <row r="75" spans="1:13" ht="14.25" customHeight="1" x14ac:dyDescent="0.2">
      <c r="A75" s="3" t="s">
        <v>147</v>
      </c>
      <c r="B75" s="3" t="s">
        <v>24</v>
      </c>
      <c r="C75" s="3" t="s">
        <v>29</v>
      </c>
      <c r="D75" s="3" t="s">
        <v>43</v>
      </c>
      <c r="E75" s="3" t="s">
        <v>46</v>
      </c>
      <c r="F75" s="3" t="s">
        <v>27</v>
      </c>
      <c r="G75" s="3" t="s">
        <v>114</v>
      </c>
      <c r="H75" s="3">
        <v>102958</v>
      </c>
      <c r="I75" s="3">
        <v>48</v>
      </c>
      <c r="J75" s="3">
        <v>86884</v>
      </c>
      <c r="K75" s="3">
        <v>94687</v>
      </c>
      <c r="L75" s="3">
        <v>12</v>
      </c>
      <c r="M75" s="3">
        <v>6624.2211749999997</v>
      </c>
    </row>
    <row r="76" spans="1:13" ht="14.25" customHeight="1" x14ac:dyDescent="0.2">
      <c r="A76" s="3" t="s">
        <v>148</v>
      </c>
      <c r="B76" s="3" t="s">
        <v>24</v>
      </c>
      <c r="C76" s="3" t="s">
        <v>35</v>
      </c>
      <c r="D76" s="3" t="s">
        <v>43</v>
      </c>
      <c r="E76" s="3" t="s">
        <v>149</v>
      </c>
      <c r="F76" s="3" t="s">
        <v>27</v>
      </c>
      <c r="G76" s="3" t="s">
        <v>19</v>
      </c>
      <c r="H76" s="3">
        <v>224359</v>
      </c>
      <c r="I76" s="3">
        <v>48</v>
      </c>
      <c r="J76" s="3">
        <v>163149</v>
      </c>
      <c r="K76" s="3">
        <v>200859</v>
      </c>
      <c r="L76" s="3">
        <v>5</v>
      </c>
      <c r="M76" s="3">
        <v>4196.9367769999999</v>
      </c>
    </row>
    <row r="77" spans="1:13" ht="14.25" customHeight="1" x14ac:dyDescent="0.2">
      <c r="A77" s="3" t="s">
        <v>150</v>
      </c>
      <c r="B77" s="3" t="s">
        <v>14</v>
      </c>
      <c r="C77" s="3" t="s">
        <v>32</v>
      </c>
      <c r="D77" s="3" t="s">
        <v>151</v>
      </c>
      <c r="E77" s="3" t="s">
        <v>149</v>
      </c>
      <c r="F77" s="3" t="s">
        <v>27</v>
      </c>
      <c r="G77" s="3" t="s">
        <v>19</v>
      </c>
      <c r="H77" s="3">
        <v>198754</v>
      </c>
      <c r="I77" s="3">
        <v>48</v>
      </c>
      <c r="J77" s="3">
        <v>137649</v>
      </c>
      <c r="K77" s="3">
        <v>178415</v>
      </c>
      <c r="L77" s="3">
        <v>4</v>
      </c>
      <c r="M77" s="3">
        <v>1803.0814969999999</v>
      </c>
    </row>
    <row r="78" spans="1:13" ht="14.25" customHeight="1" x14ac:dyDescent="0.2">
      <c r="A78" s="3" t="s">
        <v>152</v>
      </c>
      <c r="B78" s="3" t="s">
        <v>24</v>
      </c>
      <c r="C78" s="3" t="s">
        <v>15</v>
      </c>
      <c r="D78" s="3" t="s">
        <v>43</v>
      </c>
      <c r="E78" s="3" t="s">
        <v>17</v>
      </c>
      <c r="F78" s="3" t="s">
        <v>27</v>
      </c>
      <c r="G78" s="3" t="s">
        <v>114</v>
      </c>
      <c r="H78" s="3">
        <v>48211</v>
      </c>
      <c r="I78" s="3">
        <v>47</v>
      </c>
      <c r="J78" s="3">
        <v>30157</v>
      </c>
      <c r="K78" s="3">
        <v>43810</v>
      </c>
      <c r="L78" s="3">
        <v>13</v>
      </c>
      <c r="M78" s="3">
        <v>6708.4633510000003</v>
      </c>
    </row>
    <row r="79" spans="1:13" ht="14.25" customHeight="1" x14ac:dyDescent="0.2">
      <c r="A79" s="3" t="s">
        <v>153</v>
      </c>
      <c r="B79" s="3" t="s">
        <v>24</v>
      </c>
      <c r="C79" s="3" t="s">
        <v>29</v>
      </c>
      <c r="D79" s="3" t="s">
        <v>70</v>
      </c>
      <c r="E79" s="3" t="s">
        <v>40</v>
      </c>
      <c r="F79" s="3" t="s">
        <v>27</v>
      </c>
      <c r="G79" s="3" t="s">
        <v>19</v>
      </c>
      <c r="H79" s="3">
        <v>109128</v>
      </c>
      <c r="I79" s="3">
        <v>47</v>
      </c>
      <c r="J79" s="3">
        <v>38487</v>
      </c>
      <c r="K79" s="3">
        <v>90615</v>
      </c>
      <c r="L79" s="3">
        <v>3</v>
      </c>
      <c r="M79" s="3">
        <v>5153.1172040000001</v>
      </c>
    </row>
    <row r="80" spans="1:13" ht="14.25" customHeight="1" x14ac:dyDescent="0.2">
      <c r="A80" s="3" t="s">
        <v>154</v>
      </c>
      <c r="B80" s="3" t="s">
        <v>14</v>
      </c>
      <c r="C80" s="3" t="s">
        <v>29</v>
      </c>
      <c r="D80" s="3" t="s">
        <v>155</v>
      </c>
      <c r="E80" s="3" t="s">
        <v>61</v>
      </c>
      <c r="F80" s="3" t="s">
        <v>33</v>
      </c>
      <c r="G80" s="3" t="s">
        <v>19</v>
      </c>
      <c r="H80" s="3">
        <v>190592</v>
      </c>
      <c r="I80" s="3">
        <v>47</v>
      </c>
      <c r="J80" s="3">
        <v>28906</v>
      </c>
      <c r="K80" s="3">
        <v>172515</v>
      </c>
      <c r="L80" s="3">
        <v>30</v>
      </c>
      <c r="M80" s="3">
        <v>4742.0477659999997</v>
      </c>
    </row>
    <row r="81" spans="1:13" ht="14.25" customHeight="1" x14ac:dyDescent="0.2">
      <c r="A81" s="3" t="s">
        <v>156</v>
      </c>
      <c r="B81" s="3" t="s">
        <v>24</v>
      </c>
      <c r="C81" s="3" t="s">
        <v>29</v>
      </c>
      <c r="D81" s="3" t="s">
        <v>43</v>
      </c>
      <c r="E81" s="3" t="s">
        <v>157</v>
      </c>
      <c r="F81" s="3" t="s">
        <v>81</v>
      </c>
      <c r="G81" s="3" t="s">
        <v>114</v>
      </c>
      <c r="H81" s="3">
        <v>49415</v>
      </c>
      <c r="I81" s="3">
        <v>47</v>
      </c>
      <c r="J81" s="3">
        <v>24692</v>
      </c>
      <c r="K81" s="3">
        <v>45565</v>
      </c>
      <c r="L81" s="3">
        <v>3</v>
      </c>
      <c r="M81" s="3">
        <v>1471.1757279999999</v>
      </c>
    </row>
    <row r="82" spans="1:13" ht="14.25" customHeight="1" x14ac:dyDescent="0.2">
      <c r="A82" s="3" t="s">
        <v>158</v>
      </c>
      <c r="B82" s="3" t="s">
        <v>68</v>
      </c>
      <c r="C82" s="3" t="s">
        <v>35</v>
      </c>
      <c r="D82" s="3" t="s">
        <v>66</v>
      </c>
      <c r="E82" s="3" t="s">
        <v>159</v>
      </c>
      <c r="F82" s="3" t="s">
        <v>27</v>
      </c>
      <c r="G82" s="3" t="s">
        <v>19</v>
      </c>
      <c r="H82" s="3">
        <v>119280</v>
      </c>
      <c r="I82" s="3">
        <v>46</v>
      </c>
      <c r="J82" s="3">
        <v>55665</v>
      </c>
      <c r="K82" s="3">
        <v>112913</v>
      </c>
      <c r="L82" s="3">
        <v>23</v>
      </c>
      <c r="M82" s="3">
        <v>6492.6763430000001</v>
      </c>
    </row>
    <row r="83" spans="1:13" ht="14.25" customHeight="1" x14ac:dyDescent="0.2">
      <c r="A83" s="3" t="s">
        <v>160</v>
      </c>
      <c r="B83" s="3" t="s">
        <v>24</v>
      </c>
      <c r="C83" s="3" t="s">
        <v>15</v>
      </c>
      <c r="D83" s="3" t="s">
        <v>43</v>
      </c>
      <c r="E83" s="3" t="s">
        <v>161</v>
      </c>
      <c r="F83" s="3" t="s">
        <v>27</v>
      </c>
      <c r="G83" s="3" t="s">
        <v>19</v>
      </c>
      <c r="H83" s="3">
        <v>52006</v>
      </c>
      <c r="I83" s="3">
        <v>45</v>
      </c>
      <c r="J83" s="3">
        <v>24711</v>
      </c>
      <c r="K83" s="3">
        <v>48019</v>
      </c>
      <c r="L83" s="3">
        <v>8</v>
      </c>
      <c r="M83" s="3">
        <v>5200.0101180000001</v>
      </c>
    </row>
    <row r="84" spans="1:13" ht="14.25" customHeight="1" x14ac:dyDescent="0.2">
      <c r="A84" s="3" t="s">
        <v>162</v>
      </c>
      <c r="B84" s="3" t="s">
        <v>24</v>
      </c>
      <c r="C84" s="3" t="s">
        <v>15</v>
      </c>
      <c r="D84" s="3" t="s">
        <v>21</v>
      </c>
      <c r="E84" s="3" t="s">
        <v>52</v>
      </c>
      <c r="F84" s="3" t="s">
        <v>41</v>
      </c>
      <c r="G84" s="3" t="s">
        <v>163</v>
      </c>
      <c r="H84" s="3">
        <v>73567</v>
      </c>
      <c r="I84" s="3">
        <v>45</v>
      </c>
      <c r="J84" s="3">
        <v>28800</v>
      </c>
      <c r="K84" s="3">
        <v>68566</v>
      </c>
      <c r="L84" s="3">
        <v>2</v>
      </c>
      <c r="M84" s="3">
        <v>1567.3660709999999</v>
      </c>
    </row>
    <row r="85" spans="1:13" ht="14.25" customHeight="1" x14ac:dyDescent="0.2">
      <c r="A85" s="3" t="s">
        <v>164</v>
      </c>
      <c r="B85" s="3" t="s">
        <v>14</v>
      </c>
      <c r="C85" s="3" t="s">
        <v>35</v>
      </c>
      <c r="D85" s="3" t="s">
        <v>165</v>
      </c>
      <c r="E85" s="3" t="s">
        <v>166</v>
      </c>
      <c r="F85" s="3" t="s">
        <v>27</v>
      </c>
      <c r="G85" s="3" t="s">
        <v>19</v>
      </c>
      <c r="H85" s="3">
        <v>81567</v>
      </c>
      <c r="I85" s="3">
        <v>44</v>
      </c>
      <c r="J85" s="3">
        <v>53264</v>
      </c>
      <c r="K85" s="3">
        <v>68123</v>
      </c>
      <c r="L85" s="3">
        <v>4</v>
      </c>
      <c r="M85" s="3">
        <v>6392.471955</v>
      </c>
    </row>
    <row r="86" spans="1:13" ht="14.25" customHeight="1" x14ac:dyDescent="0.2">
      <c r="A86" s="3" t="s">
        <v>167</v>
      </c>
      <c r="B86" s="3" t="s">
        <v>14</v>
      </c>
      <c r="C86" s="3" t="s">
        <v>15</v>
      </c>
      <c r="D86" s="3" t="s">
        <v>66</v>
      </c>
      <c r="E86" s="3" t="s">
        <v>17</v>
      </c>
      <c r="F86" s="3" t="s">
        <v>81</v>
      </c>
      <c r="G86" s="3" t="s">
        <v>19</v>
      </c>
      <c r="H86" s="3">
        <v>69540</v>
      </c>
      <c r="I86" s="3">
        <v>44</v>
      </c>
      <c r="J86" s="3">
        <v>28713</v>
      </c>
      <c r="K86" s="3">
        <v>62829</v>
      </c>
      <c r="L86" s="3">
        <v>15</v>
      </c>
      <c r="M86" s="3">
        <v>1838.9877300000001</v>
      </c>
    </row>
    <row r="87" spans="1:13" ht="14.25" customHeight="1" x14ac:dyDescent="0.2">
      <c r="A87" s="3" t="s">
        <v>168</v>
      </c>
      <c r="B87" s="3" t="s">
        <v>68</v>
      </c>
      <c r="C87" s="3" t="s">
        <v>35</v>
      </c>
      <c r="D87" s="3" t="s">
        <v>84</v>
      </c>
      <c r="E87" s="3" t="s">
        <v>142</v>
      </c>
      <c r="F87" s="3" t="s">
        <v>27</v>
      </c>
      <c r="G87" s="3" t="s">
        <v>19</v>
      </c>
      <c r="H87" s="3">
        <v>81054</v>
      </c>
      <c r="I87" s="3">
        <v>44</v>
      </c>
      <c r="J87" s="3">
        <v>56762</v>
      </c>
      <c r="K87" s="3">
        <v>76198</v>
      </c>
      <c r="L87" s="3">
        <v>16</v>
      </c>
      <c r="M87" s="3">
        <v>1532.357841</v>
      </c>
    </row>
    <row r="88" spans="1:13" ht="14.25" customHeight="1" x14ac:dyDescent="0.2">
      <c r="A88" s="3" t="s">
        <v>169</v>
      </c>
      <c r="B88" s="3" t="s">
        <v>14</v>
      </c>
      <c r="C88" s="3" t="s">
        <v>15</v>
      </c>
      <c r="D88" s="3" t="s">
        <v>66</v>
      </c>
      <c r="E88" s="3" t="s">
        <v>40</v>
      </c>
      <c r="F88" s="3" t="s">
        <v>27</v>
      </c>
      <c r="G88" s="3" t="s">
        <v>19</v>
      </c>
      <c r="H88" s="3">
        <v>1222302</v>
      </c>
      <c r="I88" s="3">
        <v>42</v>
      </c>
      <c r="J88" s="3">
        <v>553773</v>
      </c>
      <c r="K88" s="3">
        <v>1120128</v>
      </c>
      <c r="L88" s="3">
        <v>42</v>
      </c>
      <c r="M88" s="3">
        <v>7880.7704059999996</v>
      </c>
    </row>
    <row r="89" spans="1:13" ht="14.25" customHeight="1" x14ac:dyDescent="0.2">
      <c r="A89" s="3" t="s">
        <v>170</v>
      </c>
      <c r="B89" s="3" t="s">
        <v>14</v>
      </c>
      <c r="C89" s="3" t="s">
        <v>32</v>
      </c>
      <c r="D89" s="3" t="s">
        <v>25</v>
      </c>
      <c r="E89" s="3" t="s">
        <v>52</v>
      </c>
      <c r="F89" s="3" t="s">
        <v>27</v>
      </c>
      <c r="G89" s="3" t="s">
        <v>19</v>
      </c>
      <c r="H89" s="3">
        <v>25377</v>
      </c>
      <c r="I89" s="3">
        <v>42</v>
      </c>
      <c r="J89" s="3">
        <v>16698</v>
      </c>
      <c r="K89" s="3">
        <v>23798</v>
      </c>
      <c r="L89" s="3">
        <v>2</v>
      </c>
      <c r="M89" s="3">
        <v>5175.1429189999999</v>
      </c>
    </row>
    <row r="90" spans="1:13" ht="14.25" customHeight="1" x14ac:dyDescent="0.2">
      <c r="A90" s="3" t="s">
        <v>171</v>
      </c>
      <c r="B90" s="3" t="s">
        <v>14</v>
      </c>
      <c r="C90" s="3" t="s">
        <v>35</v>
      </c>
      <c r="D90" s="3" t="s">
        <v>25</v>
      </c>
      <c r="E90" s="3" t="s">
        <v>172</v>
      </c>
      <c r="F90" s="3" t="s">
        <v>64</v>
      </c>
      <c r="G90" s="3" t="s">
        <v>19</v>
      </c>
      <c r="H90" s="3">
        <v>115673</v>
      </c>
      <c r="I90" s="3">
        <v>41</v>
      </c>
      <c r="J90" s="3">
        <v>52475</v>
      </c>
      <c r="K90" s="3">
        <v>97166</v>
      </c>
      <c r="L90" s="3">
        <v>22</v>
      </c>
      <c r="M90" s="3">
        <v>5045.9379300000001</v>
      </c>
    </row>
    <row r="91" spans="1:13" ht="14.25" customHeight="1" x14ac:dyDescent="0.2">
      <c r="A91" s="3" t="s">
        <v>173</v>
      </c>
      <c r="B91" s="3" t="s">
        <v>14</v>
      </c>
      <c r="C91" s="3" t="s">
        <v>15</v>
      </c>
      <c r="D91" s="3" t="s">
        <v>174</v>
      </c>
      <c r="E91" s="3" t="s">
        <v>175</v>
      </c>
      <c r="F91" s="3" t="s">
        <v>27</v>
      </c>
      <c r="G91" s="3" t="s">
        <v>19</v>
      </c>
      <c r="H91" s="3">
        <v>138904</v>
      </c>
      <c r="I91" s="3">
        <v>41</v>
      </c>
      <c r="J91" s="3">
        <v>98952</v>
      </c>
      <c r="K91" s="3">
        <v>120688</v>
      </c>
      <c r="L91" s="3">
        <v>25</v>
      </c>
      <c r="M91" s="3">
        <v>5038.6447239999998</v>
      </c>
    </row>
    <row r="92" spans="1:13" ht="14.25" customHeight="1" x14ac:dyDescent="0.2">
      <c r="A92" s="3" t="s">
        <v>176</v>
      </c>
      <c r="B92" s="3" t="s">
        <v>24</v>
      </c>
      <c r="C92" s="3" t="s">
        <v>29</v>
      </c>
      <c r="D92" s="3" t="s">
        <v>45</v>
      </c>
      <c r="E92" s="3" t="s">
        <v>177</v>
      </c>
      <c r="F92" s="3" t="s">
        <v>27</v>
      </c>
      <c r="G92" s="3" t="s">
        <v>163</v>
      </c>
      <c r="H92" s="3">
        <v>6363</v>
      </c>
      <c r="I92" s="3">
        <v>41</v>
      </c>
      <c r="J92" s="3">
        <v>4274</v>
      </c>
      <c r="K92" s="3">
        <v>5919</v>
      </c>
      <c r="L92" s="3">
        <v>1</v>
      </c>
      <c r="M92" s="3">
        <v>2056.2054400000002</v>
      </c>
    </row>
    <row r="93" spans="1:13" ht="14.25" customHeight="1" x14ac:dyDescent="0.2">
      <c r="A93" s="3" t="s">
        <v>178</v>
      </c>
      <c r="B93" s="3" t="s">
        <v>24</v>
      </c>
      <c r="C93" s="3" t="s">
        <v>35</v>
      </c>
      <c r="D93" s="3" t="s">
        <v>25</v>
      </c>
      <c r="E93" s="3" t="s">
        <v>179</v>
      </c>
      <c r="F93" s="3" t="s">
        <v>27</v>
      </c>
      <c r="G93" s="3" t="s">
        <v>19</v>
      </c>
      <c r="H93" s="3">
        <v>756687</v>
      </c>
      <c r="I93" s="3">
        <v>40</v>
      </c>
      <c r="J93" s="3">
        <v>442979</v>
      </c>
      <c r="K93" s="3">
        <v>611813</v>
      </c>
      <c r="L93" s="3">
        <v>4</v>
      </c>
      <c r="M93" s="3">
        <v>2452.9975039999999</v>
      </c>
    </row>
    <row r="94" spans="1:13" ht="14.25" customHeight="1" x14ac:dyDescent="0.2">
      <c r="A94" s="3" t="s">
        <v>180</v>
      </c>
      <c r="B94" s="3" t="s">
        <v>24</v>
      </c>
      <c r="C94" s="3" t="s">
        <v>32</v>
      </c>
      <c r="D94" s="3" t="s">
        <v>16</v>
      </c>
      <c r="E94" s="3" t="s">
        <v>79</v>
      </c>
      <c r="F94" s="3" t="s">
        <v>38</v>
      </c>
      <c r="G94" s="3" t="s">
        <v>19</v>
      </c>
      <c r="H94" s="3">
        <v>232635</v>
      </c>
      <c r="I94" s="3">
        <v>40</v>
      </c>
      <c r="J94" s="3">
        <v>34008</v>
      </c>
      <c r="K94" s="3">
        <v>195803</v>
      </c>
      <c r="L94" s="3">
        <v>39</v>
      </c>
      <c r="M94" s="3">
        <v>1773.991882</v>
      </c>
    </row>
    <row r="95" spans="1:13" ht="14.25" customHeight="1" x14ac:dyDescent="0.2">
      <c r="A95" s="3" t="s">
        <v>181</v>
      </c>
      <c r="B95" s="3" t="s">
        <v>24</v>
      </c>
      <c r="C95" s="3" t="s">
        <v>35</v>
      </c>
      <c r="D95" s="3" t="s">
        <v>21</v>
      </c>
      <c r="E95" s="3" t="s">
        <v>136</v>
      </c>
      <c r="F95" s="3" t="s">
        <v>27</v>
      </c>
      <c r="G95" s="3" t="s">
        <v>19</v>
      </c>
      <c r="H95" s="3">
        <v>53464</v>
      </c>
      <c r="I95" s="3">
        <v>39</v>
      </c>
      <c r="J95" s="3">
        <v>22151</v>
      </c>
      <c r="K95" s="3">
        <v>49058</v>
      </c>
      <c r="L95" s="3">
        <v>4</v>
      </c>
      <c r="M95" s="3">
        <v>5741.0980449999997</v>
      </c>
    </row>
    <row r="96" spans="1:13" ht="14.25" customHeight="1" x14ac:dyDescent="0.2">
      <c r="A96" s="3" t="s">
        <v>182</v>
      </c>
      <c r="B96" s="3" t="s">
        <v>24</v>
      </c>
      <c r="C96" s="3" t="s">
        <v>35</v>
      </c>
      <c r="D96" s="3" t="s">
        <v>45</v>
      </c>
      <c r="E96" s="3" t="s">
        <v>48</v>
      </c>
      <c r="F96" s="3" t="s">
        <v>27</v>
      </c>
      <c r="G96" s="3" t="s">
        <v>19</v>
      </c>
      <c r="H96" s="3">
        <v>482834</v>
      </c>
      <c r="I96" s="3">
        <v>39</v>
      </c>
      <c r="J96" s="3">
        <v>292059</v>
      </c>
      <c r="K96" s="3">
        <v>428761</v>
      </c>
      <c r="L96" s="3">
        <v>7</v>
      </c>
      <c r="M96" s="3">
        <v>1594.463397</v>
      </c>
    </row>
    <row r="97" spans="1:13" ht="14.25" customHeight="1" x14ac:dyDescent="0.2">
      <c r="A97" s="3" t="s">
        <v>183</v>
      </c>
      <c r="B97" s="3" t="s">
        <v>14</v>
      </c>
      <c r="C97" s="3" t="s">
        <v>29</v>
      </c>
      <c r="D97" s="3" t="s">
        <v>86</v>
      </c>
      <c r="E97" s="3" t="s">
        <v>46</v>
      </c>
      <c r="F97" s="3" t="s">
        <v>64</v>
      </c>
      <c r="G97" s="3" t="s">
        <v>19</v>
      </c>
      <c r="H97" s="3">
        <v>113262</v>
      </c>
      <c r="I97" s="3">
        <v>38</v>
      </c>
      <c r="J97" s="3">
        <v>95762</v>
      </c>
      <c r="K97" s="3">
        <v>104612</v>
      </c>
      <c r="L97" s="3">
        <v>4</v>
      </c>
      <c r="M97" s="3">
        <v>7443.4832329999999</v>
      </c>
    </row>
    <row r="98" spans="1:13" ht="14.25" customHeight="1" x14ac:dyDescent="0.2">
      <c r="A98" s="3" t="s">
        <v>184</v>
      </c>
      <c r="B98" s="3" t="s">
        <v>24</v>
      </c>
      <c r="C98" s="3" t="s">
        <v>35</v>
      </c>
      <c r="D98" s="3" t="s">
        <v>43</v>
      </c>
      <c r="E98" s="3" t="s">
        <v>57</v>
      </c>
      <c r="F98" s="3" t="s">
        <v>27</v>
      </c>
      <c r="G98" s="3" t="s">
        <v>114</v>
      </c>
      <c r="H98" s="3">
        <v>74164</v>
      </c>
      <c r="I98" s="3">
        <v>38</v>
      </c>
      <c r="J98" s="3">
        <v>25104</v>
      </c>
      <c r="K98" s="3">
        <v>61242</v>
      </c>
      <c r="L98" s="3">
        <v>19</v>
      </c>
      <c r="M98" s="3">
        <v>1902.3014430000001</v>
      </c>
    </row>
    <row r="99" spans="1:13" ht="14.25" customHeight="1" x14ac:dyDescent="0.2">
      <c r="A99" s="3" t="s">
        <v>185</v>
      </c>
      <c r="B99" s="3" t="s">
        <v>24</v>
      </c>
      <c r="C99" s="3" t="s">
        <v>29</v>
      </c>
      <c r="D99" s="3" t="s">
        <v>43</v>
      </c>
      <c r="E99" s="3" t="s">
        <v>57</v>
      </c>
      <c r="F99" s="3" t="s">
        <v>41</v>
      </c>
      <c r="G99" s="3" t="s">
        <v>19</v>
      </c>
      <c r="H99" s="3">
        <v>556152</v>
      </c>
      <c r="I99" s="3">
        <v>38</v>
      </c>
      <c r="J99" s="3">
        <v>221833</v>
      </c>
      <c r="K99" s="3">
        <v>480882</v>
      </c>
      <c r="L99" s="3">
        <v>7</v>
      </c>
      <c r="M99" s="3">
        <v>1818.100044</v>
      </c>
    </row>
    <row r="100" spans="1:13" ht="14.25" customHeight="1" x14ac:dyDescent="0.2">
      <c r="A100" s="3" t="s">
        <v>186</v>
      </c>
      <c r="B100" s="3" t="s">
        <v>24</v>
      </c>
      <c r="C100" s="3" t="s">
        <v>29</v>
      </c>
      <c r="D100" s="3" t="s">
        <v>16</v>
      </c>
      <c r="E100" s="3" t="s">
        <v>142</v>
      </c>
      <c r="F100" s="3" t="s">
        <v>22</v>
      </c>
      <c r="G100" s="3" t="s">
        <v>19</v>
      </c>
      <c r="H100" s="3">
        <v>83537</v>
      </c>
      <c r="I100" s="3">
        <v>38</v>
      </c>
      <c r="J100" s="3">
        <v>67987</v>
      </c>
      <c r="K100" s="3">
        <v>79409</v>
      </c>
      <c r="L100" s="3">
        <v>3</v>
      </c>
      <c r="M100" s="3">
        <v>1761.0793229999999</v>
      </c>
    </row>
    <row r="101" spans="1:13" ht="14.25" customHeight="1" x14ac:dyDescent="0.2">
      <c r="A101" s="3" t="s">
        <v>187</v>
      </c>
      <c r="B101" s="3" t="s">
        <v>68</v>
      </c>
      <c r="C101" s="3" t="s">
        <v>29</v>
      </c>
      <c r="D101" s="3" t="s">
        <v>25</v>
      </c>
      <c r="E101" s="3" t="s">
        <v>149</v>
      </c>
      <c r="F101" s="3" t="s">
        <v>27</v>
      </c>
      <c r="G101" s="3" t="s">
        <v>19</v>
      </c>
      <c r="H101" s="3">
        <v>100058</v>
      </c>
      <c r="I101" s="3">
        <v>37</v>
      </c>
      <c r="J101" s="3">
        <v>73422</v>
      </c>
      <c r="K101" s="3">
        <v>91976</v>
      </c>
      <c r="L101" s="3">
        <v>2</v>
      </c>
      <c r="M101" s="3">
        <v>5831.2257929999996</v>
      </c>
    </row>
    <row r="102" spans="1:13" ht="14.25" customHeight="1" x14ac:dyDescent="0.2">
      <c r="A102" s="3" t="s">
        <v>188</v>
      </c>
      <c r="B102" s="3" t="s">
        <v>68</v>
      </c>
      <c r="C102" s="3" t="s">
        <v>32</v>
      </c>
      <c r="D102" s="3" t="s">
        <v>21</v>
      </c>
      <c r="E102" s="3" t="s">
        <v>159</v>
      </c>
      <c r="F102" s="3" t="s">
        <v>18</v>
      </c>
      <c r="G102" s="3" t="s">
        <v>19</v>
      </c>
      <c r="H102" s="3">
        <v>88022</v>
      </c>
      <c r="I102" s="3">
        <v>37</v>
      </c>
      <c r="J102" s="3">
        <v>45972</v>
      </c>
      <c r="K102" s="3">
        <v>83922</v>
      </c>
      <c r="L102" s="3">
        <v>11</v>
      </c>
      <c r="M102" s="3">
        <v>5669.1447600000001</v>
      </c>
    </row>
    <row r="103" spans="1:13" ht="14.25" customHeight="1" x14ac:dyDescent="0.2">
      <c r="A103" s="3" t="s">
        <v>189</v>
      </c>
      <c r="B103" s="3" t="s">
        <v>14</v>
      </c>
      <c r="C103" s="3" t="s">
        <v>15</v>
      </c>
      <c r="D103" s="3" t="s">
        <v>70</v>
      </c>
      <c r="E103" s="3" t="s">
        <v>149</v>
      </c>
      <c r="F103" s="3" t="s">
        <v>22</v>
      </c>
      <c r="G103" s="3" t="s">
        <v>19</v>
      </c>
      <c r="H103" s="3">
        <v>186702</v>
      </c>
      <c r="I103" s="3">
        <v>37</v>
      </c>
      <c r="J103" s="3">
        <v>132038</v>
      </c>
      <c r="K103" s="3">
        <v>167406</v>
      </c>
      <c r="L103" s="3">
        <v>4</v>
      </c>
      <c r="M103" s="3">
        <v>1568.7360200000001</v>
      </c>
    </row>
    <row r="104" spans="1:13" ht="14.25" customHeight="1" x14ac:dyDescent="0.2">
      <c r="A104" s="3" t="s">
        <v>190</v>
      </c>
      <c r="B104" s="3" t="s">
        <v>14</v>
      </c>
      <c r="C104" s="3" t="s">
        <v>15</v>
      </c>
      <c r="D104" s="3" t="s">
        <v>60</v>
      </c>
      <c r="E104" s="3" t="s">
        <v>191</v>
      </c>
      <c r="F104" s="3" t="s">
        <v>33</v>
      </c>
      <c r="G104" s="3" t="s">
        <v>19</v>
      </c>
      <c r="H104" s="3">
        <v>44505</v>
      </c>
      <c r="I104" s="3">
        <v>36</v>
      </c>
      <c r="J104" s="3">
        <v>18993</v>
      </c>
      <c r="K104" s="3">
        <v>39522</v>
      </c>
      <c r="L104" s="3">
        <v>1</v>
      </c>
      <c r="M104" s="3">
        <v>6766.4753680000003</v>
      </c>
    </row>
    <row r="105" spans="1:13" ht="14.25" customHeight="1" x14ac:dyDescent="0.2">
      <c r="A105" s="3" t="s">
        <v>192</v>
      </c>
      <c r="B105" s="3" t="s">
        <v>24</v>
      </c>
      <c r="C105" s="3" t="s">
        <v>29</v>
      </c>
      <c r="D105" s="3" t="s">
        <v>25</v>
      </c>
      <c r="E105" s="3" t="s">
        <v>26</v>
      </c>
      <c r="F105" s="3" t="s">
        <v>64</v>
      </c>
      <c r="G105" s="3" t="s">
        <v>163</v>
      </c>
      <c r="H105" s="3">
        <v>48707</v>
      </c>
      <c r="I105" s="3">
        <v>36</v>
      </c>
      <c r="J105" s="3">
        <v>25182</v>
      </c>
      <c r="K105" s="3">
        <v>44696</v>
      </c>
      <c r="L105" s="3">
        <v>13</v>
      </c>
      <c r="M105" s="3">
        <v>5600.3556429999999</v>
      </c>
    </row>
    <row r="106" spans="1:13" ht="14.25" customHeight="1" x14ac:dyDescent="0.2">
      <c r="A106" s="3" t="s">
        <v>193</v>
      </c>
      <c r="B106" s="3" t="s">
        <v>24</v>
      </c>
      <c r="C106" s="3" t="s">
        <v>32</v>
      </c>
      <c r="D106" s="3" t="s">
        <v>70</v>
      </c>
      <c r="E106" s="3" t="s">
        <v>46</v>
      </c>
      <c r="F106" s="3" t="s">
        <v>22</v>
      </c>
      <c r="G106" s="3" t="s">
        <v>163</v>
      </c>
      <c r="H106" s="3">
        <v>87245</v>
      </c>
      <c r="I106" s="3">
        <v>35</v>
      </c>
      <c r="J106" s="3">
        <v>71903</v>
      </c>
      <c r="K106" s="3">
        <v>80390</v>
      </c>
      <c r="L106" s="3">
        <v>2</v>
      </c>
      <c r="M106" s="3">
        <v>1500.838771</v>
      </c>
    </row>
    <row r="107" spans="1:13" ht="14.25" customHeight="1" x14ac:dyDescent="0.2">
      <c r="A107" s="3" t="s">
        <v>194</v>
      </c>
      <c r="B107" s="3" t="s">
        <v>14</v>
      </c>
      <c r="C107" s="3" t="s">
        <v>32</v>
      </c>
      <c r="D107" s="3" t="s">
        <v>43</v>
      </c>
      <c r="E107" s="3" t="s">
        <v>72</v>
      </c>
      <c r="F107" s="3" t="s">
        <v>27</v>
      </c>
      <c r="G107" s="3" t="s">
        <v>19</v>
      </c>
      <c r="H107" s="3">
        <v>405957</v>
      </c>
      <c r="I107" s="3">
        <v>34</v>
      </c>
      <c r="J107" s="3">
        <v>204189</v>
      </c>
      <c r="K107" s="3">
        <v>385654</v>
      </c>
      <c r="L107" s="3">
        <v>16</v>
      </c>
      <c r="M107" s="3">
        <v>5864.1264929999998</v>
      </c>
    </row>
    <row r="108" spans="1:13" ht="14.25" customHeight="1" x14ac:dyDescent="0.2">
      <c r="A108" s="3" t="s">
        <v>195</v>
      </c>
      <c r="B108" s="3" t="s">
        <v>14</v>
      </c>
      <c r="C108" s="3" t="s">
        <v>15</v>
      </c>
      <c r="D108" s="3" t="s">
        <v>25</v>
      </c>
      <c r="E108" s="3" t="s">
        <v>196</v>
      </c>
      <c r="F108" s="3" t="s">
        <v>197</v>
      </c>
      <c r="G108" s="3" t="s">
        <v>19</v>
      </c>
      <c r="H108" s="3">
        <v>56927</v>
      </c>
      <c r="I108" s="3">
        <v>34</v>
      </c>
      <c r="J108" s="3">
        <v>20980</v>
      </c>
      <c r="K108" s="3">
        <v>55050</v>
      </c>
      <c r="L108" s="3">
        <v>2</v>
      </c>
      <c r="M108" s="3">
        <v>2463.8219170000002</v>
      </c>
    </row>
    <row r="109" spans="1:13" ht="14.25" customHeight="1" x14ac:dyDescent="0.2">
      <c r="A109" s="3" t="s">
        <v>198</v>
      </c>
      <c r="B109" s="3" t="s">
        <v>14</v>
      </c>
      <c r="C109" s="3" t="s">
        <v>15</v>
      </c>
      <c r="D109" s="3" t="s">
        <v>43</v>
      </c>
      <c r="E109" s="3" t="s">
        <v>199</v>
      </c>
      <c r="F109" s="3" t="s">
        <v>27</v>
      </c>
      <c r="G109" s="3" t="s">
        <v>19</v>
      </c>
      <c r="H109" s="3">
        <v>59782</v>
      </c>
      <c r="I109" s="3">
        <v>34</v>
      </c>
      <c r="J109" s="3">
        <v>28235</v>
      </c>
      <c r="K109" s="3">
        <v>57543</v>
      </c>
      <c r="L109" s="3">
        <v>13</v>
      </c>
      <c r="M109" s="3">
        <v>1455.7035539999999</v>
      </c>
    </row>
    <row r="110" spans="1:13" ht="14.25" customHeight="1" x14ac:dyDescent="0.2">
      <c r="A110" s="3" t="s">
        <v>200</v>
      </c>
      <c r="B110" s="3" t="s">
        <v>14</v>
      </c>
      <c r="C110" s="3" t="s">
        <v>32</v>
      </c>
      <c r="D110" s="3" t="s">
        <v>43</v>
      </c>
      <c r="E110" s="3" t="s">
        <v>201</v>
      </c>
      <c r="F110" s="3" t="s">
        <v>41</v>
      </c>
      <c r="G110" s="3" t="s">
        <v>19</v>
      </c>
      <c r="H110" s="3">
        <v>14489</v>
      </c>
      <c r="I110" s="3">
        <v>33</v>
      </c>
      <c r="J110" s="3">
        <v>12453</v>
      </c>
      <c r="K110" s="3">
        <v>13873</v>
      </c>
      <c r="L110" s="3">
        <v>1</v>
      </c>
      <c r="M110" s="3">
        <v>6195.8407340000003</v>
      </c>
    </row>
    <row r="111" spans="1:13" ht="14.25" customHeight="1" x14ac:dyDescent="0.2">
      <c r="A111" s="3" t="s">
        <v>202</v>
      </c>
      <c r="B111" s="3" t="s">
        <v>14</v>
      </c>
      <c r="C111" s="3" t="s">
        <v>35</v>
      </c>
      <c r="D111" s="3" t="s">
        <v>25</v>
      </c>
      <c r="E111" s="3" t="s">
        <v>57</v>
      </c>
      <c r="F111" s="3" t="s">
        <v>41</v>
      </c>
      <c r="G111" s="3" t="s">
        <v>19</v>
      </c>
      <c r="H111" s="3">
        <v>888037</v>
      </c>
      <c r="I111" s="3">
        <v>32</v>
      </c>
      <c r="J111" s="3">
        <v>370429</v>
      </c>
      <c r="K111" s="3">
        <v>820340</v>
      </c>
      <c r="L111" s="3">
        <v>42</v>
      </c>
      <c r="M111" s="3">
        <v>8134.3505240000004</v>
      </c>
    </row>
    <row r="112" spans="1:13" ht="14.25" customHeight="1" x14ac:dyDescent="0.2">
      <c r="A112" s="3" t="s">
        <v>203</v>
      </c>
      <c r="B112" s="3" t="s">
        <v>24</v>
      </c>
      <c r="C112" s="3" t="s">
        <v>29</v>
      </c>
      <c r="D112" s="3" t="s">
        <v>70</v>
      </c>
      <c r="E112" s="3" t="s">
        <v>72</v>
      </c>
      <c r="F112" s="3" t="s">
        <v>27</v>
      </c>
      <c r="G112" s="3" t="s">
        <v>114</v>
      </c>
      <c r="H112" s="3">
        <v>39163</v>
      </c>
      <c r="I112" s="3">
        <v>32</v>
      </c>
      <c r="J112" s="3">
        <v>16254</v>
      </c>
      <c r="K112" s="3">
        <v>36526</v>
      </c>
      <c r="L112" s="3">
        <v>15</v>
      </c>
      <c r="M112" s="3">
        <v>5692.765813</v>
      </c>
    </row>
    <row r="113" spans="1:13" ht="14.25" customHeight="1" x14ac:dyDescent="0.2">
      <c r="A113" s="3" t="s">
        <v>204</v>
      </c>
      <c r="B113" s="3" t="s">
        <v>24</v>
      </c>
      <c r="C113" s="3" t="s">
        <v>35</v>
      </c>
      <c r="D113" s="3" t="s">
        <v>205</v>
      </c>
      <c r="E113" s="3" t="s">
        <v>206</v>
      </c>
      <c r="F113" s="3" t="s">
        <v>33</v>
      </c>
      <c r="G113" s="3" t="s">
        <v>114</v>
      </c>
      <c r="H113" s="3">
        <v>16325</v>
      </c>
      <c r="I113" s="3">
        <v>32</v>
      </c>
      <c r="J113" s="3">
        <v>9558</v>
      </c>
      <c r="K113" s="3">
        <v>15426</v>
      </c>
      <c r="L113" s="3">
        <v>21</v>
      </c>
      <c r="M113" s="3">
        <v>1814.098581</v>
      </c>
    </row>
    <row r="114" spans="1:13" ht="14.25" customHeight="1" x14ac:dyDescent="0.2">
      <c r="A114" s="3" t="s">
        <v>207</v>
      </c>
      <c r="B114" s="3" t="s">
        <v>24</v>
      </c>
      <c r="C114" s="3" t="s">
        <v>32</v>
      </c>
      <c r="D114" s="3" t="s">
        <v>25</v>
      </c>
      <c r="E114" s="3" t="s">
        <v>40</v>
      </c>
      <c r="F114" s="3" t="s">
        <v>27</v>
      </c>
      <c r="G114" s="3" t="s">
        <v>19</v>
      </c>
      <c r="H114" s="3">
        <v>554980</v>
      </c>
      <c r="I114" s="3">
        <v>32</v>
      </c>
      <c r="J114" s="3">
        <v>323498</v>
      </c>
      <c r="K114" s="3">
        <v>467646</v>
      </c>
      <c r="L114" s="3">
        <v>8</v>
      </c>
      <c r="M114" s="3">
        <v>1600.7695880000001</v>
      </c>
    </row>
    <row r="115" spans="1:13" ht="14.25" customHeight="1" x14ac:dyDescent="0.2">
      <c r="A115" s="3" t="s">
        <v>208</v>
      </c>
      <c r="B115" s="3" t="s">
        <v>14</v>
      </c>
      <c r="C115" s="3" t="s">
        <v>15</v>
      </c>
      <c r="D115" s="3" t="s">
        <v>16</v>
      </c>
      <c r="E115" s="3" t="s">
        <v>63</v>
      </c>
      <c r="F115" s="3" t="s">
        <v>27</v>
      </c>
      <c r="G115" s="3" t="s">
        <v>19</v>
      </c>
      <c r="H115" s="3">
        <v>272509</v>
      </c>
      <c r="I115" s="3">
        <v>31</v>
      </c>
      <c r="J115" s="3">
        <v>89526</v>
      </c>
      <c r="K115" s="3">
        <v>237859</v>
      </c>
      <c r="L115" s="3">
        <v>69</v>
      </c>
      <c r="M115" s="3">
        <v>8168.3470770000004</v>
      </c>
    </row>
    <row r="116" spans="1:13" ht="14.25" customHeight="1" x14ac:dyDescent="0.2">
      <c r="A116" s="3" t="s">
        <v>209</v>
      </c>
      <c r="B116" s="3" t="s">
        <v>68</v>
      </c>
      <c r="C116" s="3" t="s">
        <v>29</v>
      </c>
      <c r="D116" s="3" t="s">
        <v>43</v>
      </c>
      <c r="E116" s="3" t="s">
        <v>210</v>
      </c>
      <c r="F116" s="3" t="s">
        <v>22</v>
      </c>
      <c r="G116" s="3" t="s">
        <v>19</v>
      </c>
      <c r="H116" s="3">
        <v>100800</v>
      </c>
      <c r="I116" s="3">
        <v>29</v>
      </c>
      <c r="J116" s="3">
        <v>14473</v>
      </c>
      <c r="K116" s="3">
        <v>85424</v>
      </c>
      <c r="L116" s="3">
        <v>3</v>
      </c>
      <c r="M116" s="3">
        <v>7004.7304830000003</v>
      </c>
    </row>
    <row r="117" spans="1:13" ht="14.25" customHeight="1" x14ac:dyDescent="0.2">
      <c r="A117" s="3" t="s">
        <v>211</v>
      </c>
      <c r="B117" s="3" t="s">
        <v>14</v>
      </c>
      <c r="C117" s="3" t="s">
        <v>29</v>
      </c>
      <c r="D117" s="3" t="s">
        <v>16</v>
      </c>
      <c r="E117" s="3" t="s">
        <v>37</v>
      </c>
      <c r="F117" s="3" t="s">
        <v>22</v>
      </c>
      <c r="G117" s="3" t="s">
        <v>19</v>
      </c>
      <c r="H117" s="3">
        <v>20486</v>
      </c>
      <c r="I117" s="3">
        <v>29</v>
      </c>
      <c r="J117" s="3">
        <v>14583</v>
      </c>
      <c r="K117" s="3">
        <v>19860</v>
      </c>
      <c r="L117" s="3">
        <v>1</v>
      </c>
      <c r="M117" s="3">
        <v>1718.513762</v>
      </c>
    </row>
    <row r="118" spans="1:13" ht="14.25" customHeight="1" x14ac:dyDescent="0.2">
      <c r="A118" s="3" t="s">
        <v>212</v>
      </c>
      <c r="B118" s="3" t="s">
        <v>24</v>
      </c>
      <c r="C118" s="3" t="s">
        <v>15</v>
      </c>
      <c r="D118" s="3" t="s">
        <v>25</v>
      </c>
      <c r="E118" s="3" t="s">
        <v>57</v>
      </c>
      <c r="F118" s="3" t="s">
        <v>27</v>
      </c>
      <c r="G118" s="3" t="s">
        <v>19</v>
      </c>
      <c r="H118" s="3">
        <v>421110</v>
      </c>
      <c r="I118" s="3">
        <v>29</v>
      </c>
      <c r="J118" s="3">
        <v>212140</v>
      </c>
      <c r="K118" s="3">
        <v>389474</v>
      </c>
      <c r="L118" s="3">
        <v>4</v>
      </c>
      <c r="M118" s="3">
        <v>1635.920216</v>
      </c>
    </row>
    <row r="119" spans="1:13" ht="14.25" customHeight="1" x14ac:dyDescent="0.2">
      <c r="A119" s="3" t="s">
        <v>213</v>
      </c>
      <c r="B119" s="3" t="s">
        <v>14</v>
      </c>
      <c r="C119" s="3" t="s">
        <v>15</v>
      </c>
      <c r="D119" s="3" t="s">
        <v>66</v>
      </c>
      <c r="E119" s="3" t="s">
        <v>214</v>
      </c>
      <c r="F119" s="3" t="s">
        <v>64</v>
      </c>
      <c r="G119" s="3" t="s">
        <v>19</v>
      </c>
      <c r="H119" s="3">
        <v>12692</v>
      </c>
      <c r="I119" s="3">
        <v>29</v>
      </c>
      <c r="J119" s="3">
        <v>9048</v>
      </c>
      <c r="K119" s="3">
        <v>12326</v>
      </c>
      <c r="L119" s="3">
        <v>14</v>
      </c>
      <c r="M119" s="3">
        <v>1541.7195979999999</v>
      </c>
    </row>
    <row r="120" spans="1:13" ht="14.25" customHeight="1" x14ac:dyDescent="0.2">
      <c r="A120" s="3" t="s">
        <v>215</v>
      </c>
      <c r="B120" s="3" t="s">
        <v>14</v>
      </c>
      <c r="C120" s="3" t="s">
        <v>29</v>
      </c>
      <c r="D120" s="3" t="s">
        <v>216</v>
      </c>
      <c r="E120" s="3" t="s">
        <v>46</v>
      </c>
      <c r="F120" s="3" t="s">
        <v>27</v>
      </c>
      <c r="G120" s="3" t="s">
        <v>19</v>
      </c>
      <c r="H120" s="3">
        <v>55274</v>
      </c>
      <c r="I120" s="3">
        <v>29</v>
      </c>
      <c r="J120" s="3">
        <v>47583</v>
      </c>
      <c r="K120" s="3">
        <v>51275</v>
      </c>
      <c r="L120" s="3">
        <v>3</v>
      </c>
      <c r="M120" s="3">
        <v>1532.7579049999999</v>
      </c>
    </row>
    <row r="121" spans="1:13" ht="14.25" customHeight="1" x14ac:dyDescent="0.2">
      <c r="A121" s="3" t="s">
        <v>217</v>
      </c>
      <c r="B121" s="3" t="s">
        <v>14</v>
      </c>
      <c r="C121" s="3" t="s">
        <v>35</v>
      </c>
      <c r="D121" s="3" t="s">
        <v>216</v>
      </c>
      <c r="E121" s="3" t="s">
        <v>218</v>
      </c>
      <c r="F121" s="3" t="s">
        <v>76</v>
      </c>
      <c r="G121" s="3" t="s">
        <v>19</v>
      </c>
      <c r="H121" s="3">
        <v>117879</v>
      </c>
      <c r="I121" s="3">
        <v>28</v>
      </c>
      <c r="J121" s="3">
        <v>52098</v>
      </c>
      <c r="K121" s="3">
        <v>86127</v>
      </c>
      <c r="L121" s="3">
        <v>1</v>
      </c>
      <c r="M121" s="3">
        <v>5102.7067290000005</v>
      </c>
    </row>
    <row r="122" spans="1:13" ht="14.25" customHeight="1" x14ac:dyDescent="0.2">
      <c r="A122" s="3" t="s">
        <v>219</v>
      </c>
      <c r="B122" s="3" t="s">
        <v>24</v>
      </c>
      <c r="C122" s="3" t="s">
        <v>29</v>
      </c>
      <c r="D122" s="3" t="s">
        <v>45</v>
      </c>
      <c r="E122" s="3" t="s">
        <v>79</v>
      </c>
      <c r="F122" s="3" t="s">
        <v>38</v>
      </c>
      <c r="G122" s="3" t="s">
        <v>19</v>
      </c>
      <c r="H122" s="3">
        <v>61574</v>
      </c>
      <c r="I122" s="3">
        <v>28</v>
      </c>
      <c r="J122" s="3">
        <v>18717</v>
      </c>
      <c r="K122" s="3">
        <v>46367</v>
      </c>
      <c r="L122" s="3">
        <v>4</v>
      </c>
      <c r="M122" s="3">
        <v>4999.6652050000002</v>
      </c>
    </row>
    <row r="123" spans="1:13" ht="14.25" customHeight="1" x14ac:dyDescent="0.2">
      <c r="A123" s="3" t="s">
        <v>220</v>
      </c>
      <c r="B123" s="3" t="s">
        <v>14</v>
      </c>
      <c r="C123" s="3" t="s">
        <v>35</v>
      </c>
      <c r="D123" s="3" t="s">
        <v>66</v>
      </c>
      <c r="E123" s="3" t="s">
        <v>52</v>
      </c>
      <c r="F123" s="3" t="s">
        <v>27</v>
      </c>
      <c r="G123" s="3" t="s">
        <v>19</v>
      </c>
      <c r="H123" s="3">
        <v>29092</v>
      </c>
      <c r="I123" s="3">
        <v>28</v>
      </c>
      <c r="J123" s="3">
        <v>16986</v>
      </c>
      <c r="K123" s="3">
        <v>26606</v>
      </c>
      <c r="L123" s="3">
        <v>15</v>
      </c>
      <c r="M123" s="3">
        <v>1801.0581110000001</v>
      </c>
    </row>
    <row r="124" spans="1:13" ht="14.25" customHeight="1" x14ac:dyDescent="0.2">
      <c r="A124" s="3" t="s">
        <v>221</v>
      </c>
      <c r="B124" s="3" t="s">
        <v>24</v>
      </c>
      <c r="C124" s="3" t="s">
        <v>15</v>
      </c>
      <c r="D124" s="3" t="s">
        <v>16</v>
      </c>
      <c r="E124" s="3" t="s">
        <v>222</v>
      </c>
      <c r="F124" s="3" t="s">
        <v>33</v>
      </c>
      <c r="G124" s="3" t="s">
        <v>19</v>
      </c>
      <c r="H124" s="3">
        <v>75161</v>
      </c>
      <c r="I124" s="3">
        <v>28</v>
      </c>
      <c r="J124" s="3">
        <v>40385</v>
      </c>
      <c r="K124" s="3">
        <v>70325</v>
      </c>
      <c r="L124" s="3">
        <v>3</v>
      </c>
      <c r="M124" s="3">
        <v>1506.461108</v>
      </c>
    </row>
    <row r="125" spans="1:13" ht="14.25" customHeight="1" x14ac:dyDescent="0.2">
      <c r="A125" s="3" t="s">
        <v>223</v>
      </c>
      <c r="B125" s="3" t="s">
        <v>14</v>
      </c>
      <c r="C125" s="3" t="s">
        <v>35</v>
      </c>
      <c r="D125" s="3" t="s">
        <v>45</v>
      </c>
      <c r="E125" s="3" t="s">
        <v>40</v>
      </c>
      <c r="F125" s="3" t="s">
        <v>41</v>
      </c>
      <c r="G125" s="3" t="s">
        <v>19</v>
      </c>
      <c r="H125" s="3">
        <v>458931</v>
      </c>
      <c r="I125" s="3">
        <v>27</v>
      </c>
      <c r="J125" s="3">
        <v>264325</v>
      </c>
      <c r="K125" s="3">
        <v>378011</v>
      </c>
      <c r="L125" s="3">
        <v>30</v>
      </c>
      <c r="M125" s="3">
        <v>7462.6779349999997</v>
      </c>
    </row>
    <row r="126" spans="1:13" ht="14.25" customHeight="1" x14ac:dyDescent="0.2">
      <c r="A126" s="3" t="s">
        <v>224</v>
      </c>
      <c r="B126" s="3" t="s">
        <v>14</v>
      </c>
      <c r="C126" s="3" t="s">
        <v>15</v>
      </c>
      <c r="D126" s="3" t="s">
        <v>45</v>
      </c>
      <c r="E126" s="3" t="s">
        <v>111</v>
      </c>
      <c r="F126" s="3" t="s">
        <v>41</v>
      </c>
      <c r="G126" s="3" t="s">
        <v>19</v>
      </c>
      <c r="H126" s="3">
        <v>23965</v>
      </c>
      <c r="I126" s="3">
        <v>27</v>
      </c>
      <c r="J126" s="3">
        <v>13608</v>
      </c>
      <c r="K126" s="3">
        <v>21704</v>
      </c>
      <c r="L126" s="3">
        <v>1</v>
      </c>
      <c r="M126" s="3">
        <v>5706.8644169999998</v>
      </c>
    </row>
    <row r="127" spans="1:13" ht="14.25" customHeight="1" x14ac:dyDescent="0.2">
      <c r="A127" s="3" t="s">
        <v>225</v>
      </c>
      <c r="B127" s="3" t="s">
        <v>24</v>
      </c>
      <c r="C127" s="3" t="s">
        <v>15</v>
      </c>
      <c r="D127" s="3" t="s">
        <v>43</v>
      </c>
      <c r="E127" s="3" t="s">
        <v>149</v>
      </c>
      <c r="F127" s="3" t="s">
        <v>41</v>
      </c>
      <c r="G127" s="3" t="s">
        <v>19</v>
      </c>
      <c r="H127" s="3">
        <v>103665</v>
      </c>
      <c r="I127" s="3">
        <v>27</v>
      </c>
      <c r="J127" s="3">
        <v>77283</v>
      </c>
      <c r="K127" s="3">
        <v>94019</v>
      </c>
      <c r="L127" s="3">
        <v>4</v>
      </c>
      <c r="M127" s="3">
        <v>5284.6855649999998</v>
      </c>
    </row>
    <row r="128" spans="1:13" ht="14.25" customHeight="1" x14ac:dyDescent="0.2">
      <c r="A128" s="3" t="s">
        <v>226</v>
      </c>
      <c r="B128" s="3" t="s">
        <v>14</v>
      </c>
      <c r="C128" s="3" t="s">
        <v>32</v>
      </c>
      <c r="D128" s="3" t="s">
        <v>84</v>
      </c>
      <c r="E128" s="3" t="s">
        <v>111</v>
      </c>
      <c r="F128" s="3" t="s">
        <v>22</v>
      </c>
      <c r="G128" s="3" t="s">
        <v>19</v>
      </c>
      <c r="H128" s="3">
        <v>213699</v>
      </c>
      <c r="I128" s="3">
        <v>27</v>
      </c>
      <c r="J128" s="3">
        <v>18395</v>
      </c>
      <c r="K128" s="3">
        <v>164487</v>
      </c>
      <c r="L128" s="3">
        <v>4</v>
      </c>
      <c r="M128" s="3">
        <v>2194.9871250000001</v>
      </c>
    </row>
    <row r="129" spans="1:13" ht="14.25" customHeight="1" x14ac:dyDescent="0.2">
      <c r="A129" s="3" t="s">
        <v>227</v>
      </c>
      <c r="B129" s="3" t="s">
        <v>24</v>
      </c>
      <c r="C129" s="3" t="s">
        <v>29</v>
      </c>
      <c r="D129" s="3" t="s">
        <v>228</v>
      </c>
      <c r="E129" s="3" t="s">
        <v>229</v>
      </c>
      <c r="F129" s="3" t="s">
        <v>41</v>
      </c>
      <c r="G129" s="3" t="s">
        <v>114</v>
      </c>
      <c r="H129" s="3">
        <v>70506</v>
      </c>
      <c r="I129" s="3">
        <v>27</v>
      </c>
      <c r="J129" s="3">
        <v>26779</v>
      </c>
      <c r="K129" s="3">
        <v>48902</v>
      </c>
      <c r="L129" s="3">
        <v>2</v>
      </c>
      <c r="M129" s="3">
        <v>1912.9668819999999</v>
      </c>
    </row>
    <row r="130" spans="1:13" ht="14.25" customHeight="1" x14ac:dyDescent="0.2">
      <c r="A130" s="3" t="s">
        <v>230</v>
      </c>
      <c r="B130" s="3" t="s">
        <v>24</v>
      </c>
      <c r="C130" s="3" t="s">
        <v>15</v>
      </c>
      <c r="D130" s="3" t="s">
        <v>16</v>
      </c>
      <c r="E130" s="3" t="s">
        <v>231</v>
      </c>
      <c r="F130" s="3" t="s">
        <v>27</v>
      </c>
      <c r="G130" s="3" t="s">
        <v>163</v>
      </c>
      <c r="H130" s="3">
        <v>50517</v>
      </c>
      <c r="I130" s="3">
        <v>27</v>
      </c>
      <c r="J130" s="3">
        <v>17179</v>
      </c>
      <c r="K130" s="3">
        <v>48389</v>
      </c>
      <c r="L130" s="3">
        <v>2</v>
      </c>
      <c r="M130" s="3">
        <v>1718.4710769999999</v>
      </c>
    </row>
    <row r="131" spans="1:13" ht="14.25" customHeight="1" x14ac:dyDescent="0.2">
      <c r="A131" s="3" t="s">
        <v>232</v>
      </c>
      <c r="B131" s="3" t="s">
        <v>14</v>
      </c>
      <c r="C131" s="3" t="s">
        <v>35</v>
      </c>
      <c r="D131" s="3" t="s">
        <v>60</v>
      </c>
      <c r="E131" s="3" t="s">
        <v>79</v>
      </c>
      <c r="F131" s="3" t="s">
        <v>27</v>
      </c>
      <c r="G131" s="3" t="s">
        <v>19</v>
      </c>
      <c r="H131" s="3">
        <v>254780</v>
      </c>
      <c r="I131" s="3">
        <v>27</v>
      </c>
      <c r="J131" s="3">
        <v>19169</v>
      </c>
      <c r="K131" s="3">
        <v>182583</v>
      </c>
      <c r="L131" s="3">
        <v>4</v>
      </c>
      <c r="M131" s="3">
        <v>1561.021915</v>
      </c>
    </row>
    <row r="132" spans="1:13" ht="14.25" customHeight="1" x14ac:dyDescent="0.2">
      <c r="A132" s="3" t="s">
        <v>233</v>
      </c>
      <c r="B132" s="3" t="s">
        <v>14</v>
      </c>
      <c r="C132" s="3" t="s">
        <v>35</v>
      </c>
      <c r="D132" s="3" t="s">
        <v>16</v>
      </c>
      <c r="E132" s="3" t="s">
        <v>37</v>
      </c>
      <c r="F132" s="3" t="s">
        <v>27</v>
      </c>
      <c r="G132" s="3" t="s">
        <v>19</v>
      </c>
      <c r="H132" s="3">
        <v>92764</v>
      </c>
      <c r="I132" s="3">
        <v>26</v>
      </c>
      <c r="J132" s="3">
        <v>19625</v>
      </c>
      <c r="K132" s="3">
        <v>76531</v>
      </c>
      <c r="L132" s="3">
        <v>1</v>
      </c>
      <c r="M132" s="3">
        <v>6730.012549</v>
      </c>
    </row>
    <row r="133" spans="1:13" ht="14.25" customHeight="1" x14ac:dyDescent="0.2">
      <c r="A133" s="3" t="s">
        <v>234</v>
      </c>
      <c r="B133" s="3" t="s">
        <v>14</v>
      </c>
      <c r="C133" s="3" t="s">
        <v>29</v>
      </c>
      <c r="D133" s="3" t="s">
        <v>86</v>
      </c>
      <c r="E133" s="3" t="s">
        <v>119</v>
      </c>
      <c r="F133" s="3" t="s">
        <v>38</v>
      </c>
      <c r="G133" s="3" t="s">
        <v>19</v>
      </c>
      <c r="H133" s="3">
        <v>149618</v>
      </c>
      <c r="I133" s="3">
        <v>26</v>
      </c>
      <c r="J133" s="3">
        <v>126031</v>
      </c>
      <c r="K133" s="3">
        <v>140596</v>
      </c>
      <c r="L133" s="3">
        <v>26</v>
      </c>
      <c r="M133" s="3">
        <v>6605.5861580000001</v>
      </c>
    </row>
    <row r="134" spans="1:13" ht="14.25" customHeight="1" x14ac:dyDescent="0.2">
      <c r="A134" s="3" t="s">
        <v>235</v>
      </c>
      <c r="B134" s="3" t="s">
        <v>14</v>
      </c>
      <c r="C134" s="3" t="s">
        <v>29</v>
      </c>
      <c r="D134" s="3" t="s">
        <v>66</v>
      </c>
      <c r="E134" s="3" t="s">
        <v>57</v>
      </c>
      <c r="F134" s="3" t="s">
        <v>27</v>
      </c>
      <c r="G134" s="3" t="s">
        <v>19</v>
      </c>
      <c r="H134" s="3">
        <v>571090</v>
      </c>
      <c r="I134" s="3">
        <v>26</v>
      </c>
      <c r="J134" s="3">
        <v>246243</v>
      </c>
      <c r="K134" s="3">
        <v>532325</v>
      </c>
      <c r="L134" s="3">
        <v>11</v>
      </c>
      <c r="M134" s="3">
        <v>4733.6187829999999</v>
      </c>
    </row>
    <row r="135" spans="1:13" ht="14.25" customHeight="1" x14ac:dyDescent="0.2">
      <c r="A135" s="3" t="s">
        <v>236</v>
      </c>
      <c r="B135" s="3" t="s">
        <v>14</v>
      </c>
      <c r="C135" s="3" t="s">
        <v>15</v>
      </c>
      <c r="D135" s="3" t="s">
        <v>43</v>
      </c>
      <c r="E135" s="3" t="s">
        <v>237</v>
      </c>
      <c r="F135" s="3" t="s">
        <v>58</v>
      </c>
      <c r="G135" s="3" t="s">
        <v>19</v>
      </c>
      <c r="H135" s="3">
        <v>39212</v>
      </c>
      <c r="I135" s="3">
        <v>26</v>
      </c>
      <c r="J135" s="3">
        <v>31317</v>
      </c>
      <c r="K135" s="3">
        <v>37660</v>
      </c>
      <c r="L135" s="3">
        <v>1</v>
      </c>
      <c r="M135" s="3">
        <v>3621.4177030000001</v>
      </c>
    </row>
    <row r="136" spans="1:13" ht="14.25" customHeight="1" x14ac:dyDescent="0.2">
      <c r="A136" s="3" t="s">
        <v>238</v>
      </c>
      <c r="B136" s="3" t="s">
        <v>14</v>
      </c>
      <c r="C136" s="3" t="s">
        <v>15</v>
      </c>
      <c r="D136" s="3" t="s">
        <v>66</v>
      </c>
      <c r="E136" s="3" t="s">
        <v>239</v>
      </c>
      <c r="F136" s="3" t="s">
        <v>27</v>
      </c>
      <c r="G136" s="3" t="s">
        <v>19</v>
      </c>
      <c r="H136" s="3">
        <v>16580</v>
      </c>
      <c r="I136" s="3">
        <v>26</v>
      </c>
      <c r="J136" s="3">
        <v>11928</v>
      </c>
      <c r="K136" s="3">
        <v>14527</v>
      </c>
      <c r="L136" s="3">
        <v>6</v>
      </c>
      <c r="M136" s="3">
        <v>1965.7389470000001</v>
      </c>
    </row>
    <row r="137" spans="1:13" ht="14.25" customHeight="1" x14ac:dyDescent="0.2">
      <c r="A137" s="3" t="s">
        <v>240</v>
      </c>
      <c r="B137" s="3" t="s">
        <v>24</v>
      </c>
      <c r="C137" s="3" t="s">
        <v>15</v>
      </c>
      <c r="D137" s="3" t="s">
        <v>66</v>
      </c>
      <c r="E137" s="3" t="s">
        <v>149</v>
      </c>
      <c r="F137" s="3" t="s">
        <v>27</v>
      </c>
      <c r="G137" s="3" t="s">
        <v>114</v>
      </c>
      <c r="H137" s="3">
        <v>141165</v>
      </c>
      <c r="I137" s="3">
        <v>25</v>
      </c>
      <c r="J137" s="3">
        <v>102776</v>
      </c>
      <c r="K137" s="3">
        <v>128004</v>
      </c>
      <c r="L137" s="3">
        <v>28</v>
      </c>
      <c r="M137" s="3">
        <v>7222.2114080000001</v>
      </c>
    </row>
    <row r="138" spans="1:13" ht="14.25" customHeight="1" x14ac:dyDescent="0.2">
      <c r="A138" s="3" t="s">
        <v>241</v>
      </c>
      <c r="B138" s="3" t="s">
        <v>68</v>
      </c>
      <c r="C138" s="3" t="s">
        <v>32</v>
      </c>
      <c r="D138" s="3" t="s">
        <v>16</v>
      </c>
      <c r="E138" s="3" t="s">
        <v>239</v>
      </c>
      <c r="F138" s="3" t="s">
        <v>27</v>
      </c>
      <c r="G138" s="3" t="s">
        <v>19</v>
      </c>
      <c r="H138" s="3">
        <v>17518</v>
      </c>
      <c r="I138" s="3">
        <v>25</v>
      </c>
      <c r="J138" s="3">
        <v>11513</v>
      </c>
      <c r="K138" s="3">
        <v>16192</v>
      </c>
      <c r="L138" s="3">
        <v>1</v>
      </c>
      <c r="M138" s="3">
        <v>6765.0003999999999</v>
      </c>
    </row>
    <row r="139" spans="1:13" ht="14.25" customHeight="1" x14ac:dyDescent="0.2">
      <c r="A139" s="3" t="s">
        <v>242</v>
      </c>
      <c r="B139" s="3" t="s">
        <v>14</v>
      </c>
      <c r="C139" s="3" t="s">
        <v>35</v>
      </c>
      <c r="D139" s="3" t="s">
        <v>66</v>
      </c>
      <c r="E139" s="3" t="s">
        <v>199</v>
      </c>
      <c r="F139" s="3" t="s">
        <v>27</v>
      </c>
      <c r="G139" s="3" t="s">
        <v>19</v>
      </c>
      <c r="H139" s="3">
        <v>35163</v>
      </c>
      <c r="I139" s="3">
        <v>25</v>
      </c>
      <c r="J139" s="3">
        <v>21222</v>
      </c>
      <c r="K139" s="3">
        <v>33671</v>
      </c>
      <c r="L139" s="3">
        <v>8</v>
      </c>
      <c r="M139" s="3">
        <v>6336.7181</v>
      </c>
    </row>
    <row r="140" spans="1:13" ht="14.25" customHeight="1" x14ac:dyDescent="0.2">
      <c r="A140" s="3" t="s">
        <v>243</v>
      </c>
      <c r="B140" s="3" t="s">
        <v>14</v>
      </c>
      <c r="C140" s="3" t="s">
        <v>35</v>
      </c>
      <c r="D140" s="3" t="s">
        <v>86</v>
      </c>
      <c r="E140" s="3" t="s">
        <v>244</v>
      </c>
      <c r="F140" s="3" t="s">
        <v>27</v>
      </c>
      <c r="G140" s="3" t="s">
        <v>19</v>
      </c>
      <c r="H140" s="3">
        <v>61474</v>
      </c>
      <c r="I140" s="3">
        <v>25</v>
      </c>
      <c r="J140" s="3">
        <v>31245</v>
      </c>
      <c r="K140" s="3">
        <v>49089</v>
      </c>
      <c r="L140" s="3">
        <v>15</v>
      </c>
      <c r="M140" s="3">
        <v>2189.3413489999998</v>
      </c>
    </row>
    <row r="141" spans="1:13" ht="14.25" customHeight="1" x14ac:dyDescent="0.2">
      <c r="A141" s="3" t="s">
        <v>245</v>
      </c>
      <c r="B141" s="3" t="s">
        <v>24</v>
      </c>
      <c r="C141" s="3" t="s">
        <v>32</v>
      </c>
      <c r="D141" s="3" t="s">
        <v>43</v>
      </c>
      <c r="E141" s="3" t="s">
        <v>40</v>
      </c>
      <c r="F141" s="3" t="s">
        <v>27</v>
      </c>
      <c r="G141" s="3" t="s">
        <v>19</v>
      </c>
      <c r="H141" s="3">
        <v>321263</v>
      </c>
      <c r="I141" s="3">
        <v>25</v>
      </c>
      <c r="J141" s="3">
        <v>172887</v>
      </c>
      <c r="K141" s="3">
        <v>263424</v>
      </c>
      <c r="L141" s="3">
        <v>6</v>
      </c>
      <c r="M141" s="3">
        <v>1576.051434</v>
      </c>
    </row>
    <row r="142" spans="1:13" ht="14.25" customHeight="1" x14ac:dyDescent="0.2">
      <c r="A142" s="3" t="s">
        <v>246</v>
      </c>
      <c r="B142" s="3" t="s">
        <v>24</v>
      </c>
      <c r="C142" s="3" t="s">
        <v>29</v>
      </c>
      <c r="D142" s="3" t="s">
        <v>216</v>
      </c>
      <c r="E142" s="3" t="s">
        <v>247</v>
      </c>
      <c r="F142" s="3" t="s">
        <v>38</v>
      </c>
      <c r="G142" s="3" t="s">
        <v>163</v>
      </c>
      <c r="H142" s="3">
        <v>94340</v>
      </c>
      <c r="I142" s="3">
        <v>25</v>
      </c>
      <c r="J142" s="3">
        <v>16955</v>
      </c>
      <c r="K142" s="3">
        <v>76971</v>
      </c>
      <c r="L142" s="3">
        <v>13</v>
      </c>
      <c r="M142" s="3">
        <v>1517.244377</v>
      </c>
    </row>
    <row r="143" spans="1:13" ht="14.25" customHeight="1" x14ac:dyDescent="0.2">
      <c r="A143" s="3" t="s">
        <v>248</v>
      </c>
      <c r="B143" s="3" t="s">
        <v>14</v>
      </c>
      <c r="C143" s="3" t="s">
        <v>29</v>
      </c>
      <c r="D143" s="3" t="s">
        <v>66</v>
      </c>
      <c r="E143" s="3" t="s">
        <v>57</v>
      </c>
      <c r="F143" s="3" t="s">
        <v>27</v>
      </c>
      <c r="G143" s="3" t="s">
        <v>19</v>
      </c>
      <c r="H143" s="3">
        <v>263752</v>
      </c>
      <c r="I143" s="3">
        <v>25</v>
      </c>
      <c r="J143" s="3">
        <v>127042</v>
      </c>
      <c r="K143" s="3">
        <v>225121</v>
      </c>
      <c r="L143" s="3">
        <v>4</v>
      </c>
      <c r="M143" s="3">
        <v>1465.5147099999999</v>
      </c>
    </row>
    <row r="144" spans="1:13" ht="14.25" customHeight="1" x14ac:dyDescent="0.2">
      <c r="A144" s="3" t="s">
        <v>249</v>
      </c>
      <c r="B144" s="3" t="s">
        <v>24</v>
      </c>
      <c r="C144" s="3" t="s">
        <v>15</v>
      </c>
      <c r="D144" s="3" t="s">
        <v>45</v>
      </c>
      <c r="E144" s="3" t="s">
        <v>250</v>
      </c>
      <c r="F144" s="3" t="s">
        <v>27</v>
      </c>
      <c r="G144" s="3" t="s">
        <v>19</v>
      </c>
      <c r="H144" s="3">
        <v>224877</v>
      </c>
      <c r="I144" s="3">
        <v>24</v>
      </c>
      <c r="J144" s="3">
        <v>121175</v>
      </c>
      <c r="K144" s="3">
        <v>213280</v>
      </c>
      <c r="L144" s="3">
        <v>11</v>
      </c>
      <c r="M144" s="3">
        <v>7360.9929689999999</v>
      </c>
    </row>
    <row r="145" spans="1:13" ht="14.25" customHeight="1" x14ac:dyDescent="0.2">
      <c r="A145" s="3" t="s">
        <v>251</v>
      </c>
      <c r="B145" s="3" t="s">
        <v>24</v>
      </c>
      <c r="C145" s="3" t="s">
        <v>29</v>
      </c>
      <c r="D145" s="3" t="s">
        <v>45</v>
      </c>
      <c r="E145" s="3" t="s">
        <v>107</v>
      </c>
      <c r="F145" s="3" t="s">
        <v>22</v>
      </c>
      <c r="G145" s="3" t="s">
        <v>163</v>
      </c>
      <c r="H145" s="3">
        <v>29323</v>
      </c>
      <c r="I145" s="3">
        <v>24</v>
      </c>
      <c r="J145" s="3">
        <v>13822</v>
      </c>
      <c r="K145" s="3">
        <v>26934</v>
      </c>
      <c r="L145" s="3">
        <v>9</v>
      </c>
      <c r="M145" s="3">
        <v>6096.045521</v>
      </c>
    </row>
    <row r="146" spans="1:13" ht="14.25" customHeight="1" x14ac:dyDescent="0.2">
      <c r="A146" s="3" t="s">
        <v>252</v>
      </c>
      <c r="B146" s="3" t="s">
        <v>24</v>
      </c>
      <c r="C146" s="3" t="s">
        <v>32</v>
      </c>
      <c r="D146" s="3" t="s">
        <v>25</v>
      </c>
      <c r="E146" s="3" t="s">
        <v>161</v>
      </c>
      <c r="F146" s="3" t="s">
        <v>22</v>
      </c>
      <c r="G146" s="3" t="s">
        <v>19</v>
      </c>
      <c r="H146" s="3">
        <v>16503</v>
      </c>
      <c r="I146" s="3">
        <v>24</v>
      </c>
      <c r="J146" s="3">
        <v>8595</v>
      </c>
      <c r="K146" s="3">
        <v>14466</v>
      </c>
      <c r="L146" s="3">
        <v>7</v>
      </c>
      <c r="M146" s="3">
        <v>5714.5238669999999</v>
      </c>
    </row>
    <row r="147" spans="1:13" ht="14.25" customHeight="1" x14ac:dyDescent="0.2">
      <c r="A147" s="3" t="s">
        <v>253</v>
      </c>
      <c r="B147" s="3" t="s">
        <v>24</v>
      </c>
      <c r="C147" s="3" t="s">
        <v>29</v>
      </c>
      <c r="D147" s="3" t="s">
        <v>16</v>
      </c>
      <c r="E147" s="3" t="s">
        <v>132</v>
      </c>
      <c r="F147" s="3" t="s">
        <v>41</v>
      </c>
      <c r="G147" s="3" t="s">
        <v>114</v>
      </c>
      <c r="H147" s="3">
        <v>95644</v>
      </c>
      <c r="I147" s="3">
        <v>24</v>
      </c>
      <c r="J147" s="3">
        <v>13294</v>
      </c>
      <c r="K147" s="3">
        <v>86775</v>
      </c>
      <c r="L147" s="3">
        <v>1</v>
      </c>
      <c r="M147" s="3">
        <v>5587.7636750000001</v>
      </c>
    </row>
    <row r="148" spans="1:13" ht="14.25" customHeight="1" x14ac:dyDescent="0.2">
      <c r="A148" s="3" t="s">
        <v>254</v>
      </c>
      <c r="B148" s="3" t="s">
        <v>14</v>
      </c>
      <c r="C148" s="3" t="s">
        <v>15</v>
      </c>
      <c r="D148" s="3" t="s">
        <v>16</v>
      </c>
      <c r="E148" s="3" t="s">
        <v>57</v>
      </c>
      <c r="F148" s="3" t="s">
        <v>197</v>
      </c>
      <c r="G148" s="3" t="s">
        <v>19</v>
      </c>
      <c r="H148" s="3">
        <v>760502</v>
      </c>
      <c r="I148" s="3">
        <v>24</v>
      </c>
      <c r="J148" s="3">
        <v>326721</v>
      </c>
      <c r="K148" s="3">
        <v>700814</v>
      </c>
      <c r="L148" s="3">
        <v>17</v>
      </c>
      <c r="M148" s="3">
        <v>5179.0415320000002</v>
      </c>
    </row>
    <row r="149" spans="1:13" ht="14.25" customHeight="1" x14ac:dyDescent="0.2">
      <c r="A149" s="3" t="s">
        <v>255</v>
      </c>
      <c r="B149" s="3" t="s">
        <v>24</v>
      </c>
      <c r="C149" s="3" t="s">
        <v>29</v>
      </c>
      <c r="D149" s="3" t="s">
        <v>25</v>
      </c>
      <c r="E149" s="3" t="s">
        <v>132</v>
      </c>
      <c r="F149" s="3" t="s">
        <v>27</v>
      </c>
      <c r="G149" s="3" t="s">
        <v>114</v>
      </c>
      <c r="H149" s="3">
        <v>65238</v>
      </c>
      <c r="I149" s="3">
        <v>24</v>
      </c>
      <c r="J149" s="3">
        <v>23741</v>
      </c>
      <c r="K149" s="3">
        <v>59893</v>
      </c>
      <c r="L149" s="3">
        <v>15</v>
      </c>
      <c r="M149" s="3">
        <v>3132.519209</v>
      </c>
    </row>
    <row r="150" spans="1:13" ht="14.25" customHeight="1" x14ac:dyDescent="0.2">
      <c r="A150" s="3" t="s">
        <v>256</v>
      </c>
      <c r="B150" s="3" t="s">
        <v>14</v>
      </c>
      <c r="C150" s="3" t="s">
        <v>29</v>
      </c>
      <c r="D150" s="3" t="s">
        <v>70</v>
      </c>
      <c r="E150" s="3" t="s">
        <v>250</v>
      </c>
      <c r="F150" s="3" t="s">
        <v>22</v>
      </c>
      <c r="G150" s="3" t="s">
        <v>19</v>
      </c>
      <c r="H150" s="3">
        <v>64577</v>
      </c>
      <c r="I150" s="3">
        <v>24</v>
      </c>
      <c r="J150" s="3">
        <v>37732</v>
      </c>
      <c r="K150" s="3">
        <v>60357</v>
      </c>
      <c r="L150" s="3">
        <v>11</v>
      </c>
      <c r="M150" s="3">
        <v>1801.3491309999999</v>
      </c>
    </row>
    <row r="151" spans="1:13" ht="14.25" customHeight="1" x14ac:dyDescent="0.2">
      <c r="A151" s="3" t="s">
        <v>257</v>
      </c>
      <c r="B151" s="3" t="s">
        <v>24</v>
      </c>
      <c r="C151" s="3" t="s">
        <v>29</v>
      </c>
      <c r="D151" s="3" t="s">
        <v>16</v>
      </c>
      <c r="E151" s="3" t="s">
        <v>46</v>
      </c>
      <c r="F151" s="3" t="s">
        <v>27</v>
      </c>
      <c r="G151" s="3" t="s">
        <v>163</v>
      </c>
      <c r="H151" s="3">
        <v>50183</v>
      </c>
      <c r="I151" s="3">
        <v>24</v>
      </c>
      <c r="J151" s="3">
        <v>41506</v>
      </c>
      <c r="K151" s="3">
        <v>46163</v>
      </c>
      <c r="L151" s="3">
        <v>15</v>
      </c>
      <c r="M151" s="3">
        <v>1628.8828129999999</v>
      </c>
    </row>
    <row r="152" spans="1:13" ht="14.25" customHeight="1" x14ac:dyDescent="0.2">
      <c r="A152" s="3" t="s">
        <v>258</v>
      </c>
      <c r="B152" s="3" t="s">
        <v>24</v>
      </c>
      <c r="C152" s="3" t="s">
        <v>29</v>
      </c>
      <c r="D152" s="3" t="s">
        <v>86</v>
      </c>
      <c r="E152" s="3" t="s">
        <v>119</v>
      </c>
      <c r="F152" s="3" t="s">
        <v>38</v>
      </c>
      <c r="G152" s="3" t="s">
        <v>19</v>
      </c>
      <c r="H152" s="3">
        <v>188170</v>
      </c>
      <c r="I152" s="3">
        <v>24</v>
      </c>
      <c r="J152" s="3">
        <v>155266</v>
      </c>
      <c r="K152" s="3">
        <v>176562</v>
      </c>
      <c r="L152" s="3">
        <v>6</v>
      </c>
      <c r="M152" s="3">
        <v>1599.7150690000001</v>
      </c>
    </row>
    <row r="153" spans="1:13" ht="14.25" customHeight="1" x14ac:dyDescent="0.2">
      <c r="A153" s="3" t="s">
        <v>259</v>
      </c>
      <c r="B153" s="3" t="s">
        <v>24</v>
      </c>
      <c r="C153" s="3" t="s">
        <v>35</v>
      </c>
      <c r="D153" s="3" t="s">
        <v>16</v>
      </c>
      <c r="E153" s="3" t="s">
        <v>260</v>
      </c>
      <c r="F153" s="3" t="s">
        <v>22</v>
      </c>
      <c r="G153" s="3" t="s">
        <v>114</v>
      </c>
      <c r="H153" s="3">
        <v>99205</v>
      </c>
      <c r="I153" s="3">
        <v>23</v>
      </c>
      <c r="J153" s="3">
        <v>49240</v>
      </c>
      <c r="K153" s="3">
        <v>72687</v>
      </c>
      <c r="L153" s="3">
        <v>21</v>
      </c>
      <c r="M153" s="3">
        <v>6185.0024860000003</v>
      </c>
    </row>
    <row r="154" spans="1:13" ht="14.25" customHeight="1" x14ac:dyDescent="0.2">
      <c r="A154" s="3" t="s">
        <v>261</v>
      </c>
      <c r="B154" s="3" t="s">
        <v>14</v>
      </c>
      <c r="C154" s="3" t="s">
        <v>15</v>
      </c>
      <c r="D154" s="3" t="s">
        <v>25</v>
      </c>
      <c r="E154" s="3" t="s">
        <v>96</v>
      </c>
      <c r="F154" s="3" t="s">
        <v>33</v>
      </c>
      <c r="G154" s="3" t="s">
        <v>19</v>
      </c>
      <c r="H154" s="3">
        <v>47016</v>
      </c>
      <c r="I154" s="3">
        <v>23</v>
      </c>
      <c r="J154" s="3">
        <v>12210</v>
      </c>
      <c r="K154" s="3">
        <v>38039</v>
      </c>
      <c r="L154" s="3">
        <v>13</v>
      </c>
      <c r="M154" s="3">
        <v>5974.8750799999998</v>
      </c>
    </row>
    <row r="155" spans="1:13" ht="14.25" customHeight="1" x14ac:dyDescent="0.2">
      <c r="A155" s="3" t="s">
        <v>262</v>
      </c>
      <c r="B155" s="3" t="s">
        <v>14</v>
      </c>
      <c r="C155" s="3" t="s">
        <v>35</v>
      </c>
      <c r="D155" s="3" t="s">
        <v>70</v>
      </c>
      <c r="E155" s="3" t="s">
        <v>263</v>
      </c>
      <c r="F155" s="3" t="s">
        <v>27</v>
      </c>
      <c r="G155" s="3" t="s">
        <v>19</v>
      </c>
      <c r="H155" s="3">
        <v>48947</v>
      </c>
      <c r="I155" s="3">
        <v>23</v>
      </c>
      <c r="J155" s="3">
        <v>32089</v>
      </c>
      <c r="K155" s="3">
        <v>45597</v>
      </c>
      <c r="L155" s="3">
        <v>21</v>
      </c>
      <c r="M155" s="3">
        <v>5702.2902649999996</v>
      </c>
    </row>
    <row r="156" spans="1:13" ht="14.25" customHeight="1" x14ac:dyDescent="0.2">
      <c r="A156" s="3" t="s">
        <v>264</v>
      </c>
      <c r="B156" s="3" t="s">
        <v>24</v>
      </c>
      <c r="C156" s="3" t="s">
        <v>15</v>
      </c>
      <c r="D156" s="3" t="s">
        <v>16</v>
      </c>
      <c r="E156" s="3" t="s">
        <v>79</v>
      </c>
      <c r="F156" s="3" t="s">
        <v>27</v>
      </c>
      <c r="G156" s="3" t="s">
        <v>19</v>
      </c>
      <c r="H156" s="3">
        <v>198163</v>
      </c>
      <c r="I156" s="3">
        <v>23</v>
      </c>
      <c r="J156" s="3">
        <v>76695</v>
      </c>
      <c r="K156" s="3">
        <v>183585</v>
      </c>
      <c r="L156" s="3">
        <v>31</v>
      </c>
      <c r="M156" s="3">
        <v>5204.313768</v>
      </c>
    </row>
    <row r="157" spans="1:13" ht="14.25" customHeight="1" x14ac:dyDescent="0.2">
      <c r="A157" s="3" t="s">
        <v>265</v>
      </c>
      <c r="B157" s="3" t="s">
        <v>24</v>
      </c>
      <c r="C157" s="3" t="s">
        <v>32</v>
      </c>
      <c r="D157" s="3" t="s">
        <v>86</v>
      </c>
      <c r="E157" s="3" t="s">
        <v>266</v>
      </c>
      <c r="F157" s="3" t="s">
        <v>41</v>
      </c>
      <c r="G157" s="3" t="s">
        <v>19</v>
      </c>
      <c r="H157" s="3">
        <v>121991</v>
      </c>
      <c r="I157" s="3">
        <v>23</v>
      </c>
      <c r="J157" s="3">
        <v>43079</v>
      </c>
      <c r="K157" s="3">
        <v>99312</v>
      </c>
      <c r="L157" s="3">
        <v>4</v>
      </c>
      <c r="M157" s="3">
        <v>3993.2145850000002</v>
      </c>
    </row>
    <row r="158" spans="1:13" ht="14.25" customHeight="1" x14ac:dyDescent="0.2">
      <c r="A158" s="3" t="s">
        <v>267</v>
      </c>
      <c r="B158" s="3" t="s">
        <v>14</v>
      </c>
      <c r="C158" s="3" t="s">
        <v>35</v>
      </c>
      <c r="D158" s="3" t="s">
        <v>25</v>
      </c>
      <c r="E158" s="3" t="s">
        <v>79</v>
      </c>
      <c r="F158" s="3" t="s">
        <v>64</v>
      </c>
      <c r="G158" s="3" t="s">
        <v>19</v>
      </c>
      <c r="H158" s="3">
        <v>194833</v>
      </c>
      <c r="I158" s="3">
        <v>23</v>
      </c>
      <c r="J158" s="3">
        <v>29091</v>
      </c>
      <c r="K158" s="3">
        <v>143813</v>
      </c>
      <c r="L158" s="3">
        <v>4</v>
      </c>
      <c r="M158" s="3">
        <v>1586.314519</v>
      </c>
    </row>
    <row r="159" spans="1:13" ht="14.25" customHeight="1" x14ac:dyDescent="0.2">
      <c r="A159" s="3" t="s">
        <v>268</v>
      </c>
      <c r="B159" s="3" t="s">
        <v>24</v>
      </c>
      <c r="C159" s="3" t="s">
        <v>15</v>
      </c>
      <c r="D159" s="3" t="s">
        <v>45</v>
      </c>
      <c r="E159" s="3" t="s">
        <v>269</v>
      </c>
      <c r="F159" s="3" t="s">
        <v>22</v>
      </c>
      <c r="G159" s="3" t="s">
        <v>19</v>
      </c>
      <c r="H159" s="3">
        <v>37355</v>
      </c>
      <c r="I159" s="3">
        <v>23</v>
      </c>
      <c r="J159" s="3">
        <v>17138</v>
      </c>
      <c r="K159" s="3">
        <v>35689</v>
      </c>
      <c r="L159" s="3">
        <v>3</v>
      </c>
      <c r="M159" s="3">
        <v>1577.366086</v>
      </c>
    </row>
    <row r="160" spans="1:13" ht="14.25" customHeight="1" x14ac:dyDescent="0.2">
      <c r="A160" s="3" t="s">
        <v>270</v>
      </c>
      <c r="B160" s="3" t="s">
        <v>14</v>
      </c>
      <c r="C160" s="3" t="s">
        <v>35</v>
      </c>
      <c r="D160" s="3" t="s">
        <v>86</v>
      </c>
      <c r="E160" s="3" t="s">
        <v>271</v>
      </c>
      <c r="F160" s="3" t="s">
        <v>27</v>
      </c>
      <c r="G160" s="3" t="s">
        <v>19</v>
      </c>
      <c r="H160" s="3">
        <v>9709</v>
      </c>
      <c r="I160" s="3">
        <v>22</v>
      </c>
      <c r="J160" s="3">
        <v>3339</v>
      </c>
      <c r="K160" s="3">
        <v>7891</v>
      </c>
      <c r="L160" s="3">
        <v>3</v>
      </c>
      <c r="M160" s="3">
        <v>6994.0853530000004</v>
      </c>
    </row>
    <row r="161" spans="1:13" ht="14.25" customHeight="1" x14ac:dyDescent="0.2">
      <c r="A161" s="3" t="s">
        <v>272</v>
      </c>
      <c r="B161" s="3" t="s">
        <v>14</v>
      </c>
      <c r="C161" s="3" t="s">
        <v>32</v>
      </c>
      <c r="D161" s="3" t="s">
        <v>273</v>
      </c>
      <c r="E161" s="3" t="s">
        <v>159</v>
      </c>
      <c r="F161" s="3" t="s">
        <v>27</v>
      </c>
      <c r="G161" s="3" t="s">
        <v>19</v>
      </c>
      <c r="H161" s="3">
        <v>111884</v>
      </c>
      <c r="I161" s="3">
        <v>22</v>
      </c>
      <c r="J161" s="3">
        <v>53017</v>
      </c>
      <c r="K161" s="3">
        <v>106432</v>
      </c>
      <c r="L161" s="3">
        <v>7</v>
      </c>
      <c r="M161" s="3">
        <v>1786.1051219999999</v>
      </c>
    </row>
    <row r="162" spans="1:13" ht="14.25" customHeight="1" x14ac:dyDescent="0.2">
      <c r="A162" s="3" t="s">
        <v>274</v>
      </c>
      <c r="B162" s="3" t="s">
        <v>24</v>
      </c>
      <c r="C162" s="3" t="s">
        <v>32</v>
      </c>
      <c r="D162" s="3" t="s">
        <v>25</v>
      </c>
      <c r="E162" s="3" t="s">
        <v>111</v>
      </c>
      <c r="F162" s="3" t="s">
        <v>27</v>
      </c>
      <c r="G162" s="3" t="s">
        <v>114</v>
      </c>
      <c r="H162" s="3">
        <v>49250</v>
      </c>
      <c r="I162" s="3">
        <v>22</v>
      </c>
      <c r="J162" s="3">
        <v>9205</v>
      </c>
      <c r="K162" s="3">
        <v>43535</v>
      </c>
      <c r="L162" s="3">
        <v>15</v>
      </c>
      <c r="M162" s="3">
        <v>1694.4709769999999</v>
      </c>
    </row>
    <row r="163" spans="1:13" ht="14.25" customHeight="1" x14ac:dyDescent="0.2">
      <c r="A163" s="3" t="s">
        <v>275</v>
      </c>
      <c r="B163" s="3" t="s">
        <v>24</v>
      </c>
      <c r="C163" s="3" t="s">
        <v>29</v>
      </c>
      <c r="D163" s="3" t="s">
        <v>21</v>
      </c>
      <c r="E163" s="3" t="s">
        <v>276</v>
      </c>
      <c r="F163" s="3" t="s">
        <v>81</v>
      </c>
      <c r="G163" s="3" t="s">
        <v>19</v>
      </c>
      <c r="H163" s="3">
        <v>35034</v>
      </c>
      <c r="I163" s="3">
        <v>21</v>
      </c>
      <c r="J163" s="3">
        <v>13904</v>
      </c>
      <c r="K163" s="3">
        <v>34123</v>
      </c>
      <c r="L163" s="3">
        <v>3</v>
      </c>
      <c r="M163" s="3">
        <v>2141.4693459999999</v>
      </c>
    </row>
    <row r="164" spans="1:13" ht="14.25" customHeight="1" x14ac:dyDescent="0.2">
      <c r="A164" s="3" t="s">
        <v>277</v>
      </c>
      <c r="B164" s="3" t="s">
        <v>24</v>
      </c>
      <c r="C164" s="3" t="s">
        <v>32</v>
      </c>
      <c r="D164" s="3" t="s">
        <v>70</v>
      </c>
      <c r="E164" s="3" t="s">
        <v>46</v>
      </c>
      <c r="F164" s="3" t="s">
        <v>27</v>
      </c>
      <c r="G164" s="3" t="s">
        <v>19</v>
      </c>
      <c r="H164" s="3">
        <v>75531</v>
      </c>
      <c r="I164" s="3">
        <v>20</v>
      </c>
      <c r="J164" s="3">
        <v>63816</v>
      </c>
      <c r="K164" s="3">
        <v>70011</v>
      </c>
      <c r="L164" s="3">
        <v>7</v>
      </c>
      <c r="M164" s="3">
        <v>7261.8650399999997</v>
      </c>
    </row>
    <row r="165" spans="1:13" ht="14.25" customHeight="1" x14ac:dyDescent="0.2">
      <c r="A165" s="3" t="s">
        <v>278</v>
      </c>
      <c r="B165" s="3" t="s">
        <v>24</v>
      </c>
      <c r="C165" s="3" t="s">
        <v>32</v>
      </c>
      <c r="D165" s="3" t="s">
        <v>25</v>
      </c>
      <c r="E165" s="3" t="s">
        <v>119</v>
      </c>
      <c r="F165" s="3" t="s">
        <v>27</v>
      </c>
      <c r="G165" s="3" t="s">
        <v>114</v>
      </c>
      <c r="H165" s="3">
        <v>113420</v>
      </c>
      <c r="I165" s="3">
        <v>20</v>
      </c>
      <c r="J165" s="3">
        <v>33557</v>
      </c>
      <c r="K165" s="3">
        <v>104929</v>
      </c>
      <c r="L165" s="3">
        <v>11</v>
      </c>
      <c r="M165" s="3">
        <v>5124.4359340000001</v>
      </c>
    </row>
    <row r="166" spans="1:13" ht="14.25" customHeight="1" x14ac:dyDescent="0.2">
      <c r="A166" s="3" t="s">
        <v>279</v>
      </c>
      <c r="B166" s="3" t="s">
        <v>24</v>
      </c>
      <c r="C166" s="3" t="s">
        <v>35</v>
      </c>
      <c r="D166" s="3" t="s">
        <v>43</v>
      </c>
      <c r="E166" s="3" t="s">
        <v>166</v>
      </c>
      <c r="F166" s="3" t="s">
        <v>27</v>
      </c>
      <c r="G166" s="3" t="s">
        <v>114</v>
      </c>
      <c r="H166" s="3">
        <v>31625</v>
      </c>
      <c r="I166" s="3">
        <v>20</v>
      </c>
      <c r="J166" s="3">
        <v>23764</v>
      </c>
      <c r="K166" s="3">
        <v>29364</v>
      </c>
      <c r="L166" s="3">
        <v>1</v>
      </c>
      <c r="M166" s="3">
        <v>2360.5552440000001</v>
      </c>
    </row>
    <row r="167" spans="1:13" ht="14.25" customHeight="1" x14ac:dyDescent="0.2">
      <c r="A167" s="3" t="s">
        <v>280</v>
      </c>
      <c r="B167" s="3" t="s">
        <v>24</v>
      </c>
      <c r="C167" s="3" t="s">
        <v>15</v>
      </c>
      <c r="D167" s="3" t="s">
        <v>16</v>
      </c>
      <c r="E167" s="3" t="s">
        <v>149</v>
      </c>
      <c r="F167" s="3" t="s">
        <v>27</v>
      </c>
      <c r="G167" s="3" t="s">
        <v>19</v>
      </c>
      <c r="H167" s="3">
        <v>92806</v>
      </c>
      <c r="I167" s="3">
        <v>20</v>
      </c>
      <c r="J167" s="3">
        <v>67534</v>
      </c>
      <c r="K167" s="3">
        <v>85013</v>
      </c>
      <c r="L167" s="3">
        <v>11</v>
      </c>
      <c r="M167" s="3">
        <v>1579.379602</v>
      </c>
    </row>
    <row r="168" spans="1:13" ht="14.25" customHeight="1" x14ac:dyDescent="0.2">
      <c r="A168" s="3" t="s">
        <v>281</v>
      </c>
      <c r="B168" s="3" t="s">
        <v>14</v>
      </c>
      <c r="C168" s="3" t="s">
        <v>32</v>
      </c>
      <c r="D168" s="3" t="s">
        <v>282</v>
      </c>
      <c r="E168" s="3" t="s">
        <v>79</v>
      </c>
      <c r="F168" s="3" t="s">
        <v>27</v>
      </c>
      <c r="G168" s="3" t="s">
        <v>19</v>
      </c>
      <c r="H168" s="3">
        <v>36543</v>
      </c>
      <c r="I168" s="3">
        <v>20</v>
      </c>
      <c r="J168" s="3">
        <v>18046</v>
      </c>
      <c r="K168" s="3">
        <v>27358</v>
      </c>
      <c r="L168" s="3">
        <v>1</v>
      </c>
      <c r="M168" s="3">
        <v>1513.0887279999999</v>
      </c>
    </row>
    <row r="169" spans="1:13" ht="14.25" customHeight="1" x14ac:dyDescent="0.2">
      <c r="A169" s="3" t="s">
        <v>283</v>
      </c>
      <c r="B169" s="3" t="s">
        <v>14</v>
      </c>
      <c r="C169" s="3" t="s">
        <v>35</v>
      </c>
      <c r="D169" s="3" t="s">
        <v>205</v>
      </c>
      <c r="E169" s="3" t="s">
        <v>149</v>
      </c>
      <c r="F169" s="3" t="s">
        <v>38</v>
      </c>
      <c r="G169" s="3" t="s">
        <v>19</v>
      </c>
      <c r="H169" s="3">
        <v>88819</v>
      </c>
      <c r="I169" s="3">
        <v>20</v>
      </c>
      <c r="J169" s="3">
        <v>65488</v>
      </c>
      <c r="K169" s="3">
        <v>80451</v>
      </c>
      <c r="L169" s="3">
        <v>6</v>
      </c>
      <c r="M169" s="3">
        <v>1442.2279900000001</v>
      </c>
    </row>
    <row r="170" spans="1:13" ht="14.25" customHeight="1" x14ac:dyDescent="0.2">
      <c r="A170" s="3" t="s">
        <v>284</v>
      </c>
      <c r="B170" s="3" t="s">
        <v>14</v>
      </c>
      <c r="C170" s="3" t="s">
        <v>29</v>
      </c>
      <c r="D170" s="3" t="s">
        <v>273</v>
      </c>
      <c r="E170" s="3" t="s">
        <v>57</v>
      </c>
      <c r="F170" s="3" t="s">
        <v>22</v>
      </c>
      <c r="G170" s="3" t="s">
        <v>19</v>
      </c>
      <c r="H170" s="3">
        <v>507889</v>
      </c>
      <c r="I170" s="3">
        <v>20</v>
      </c>
      <c r="J170" s="3">
        <v>176329</v>
      </c>
      <c r="K170" s="3">
        <v>450103</v>
      </c>
      <c r="L170" s="3">
        <v>78</v>
      </c>
      <c r="M170" s="3">
        <v>1440.7453620000001</v>
      </c>
    </row>
    <row r="171" spans="1:13" ht="14.25" customHeight="1" x14ac:dyDescent="0.2">
      <c r="A171" s="3" t="s">
        <v>285</v>
      </c>
      <c r="B171" s="3" t="s">
        <v>24</v>
      </c>
      <c r="C171" s="3" t="s">
        <v>35</v>
      </c>
      <c r="D171" s="3" t="s">
        <v>84</v>
      </c>
      <c r="E171" s="3" t="s">
        <v>286</v>
      </c>
      <c r="F171" s="3" t="s">
        <v>287</v>
      </c>
      <c r="G171" s="3" t="s">
        <v>114</v>
      </c>
      <c r="H171" s="3">
        <v>15904</v>
      </c>
      <c r="I171" s="3">
        <v>19</v>
      </c>
      <c r="J171" s="3">
        <v>7523</v>
      </c>
      <c r="K171" s="3">
        <v>14815</v>
      </c>
      <c r="L171" s="3">
        <v>2</v>
      </c>
      <c r="M171" s="3">
        <v>1825.7257079999999</v>
      </c>
    </row>
    <row r="172" spans="1:13" ht="14.25" customHeight="1" x14ac:dyDescent="0.2">
      <c r="A172" s="3" t="s">
        <v>288</v>
      </c>
      <c r="B172" s="3" t="s">
        <v>24</v>
      </c>
      <c r="C172" s="3" t="s">
        <v>32</v>
      </c>
      <c r="D172" s="3" t="s">
        <v>21</v>
      </c>
      <c r="E172" s="3" t="s">
        <v>72</v>
      </c>
      <c r="F172" s="3" t="s">
        <v>41</v>
      </c>
      <c r="G172" s="3" t="s">
        <v>114</v>
      </c>
      <c r="H172" s="3">
        <v>61442</v>
      </c>
      <c r="I172" s="3">
        <v>19</v>
      </c>
      <c r="J172" s="3">
        <v>17048</v>
      </c>
      <c r="K172" s="3">
        <v>54166</v>
      </c>
      <c r="L172" s="3">
        <v>1</v>
      </c>
      <c r="M172" s="3">
        <v>1609.1499329999999</v>
      </c>
    </row>
    <row r="173" spans="1:13" ht="14.25" customHeight="1" x14ac:dyDescent="0.2">
      <c r="A173" s="3" t="s">
        <v>289</v>
      </c>
      <c r="B173" s="3" t="s">
        <v>14</v>
      </c>
      <c r="C173" s="3" t="s">
        <v>35</v>
      </c>
      <c r="D173" s="3" t="s">
        <v>70</v>
      </c>
      <c r="E173" s="3" t="s">
        <v>149</v>
      </c>
      <c r="F173" s="3" t="s">
        <v>22</v>
      </c>
      <c r="G173" s="3" t="s">
        <v>19</v>
      </c>
      <c r="H173" s="3">
        <v>69136</v>
      </c>
      <c r="I173" s="3">
        <v>19</v>
      </c>
      <c r="J173" s="3">
        <v>40571</v>
      </c>
      <c r="K173" s="3">
        <v>63614</v>
      </c>
      <c r="L173" s="3">
        <v>3</v>
      </c>
      <c r="M173" s="3">
        <v>1507.9468509999999</v>
      </c>
    </row>
    <row r="174" spans="1:13" ht="14.25" customHeight="1" x14ac:dyDescent="0.2">
      <c r="A174" s="3" t="s">
        <v>290</v>
      </c>
      <c r="B174" s="3" t="s">
        <v>24</v>
      </c>
      <c r="C174" s="3" t="s">
        <v>35</v>
      </c>
      <c r="D174" s="3" t="s">
        <v>174</v>
      </c>
      <c r="E174" s="3" t="s">
        <v>125</v>
      </c>
      <c r="F174" s="3" t="s">
        <v>41</v>
      </c>
      <c r="G174" s="3" t="s">
        <v>19</v>
      </c>
      <c r="H174" s="3">
        <v>39705</v>
      </c>
      <c r="I174" s="3">
        <v>19</v>
      </c>
      <c r="J174" s="3">
        <v>12950</v>
      </c>
      <c r="K174" s="3">
        <v>38030</v>
      </c>
      <c r="L174" s="3">
        <v>3</v>
      </c>
      <c r="M174" s="3">
        <v>1476.4195090000001</v>
      </c>
    </row>
    <row r="175" spans="1:13" ht="14.25" customHeight="1" x14ac:dyDescent="0.2">
      <c r="A175" s="3" t="s">
        <v>291</v>
      </c>
      <c r="B175" s="3" t="s">
        <v>68</v>
      </c>
      <c r="C175" s="3" t="s">
        <v>15</v>
      </c>
      <c r="D175" s="3" t="s">
        <v>16</v>
      </c>
      <c r="E175" s="3" t="s">
        <v>48</v>
      </c>
      <c r="F175" s="3" t="s">
        <v>27</v>
      </c>
      <c r="G175" s="3" t="s">
        <v>19</v>
      </c>
      <c r="H175" s="3">
        <v>184622</v>
      </c>
      <c r="I175" s="3">
        <v>18</v>
      </c>
      <c r="J175" s="3">
        <v>98938</v>
      </c>
      <c r="K175" s="3">
        <v>161848</v>
      </c>
      <c r="L175" s="3">
        <v>13</v>
      </c>
      <c r="M175" s="3">
        <v>7149.8160749999997</v>
      </c>
    </row>
    <row r="176" spans="1:13" ht="14.25" customHeight="1" x14ac:dyDescent="0.2">
      <c r="A176" s="3" t="s">
        <v>292</v>
      </c>
      <c r="B176" s="3" t="s">
        <v>24</v>
      </c>
      <c r="C176" s="3" t="s">
        <v>35</v>
      </c>
      <c r="D176" s="3" t="s">
        <v>16</v>
      </c>
      <c r="E176" s="3" t="s">
        <v>250</v>
      </c>
      <c r="F176" s="3" t="s">
        <v>22</v>
      </c>
      <c r="G176" s="3" t="s">
        <v>114</v>
      </c>
      <c r="H176" s="3">
        <v>109372</v>
      </c>
      <c r="I176" s="3">
        <v>18</v>
      </c>
      <c r="J176" s="3">
        <v>58336</v>
      </c>
      <c r="K176" s="3">
        <v>103569</v>
      </c>
      <c r="L176" s="3">
        <v>21</v>
      </c>
      <c r="M176" s="3">
        <v>6928.0062019999996</v>
      </c>
    </row>
    <row r="177" spans="1:13" ht="14.25" customHeight="1" x14ac:dyDescent="0.2">
      <c r="A177" s="3" t="s">
        <v>293</v>
      </c>
      <c r="B177" s="3" t="s">
        <v>14</v>
      </c>
      <c r="C177" s="3" t="s">
        <v>15</v>
      </c>
      <c r="D177" s="3" t="s">
        <v>91</v>
      </c>
      <c r="E177" s="3" t="s">
        <v>161</v>
      </c>
      <c r="F177" s="3" t="s">
        <v>18</v>
      </c>
      <c r="G177" s="3" t="s">
        <v>19</v>
      </c>
      <c r="H177" s="3">
        <v>41513</v>
      </c>
      <c r="I177" s="3">
        <v>18</v>
      </c>
      <c r="J177" s="3">
        <v>20872</v>
      </c>
      <c r="K177" s="3">
        <v>39250</v>
      </c>
      <c r="L177" s="3">
        <v>1</v>
      </c>
      <c r="M177" s="3">
        <v>6789.5334009999997</v>
      </c>
    </row>
    <row r="178" spans="1:13" ht="14.25" customHeight="1" x14ac:dyDescent="0.2">
      <c r="A178" s="3" t="s">
        <v>294</v>
      </c>
      <c r="B178" s="3" t="s">
        <v>14</v>
      </c>
      <c r="C178" s="3" t="s">
        <v>29</v>
      </c>
      <c r="D178" s="3" t="s">
        <v>25</v>
      </c>
      <c r="E178" s="3" t="s">
        <v>119</v>
      </c>
      <c r="F178" s="3" t="s">
        <v>64</v>
      </c>
      <c r="G178" s="3" t="s">
        <v>19</v>
      </c>
      <c r="H178" s="3">
        <v>106151</v>
      </c>
      <c r="I178" s="3">
        <v>18</v>
      </c>
      <c r="J178" s="3">
        <v>75304</v>
      </c>
      <c r="K178" s="3">
        <v>99311</v>
      </c>
      <c r="L178" s="3">
        <v>9</v>
      </c>
      <c r="M178" s="3">
        <v>6616.8806599999998</v>
      </c>
    </row>
    <row r="179" spans="1:13" ht="14.25" customHeight="1" x14ac:dyDescent="0.2">
      <c r="A179" s="3" t="s">
        <v>295</v>
      </c>
      <c r="B179" s="3" t="s">
        <v>14</v>
      </c>
      <c r="C179" s="3" t="s">
        <v>15</v>
      </c>
      <c r="D179" s="3" t="s">
        <v>25</v>
      </c>
      <c r="E179" s="3" t="s">
        <v>40</v>
      </c>
      <c r="F179" s="3" t="s">
        <v>41</v>
      </c>
      <c r="G179" s="3" t="s">
        <v>19</v>
      </c>
      <c r="H179" s="3">
        <v>192201</v>
      </c>
      <c r="I179" s="3">
        <v>18</v>
      </c>
      <c r="J179" s="3">
        <v>113707</v>
      </c>
      <c r="K179" s="3">
        <v>157940</v>
      </c>
      <c r="L179" s="3">
        <v>3</v>
      </c>
      <c r="M179" s="3">
        <v>6176.0041540000002</v>
      </c>
    </row>
    <row r="180" spans="1:13" ht="14.25" customHeight="1" x14ac:dyDescent="0.2">
      <c r="A180" s="3" t="s">
        <v>296</v>
      </c>
      <c r="B180" s="3" t="s">
        <v>24</v>
      </c>
      <c r="C180" s="3" t="s">
        <v>35</v>
      </c>
      <c r="D180" s="3" t="s">
        <v>70</v>
      </c>
      <c r="E180" s="3" t="s">
        <v>40</v>
      </c>
      <c r="F180" s="3" t="s">
        <v>81</v>
      </c>
      <c r="G180" s="3" t="s">
        <v>19</v>
      </c>
      <c r="H180" s="3">
        <v>335461</v>
      </c>
      <c r="I180" s="3">
        <v>18</v>
      </c>
      <c r="J180" s="3">
        <v>171464</v>
      </c>
      <c r="K180" s="3">
        <v>247450</v>
      </c>
      <c r="L180" s="3">
        <v>5</v>
      </c>
      <c r="M180" s="3">
        <v>4445.8746289999999</v>
      </c>
    </row>
    <row r="181" spans="1:13" ht="14.25" customHeight="1" x14ac:dyDescent="0.2">
      <c r="A181" s="3" t="s">
        <v>297</v>
      </c>
      <c r="B181" s="3" t="s">
        <v>24</v>
      </c>
      <c r="C181" s="3" t="s">
        <v>32</v>
      </c>
      <c r="D181" s="3" t="s">
        <v>43</v>
      </c>
      <c r="E181" s="3" t="s">
        <v>79</v>
      </c>
      <c r="F181" s="3" t="s">
        <v>38</v>
      </c>
      <c r="G181" s="3" t="s">
        <v>19</v>
      </c>
      <c r="H181" s="3">
        <v>1109184</v>
      </c>
      <c r="I181" s="3">
        <v>17</v>
      </c>
      <c r="J181" s="3">
        <v>83035</v>
      </c>
      <c r="K181" s="3">
        <v>782482</v>
      </c>
      <c r="L181" s="3">
        <v>25</v>
      </c>
      <c r="M181" s="3">
        <v>7490.8607789999996</v>
      </c>
    </row>
    <row r="182" spans="1:13" ht="14.25" customHeight="1" x14ac:dyDescent="0.2">
      <c r="A182" s="3" t="s">
        <v>298</v>
      </c>
      <c r="B182" s="3" t="s">
        <v>14</v>
      </c>
      <c r="C182" s="3" t="s">
        <v>15</v>
      </c>
      <c r="D182" s="3" t="s">
        <v>16</v>
      </c>
      <c r="E182" s="3" t="s">
        <v>263</v>
      </c>
      <c r="F182" s="3" t="s">
        <v>38</v>
      </c>
      <c r="G182" s="3" t="s">
        <v>19</v>
      </c>
      <c r="H182" s="3">
        <v>96728</v>
      </c>
      <c r="I182" s="3">
        <v>17</v>
      </c>
      <c r="J182" s="3">
        <v>69700</v>
      </c>
      <c r="K182" s="3">
        <v>91910</v>
      </c>
      <c r="L182" s="3">
        <v>9</v>
      </c>
      <c r="M182" s="3">
        <v>6587.2433309999997</v>
      </c>
    </row>
    <row r="183" spans="1:13" ht="14.25" customHeight="1" x14ac:dyDescent="0.2">
      <c r="A183" s="3" t="s">
        <v>299</v>
      </c>
      <c r="B183" s="3" t="s">
        <v>24</v>
      </c>
      <c r="C183" s="3" t="s">
        <v>35</v>
      </c>
      <c r="D183" s="3" t="s">
        <v>25</v>
      </c>
      <c r="E183" s="3" t="s">
        <v>46</v>
      </c>
      <c r="F183" s="3" t="s">
        <v>76</v>
      </c>
      <c r="G183" s="3" t="s">
        <v>163</v>
      </c>
      <c r="H183" s="3">
        <v>42755</v>
      </c>
      <c r="I183" s="3">
        <v>17</v>
      </c>
      <c r="J183" s="3">
        <v>36503</v>
      </c>
      <c r="K183" s="3">
        <v>40051</v>
      </c>
      <c r="L183" s="3">
        <v>12</v>
      </c>
      <c r="M183" s="3">
        <v>6550.3029699999997</v>
      </c>
    </row>
    <row r="184" spans="1:13" ht="14.25" customHeight="1" x14ac:dyDescent="0.2">
      <c r="A184" s="3" t="s">
        <v>300</v>
      </c>
      <c r="B184" s="3" t="s">
        <v>24</v>
      </c>
      <c r="C184" s="3" t="s">
        <v>32</v>
      </c>
      <c r="D184" s="3" t="s">
        <v>91</v>
      </c>
      <c r="E184" s="3" t="s">
        <v>301</v>
      </c>
      <c r="F184" s="3" t="s">
        <v>27</v>
      </c>
      <c r="G184" s="3" t="s">
        <v>19</v>
      </c>
      <c r="H184" s="3">
        <v>22444</v>
      </c>
      <c r="I184" s="3">
        <v>17</v>
      </c>
      <c r="J184" s="3">
        <v>12672</v>
      </c>
      <c r="K184" s="3">
        <v>21345</v>
      </c>
      <c r="L184" s="3">
        <v>3</v>
      </c>
      <c r="M184" s="3">
        <v>2539.2005629999999</v>
      </c>
    </row>
    <row r="185" spans="1:13" ht="14.25" customHeight="1" x14ac:dyDescent="0.2">
      <c r="A185" s="3" t="s">
        <v>302</v>
      </c>
      <c r="B185" s="3" t="s">
        <v>24</v>
      </c>
      <c r="C185" s="3" t="s">
        <v>35</v>
      </c>
      <c r="D185" s="3" t="s">
        <v>16</v>
      </c>
      <c r="E185" s="3" t="s">
        <v>17</v>
      </c>
      <c r="F185" s="3" t="s">
        <v>27</v>
      </c>
      <c r="G185" s="3" t="s">
        <v>114</v>
      </c>
      <c r="H185" s="3">
        <v>65983</v>
      </c>
      <c r="I185" s="3">
        <v>17</v>
      </c>
      <c r="J185" s="3">
        <v>8536</v>
      </c>
      <c r="K185" s="3">
        <v>57434</v>
      </c>
      <c r="L185" s="3">
        <v>1</v>
      </c>
      <c r="M185" s="3">
        <v>1599.076249</v>
      </c>
    </row>
    <row r="186" spans="1:13" ht="14.25" customHeight="1" x14ac:dyDescent="0.2">
      <c r="A186" s="3" t="s">
        <v>303</v>
      </c>
      <c r="B186" s="3" t="s">
        <v>24</v>
      </c>
      <c r="C186" s="3" t="s">
        <v>32</v>
      </c>
      <c r="D186" s="3" t="s">
        <v>304</v>
      </c>
      <c r="E186" s="3" t="s">
        <v>79</v>
      </c>
      <c r="F186" s="3" t="s">
        <v>64</v>
      </c>
      <c r="G186" s="3" t="s">
        <v>19</v>
      </c>
      <c r="H186" s="3">
        <v>197192</v>
      </c>
      <c r="I186" s="3">
        <v>17</v>
      </c>
      <c r="J186" s="3">
        <v>80623</v>
      </c>
      <c r="K186" s="3">
        <v>181763</v>
      </c>
      <c r="L186" s="3">
        <v>5</v>
      </c>
      <c r="M186" s="3">
        <v>1584.731757</v>
      </c>
    </row>
    <row r="187" spans="1:13" ht="14.25" customHeight="1" x14ac:dyDescent="0.2">
      <c r="A187" s="3" t="s">
        <v>305</v>
      </c>
      <c r="B187" s="3" t="s">
        <v>14</v>
      </c>
      <c r="C187" s="3" t="s">
        <v>15</v>
      </c>
      <c r="D187" s="3" t="s">
        <v>16</v>
      </c>
      <c r="E187" s="3" t="s">
        <v>98</v>
      </c>
      <c r="F187" s="3" t="s">
        <v>64</v>
      </c>
      <c r="G187" s="3" t="s">
        <v>19</v>
      </c>
      <c r="H187" s="3">
        <v>10677</v>
      </c>
      <c r="I187" s="3">
        <v>17</v>
      </c>
      <c r="J187" s="3">
        <v>7247</v>
      </c>
      <c r="K187" s="3">
        <v>10338</v>
      </c>
      <c r="L187" s="3">
        <v>1</v>
      </c>
      <c r="M187" s="3">
        <v>1483.452706</v>
      </c>
    </row>
    <row r="188" spans="1:13" ht="14.25" customHeight="1" x14ac:dyDescent="0.2">
      <c r="A188" s="3" t="s">
        <v>306</v>
      </c>
      <c r="B188" s="3" t="s">
        <v>68</v>
      </c>
      <c r="C188" s="3" t="s">
        <v>35</v>
      </c>
      <c r="D188" s="3" t="s">
        <v>25</v>
      </c>
      <c r="E188" s="3" t="s">
        <v>79</v>
      </c>
      <c r="F188" s="3" t="s">
        <v>22</v>
      </c>
      <c r="G188" s="3" t="s">
        <v>19</v>
      </c>
      <c r="H188" s="3">
        <v>40929</v>
      </c>
      <c r="I188" s="3">
        <v>16</v>
      </c>
      <c r="J188" s="3">
        <v>9249</v>
      </c>
      <c r="K188" s="3">
        <v>31564</v>
      </c>
      <c r="L188" s="3">
        <v>1</v>
      </c>
      <c r="M188" s="3">
        <v>6764.5206369999996</v>
      </c>
    </row>
    <row r="189" spans="1:13" ht="14.25" customHeight="1" x14ac:dyDescent="0.2">
      <c r="A189" s="3" t="s">
        <v>307</v>
      </c>
      <c r="B189" s="3" t="s">
        <v>24</v>
      </c>
      <c r="C189" s="3" t="s">
        <v>15</v>
      </c>
      <c r="D189" s="3" t="s">
        <v>45</v>
      </c>
      <c r="E189" s="3" t="s">
        <v>159</v>
      </c>
      <c r="F189" s="3" t="s">
        <v>27</v>
      </c>
      <c r="G189" s="3" t="s">
        <v>114</v>
      </c>
      <c r="H189" s="3">
        <v>69239</v>
      </c>
      <c r="I189" s="3">
        <v>16</v>
      </c>
      <c r="J189" s="3">
        <v>23112</v>
      </c>
      <c r="K189" s="3">
        <v>65390</v>
      </c>
      <c r="L189" s="3">
        <v>1</v>
      </c>
      <c r="M189" s="3">
        <v>4514.9527239999998</v>
      </c>
    </row>
    <row r="190" spans="1:13" ht="14.25" customHeight="1" x14ac:dyDescent="0.2">
      <c r="A190" s="3" t="s">
        <v>308</v>
      </c>
      <c r="B190" s="3" t="s">
        <v>24</v>
      </c>
      <c r="C190" s="3" t="s">
        <v>15</v>
      </c>
      <c r="D190" s="3" t="s">
        <v>60</v>
      </c>
      <c r="E190" s="3" t="s">
        <v>250</v>
      </c>
      <c r="F190" s="3" t="s">
        <v>41</v>
      </c>
      <c r="G190" s="3" t="s">
        <v>163</v>
      </c>
      <c r="H190" s="3">
        <v>65043</v>
      </c>
      <c r="I190" s="3">
        <v>16</v>
      </c>
      <c r="J190" s="3">
        <v>25871</v>
      </c>
      <c r="K190" s="3">
        <v>53969</v>
      </c>
      <c r="L190" s="3">
        <v>2</v>
      </c>
      <c r="M190" s="3">
        <v>2347.9185309999998</v>
      </c>
    </row>
    <row r="191" spans="1:13" ht="14.25" customHeight="1" x14ac:dyDescent="0.2">
      <c r="A191" s="3" t="s">
        <v>309</v>
      </c>
      <c r="B191" s="3" t="s">
        <v>14</v>
      </c>
      <c r="C191" s="3" t="s">
        <v>32</v>
      </c>
      <c r="D191" s="3" t="s">
        <v>25</v>
      </c>
      <c r="E191" s="3" t="s">
        <v>40</v>
      </c>
      <c r="F191" s="3" t="s">
        <v>27</v>
      </c>
      <c r="G191" s="3" t="s">
        <v>19</v>
      </c>
      <c r="H191" s="3">
        <v>297347</v>
      </c>
      <c r="I191" s="3">
        <v>16</v>
      </c>
      <c r="J191" s="3">
        <v>166412</v>
      </c>
      <c r="K191" s="3">
        <v>251319</v>
      </c>
      <c r="L191" s="3">
        <v>4</v>
      </c>
      <c r="M191" s="3">
        <v>2255.5224090000002</v>
      </c>
    </row>
    <row r="192" spans="1:13" ht="14.25" customHeight="1" x14ac:dyDescent="0.2">
      <c r="A192" s="3" t="s">
        <v>310</v>
      </c>
      <c r="B192" s="3" t="s">
        <v>14</v>
      </c>
      <c r="C192" s="3" t="s">
        <v>15</v>
      </c>
      <c r="D192" s="3" t="s">
        <v>66</v>
      </c>
      <c r="E192" s="3" t="s">
        <v>250</v>
      </c>
      <c r="F192" s="3" t="s">
        <v>27</v>
      </c>
      <c r="G192" s="3" t="s">
        <v>19</v>
      </c>
      <c r="H192" s="3">
        <v>104814</v>
      </c>
      <c r="I192" s="3">
        <v>16</v>
      </c>
      <c r="J192" s="3">
        <v>55984</v>
      </c>
      <c r="K192" s="3">
        <v>99432</v>
      </c>
      <c r="L192" s="3">
        <v>5</v>
      </c>
      <c r="M192" s="3">
        <v>1942.8475129999999</v>
      </c>
    </row>
    <row r="193" spans="1:13" ht="14.25" customHeight="1" x14ac:dyDescent="0.2">
      <c r="A193" s="3" t="s">
        <v>311</v>
      </c>
      <c r="B193" s="3" t="s">
        <v>24</v>
      </c>
      <c r="C193" s="3" t="s">
        <v>35</v>
      </c>
      <c r="D193" s="3" t="s">
        <v>312</v>
      </c>
      <c r="E193" s="3" t="s">
        <v>40</v>
      </c>
      <c r="F193" s="3" t="s">
        <v>27</v>
      </c>
      <c r="G193" s="3" t="s">
        <v>19</v>
      </c>
      <c r="H193" s="3">
        <v>311753</v>
      </c>
      <c r="I193" s="3">
        <v>16</v>
      </c>
      <c r="J193" s="3">
        <v>170122</v>
      </c>
      <c r="K193" s="3">
        <v>256841</v>
      </c>
      <c r="L193" s="3">
        <v>6</v>
      </c>
      <c r="M193" s="3">
        <v>1543.6126549999999</v>
      </c>
    </row>
    <row r="194" spans="1:13" ht="14.25" customHeight="1" x14ac:dyDescent="0.2">
      <c r="A194" s="3" t="s">
        <v>313</v>
      </c>
      <c r="B194" s="3" t="s">
        <v>68</v>
      </c>
      <c r="C194" s="3" t="s">
        <v>15</v>
      </c>
      <c r="D194" s="3" t="s">
        <v>70</v>
      </c>
      <c r="E194" s="3" t="s">
        <v>79</v>
      </c>
      <c r="F194" s="3" t="s">
        <v>27</v>
      </c>
      <c r="G194" s="3" t="s">
        <v>19</v>
      </c>
      <c r="H194" s="3">
        <v>257862</v>
      </c>
      <c r="I194" s="3">
        <v>15</v>
      </c>
      <c r="J194" s="3">
        <v>105048</v>
      </c>
      <c r="K194" s="3">
        <v>238629</v>
      </c>
      <c r="L194" s="3">
        <v>21</v>
      </c>
      <c r="M194" s="3">
        <v>5899.4294829999999</v>
      </c>
    </row>
    <row r="195" spans="1:13" ht="14.25" customHeight="1" x14ac:dyDescent="0.2">
      <c r="A195" s="3" t="s">
        <v>314</v>
      </c>
      <c r="B195" s="3" t="s">
        <v>14</v>
      </c>
      <c r="C195" s="3" t="s">
        <v>35</v>
      </c>
      <c r="D195" s="3" t="s">
        <v>66</v>
      </c>
      <c r="E195" s="3" t="s">
        <v>315</v>
      </c>
      <c r="F195" s="3" t="s">
        <v>38</v>
      </c>
      <c r="G195" s="3" t="s">
        <v>19</v>
      </c>
      <c r="H195" s="3">
        <v>23941</v>
      </c>
      <c r="I195" s="3">
        <v>15</v>
      </c>
      <c r="J195" s="3">
        <v>13054</v>
      </c>
      <c r="K195" s="3">
        <v>22276</v>
      </c>
      <c r="L195" s="3">
        <v>1</v>
      </c>
      <c r="M195" s="3">
        <v>2856.1654250000001</v>
      </c>
    </row>
    <row r="196" spans="1:13" ht="14.25" customHeight="1" x14ac:dyDescent="0.2">
      <c r="A196" s="3" t="s">
        <v>316</v>
      </c>
      <c r="B196" s="3" t="s">
        <v>24</v>
      </c>
      <c r="C196" s="3" t="s">
        <v>15</v>
      </c>
      <c r="D196" s="3" t="s">
        <v>25</v>
      </c>
      <c r="E196" s="3" t="s">
        <v>79</v>
      </c>
      <c r="F196" s="3" t="s">
        <v>38</v>
      </c>
      <c r="G196" s="3" t="s">
        <v>19</v>
      </c>
      <c r="H196" s="3">
        <v>564387</v>
      </c>
      <c r="I196" s="3">
        <v>15</v>
      </c>
      <c r="J196" s="3">
        <v>78234</v>
      </c>
      <c r="K196" s="3">
        <v>438695</v>
      </c>
      <c r="L196" s="3">
        <v>6</v>
      </c>
      <c r="M196" s="3">
        <v>2712.3796779999998</v>
      </c>
    </row>
    <row r="197" spans="1:13" ht="14.25" customHeight="1" x14ac:dyDescent="0.2">
      <c r="A197" s="3" t="s">
        <v>317</v>
      </c>
      <c r="B197" s="3" t="s">
        <v>14</v>
      </c>
      <c r="C197" s="3" t="s">
        <v>15</v>
      </c>
      <c r="D197" s="3" t="s">
        <v>86</v>
      </c>
      <c r="E197" s="3" t="s">
        <v>318</v>
      </c>
      <c r="F197" s="3" t="s">
        <v>22</v>
      </c>
      <c r="G197" s="3" t="s">
        <v>19</v>
      </c>
      <c r="H197" s="3">
        <v>13466</v>
      </c>
      <c r="I197" s="3">
        <v>15</v>
      </c>
      <c r="J197" s="3">
        <v>8684</v>
      </c>
      <c r="K197" s="3">
        <v>11766</v>
      </c>
      <c r="L197" s="3">
        <v>1</v>
      </c>
      <c r="M197" s="3">
        <v>1527.1762739999999</v>
      </c>
    </row>
    <row r="198" spans="1:13" ht="14.25" customHeight="1" x14ac:dyDescent="0.2">
      <c r="A198" s="3" t="s">
        <v>319</v>
      </c>
      <c r="B198" s="3" t="s">
        <v>14</v>
      </c>
      <c r="C198" s="3" t="s">
        <v>29</v>
      </c>
      <c r="D198" s="3" t="s">
        <v>16</v>
      </c>
      <c r="E198" s="3" t="s">
        <v>320</v>
      </c>
      <c r="F198" s="3" t="s">
        <v>33</v>
      </c>
      <c r="G198" s="3" t="s">
        <v>19</v>
      </c>
      <c r="H198" s="3">
        <v>25532</v>
      </c>
      <c r="I198" s="3">
        <v>14</v>
      </c>
      <c r="J198" s="3">
        <v>15219</v>
      </c>
      <c r="K198" s="3">
        <v>21497</v>
      </c>
      <c r="L198" s="3">
        <v>9</v>
      </c>
      <c r="M198" s="3">
        <v>6047.1741089999996</v>
      </c>
    </row>
    <row r="199" spans="1:13" ht="14.25" customHeight="1" x14ac:dyDescent="0.2">
      <c r="A199" s="3" t="s">
        <v>321</v>
      </c>
      <c r="B199" s="3" t="s">
        <v>14</v>
      </c>
      <c r="C199" s="3" t="s">
        <v>15</v>
      </c>
      <c r="D199" s="3" t="s">
        <v>36</v>
      </c>
      <c r="E199" s="3" t="s">
        <v>157</v>
      </c>
      <c r="F199" s="3" t="s">
        <v>27</v>
      </c>
      <c r="G199" s="3" t="s">
        <v>19</v>
      </c>
      <c r="H199" s="3">
        <v>18412</v>
      </c>
      <c r="I199" s="3">
        <v>14</v>
      </c>
      <c r="J199" s="3">
        <v>5668</v>
      </c>
      <c r="K199" s="3">
        <v>16711</v>
      </c>
      <c r="L199" s="3">
        <v>2</v>
      </c>
      <c r="M199" s="3">
        <v>5244.3417399999998</v>
      </c>
    </row>
    <row r="200" spans="1:13" ht="14.25" customHeight="1" x14ac:dyDescent="0.2">
      <c r="A200" s="3" t="s">
        <v>322</v>
      </c>
      <c r="B200" s="3" t="s">
        <v>14</v>
      </c>
      <c r="C200" s="3" t="s">
        <v>32</v>
      </c>
      <c r="D200" s="3" t="s">
        <v>86</v>
      </c>
      <c r="E200" s="3" t="s">
        <v>166</v>
      </c>
      <c r="F200" s="3" t="s">
        <v>323</v>
      </c>
      <c r="G200" s="3" t="s">
        <v>19</v>
      </c>
      <c r="H200" s="3">
        <v>22175</v>
      </c>
      <c r="I200" s="3">
        <v>14</v>
      </c>
      <c r="J200" s="3">
        <v>14910</v>
      </c>
      <c r="K200" s="3">
        <v>20074</v>
      </c>
      <c r="L200" s="3">
        <v>2</v>
      </c>
      <c r="M200" s="3">
        <v>1909.2774830000001</v>
      </c>
    </row>
    <row r="201" spans="1:13" ht="14.25" customHeight="1" x14ac:dyDescent="0.2">
      <c r="A201" s="3" t="s">
        <v>324</v>
      </c>
      <c r="B201" s="3" t="s">
        <v>24</v>
      </c>
      <c r="C201" s="3" t="s">
        <v>15</v>
      </c>
      <c r="D201" s="3" t="s">
        <v>25</v>
      </c>
      <c r="E201" s="3" t="s">
        <v>79</v>
      </c>
      <c r="F201" s="3" t="s">
        <v>41</v>
      </c>
      <c r="G201" s="3" t="s">
        <v>19</v>
      </c>
      <c r="H201" s="3">
        <v>180353</v>
      </c>
      <c r="I201" s="3">
        <v>14</v>
      </c>
      <c r="J201" s="3">
        <v>67637</v>
      </c>
      <c r="K201" s="3">
        <v>145416</v>
      </c>
      <c r="L201" s="3">
        <v>8</v>
      </c>
      <c r="M201" s="3">
        <v>1720.881985</v>
      </c>
    </row>
    <row r="202" spans="1:13" ht="14.25" customHeight="1" x14ac:dyDescent="0.2">
      <c r="A202" s="3" t="s">
        <v>325</v>
      </c>
      <c r="B202" s="3" t="s">
        <v>14</v>
      </c>
      <c r="C202" s="3" t="s">
        <v>29</v>
      </c>
      <c r="D202" s="3" t="s">
        <v>66</v>
      </c>
      <c r="E202" s="3" t="s">
        <v>326</v>
      </c>
      <c r="F202" s="3" t="s">
        <v>22</v>
      </c>
      <c r="G202" s="3" t="s">
        <v>19</v>
      </c>
      <c r="H202" s="3">
        <v>82916</v>
      </c>
      <c r="I202" s="3">
        <v>14</v>
      </c>
      <c r="J202" s="3">
        <v>24951</v>
      </c>
      <c r="K202" s="3">
        <v>77333</v>
      </c>
      <c r="L202" s="3">
        <v>17</v>
      </c>
      <c r="M202" s="3">
        <v>1584.8212470000001</v>
      </c>
    </row>
    <row r="203" spans="1:13" ht="14.25" customHeight="1" x14ac:dyDescent="0.2">
      <c r="A203" s="3" t="s">
        <v>327</v>
      </c>
      <c r="B203" s="3" t="s">
        <v>24</v>
      </c>
      <c r="C203" s="3" t="s">
        <v>29</v>
      </c>
      <c r="D203" s="3" t="s">
        <v>60</v>
      </c>
      <c r="E203" s="3" t="s">
        <v>142</v>
      </c>
      <c r="F203" s="3" t="s">
        <v>287</v>
      </c>
      <c r="G203" s="3" t="s">
        <v>114</v>
      </c>
      <c r="H203" s="3">
        <v>35043</v>
      </c>
      <c r="I203" s="3">
        <v>14</v>
      </c>
      <c r="J203" s="3">
        <v>20942</v>
      </c>
      <c r="K203" s="3">
        <v>33479</v>
      </c>
      <c r="L203" s="3">
        <v>24</v>
      </c>
      <c r="M203" s="3">
        <v>1527.9762800000001</v>
      </c>
    </row>
    <row r="204" spans="1:13" ht="14.25" customHeight="1" x14ac:dyDescent="0.2">
      <c r="A204" s="3" t="s">
        <v>328</v>
      </c>
      <c r="B204" s="3" t="s">
        <v>14</v>
      </c>
      <c r="C204" s="3" t="s">
        <v>32</v>
      </c>
      <c r="D204" s="3" t="s">
        <v>45</v>
      </c>
      <c r="E204" s="3" t="s">
        <v>329</v>
      </c>
      <c r="F204" s="3" t="s">
        <v>27</v>
      </c>
      <c r="G204" s="3" t="s">
        <v>19</v>
      </c>
      <c r="H204" s="3">
        <v>18633</v>
      </c>
      <c r="I204" s="3">
        <v>13</v>
      </c>
      <c r="J204" s="3">
        <v>9424</v>
      </c>
      <c r="K204" s="3">
        <v>18087</v>
      </c>
      <c r="L204" s="3">
        <v>21</v>
      </c>
      <c r="M204" s="3">
        <v>6785.0632930000002</v>
      </c>
    </row>
    <row r="205" spans="1:13" ht="14.25" customHeight="1" x14ac:dyDescent="0.2">
      <c r="A205" s="3" t="s">
        <v>330</v>
      </c>
      <c r="B205" s="3" t="s">
        <v>24</v>
      </c>
      <c r="C205" s="3" t="s">
        <v>15</v>
      </c>
      <c r="D205" s="3" t="s">
        <v>16</v>
      </c>
      <c r="E205" s="3" t="s">
        <v>149</v>
      </c>
      <c r="F205" s="3" t="s">
        <v>27</v>
      </c>
      <c r="G205" s="3" t="s">
        <v>114</v>
      </c>
      <c r="H205" s="3">
        <v>83854</v>
      </c>
      <c r="I205" s="3">
        <v>13</v>
      </c>
      <c r="J205" s="3">
        <v>60626</v>
      </c>
      <c r="K205" s="3">
        <v>76071</v>
      </c>
      <c r="L205" s="3">
        <v>21</v>
      </c>
      <c r="M205" s="3">
        <v>5783.843758</v>
      </c>
    </row>
    <row r="206" spans="1:13" ht="14.25" customHeight="1" x14ac:dyDescent="0.2">
      <c r="A206" s="3" t="s">
        <v>331</v>
      </c>
      <c r="B206" s="3" t="s">
        <v>24</v>
      </c>
      <c r="C206" s="3" t="s">
        <v>15</v>
      </c>
      <c r="D206" s="3" t="s">
        <v>78</v>
      </c>
      <c r="E206" s="3" t="s">
        <v>79</v>
      </c>
      <c r="F206" s="3" t="s">
        <v>27</v>
      </c>
      <c r="G206" s="3" t="s">
        <v>163</v>
      </c>
      <c r="H206" s="3">
        <v>45668</v>
      </c>
      <c r="I206" s="3">
        <v>13</v>
      </c>
      <c r="J206" s="3">
        <v>16872</v>
      </c>
      <c r="K206" s="3">
        <v>32085</v>
      </c>
      <c r="L206" s="3">
        <v>9</v>
      </c>
      <c r="M206" s="3">
        <v>3444.2029459999999</v>
      </c>
    </row>
    <row r="207" spans="1:13" ht="14.25" customHeight="1" x14ac:dyDescent="0.2">
      <c r="A207" s="3" t="s">
        <v>332</v>
      </c>
      <c r="B207" s="3" t="s">
        <v>14</v>
      </c>
      <c r="C207" s="3" t="s">
        <v>32</v>
      </c>
      <c r="D207" s="3" t="s">
        <v>16</v>
      </c>
      <c r="E207" s="3" t="s">
        <v>333</v>
      </c>
      <c r="F207" s="3" t="s">
        <v>33</v>
      </c>
      <c r="G207" s="3" t="s">
        <v>19</v>
      </c>
      <c r="H207" s="3">
        <v>20885</v>
      </c>
      <c r="I207" s="3">
        <v>13</v>
      </c>
      <c r="J207" s="3">
        <v>9901</v>
      </c>
      <c r="K207" s="3">
        <v>16266</v>
      </c>
      <c r="L207" s="3">
        <v>15</v>
      </c>
      <c r="M207" s="3">
        <v>2496.7854360000001</v>
      </c>
    </row>
    <row r="208" spans="1:13" ht="14.25" customHeight="1" x14ac:dyDescent="0.2">
      <c r="A208" s="3" t="s">
        <v>334</v>
      </c>
      <c r="B208" s="3" t="s">
        <v>14</v>
      </c>
      <c r="C208" s="3" t="s">
        <v>15</v>
      </c>
      <c r="D208" s="3" t="s">
        <v>25</v>
      </c>
      <c r="E208" s="3" t="s">
        <v>326</v>
      </c>
      <c r="F208" s="3" t="s">
        <v>27</v>
      </c>
      <c r="G208" s="3" t="s">
        <v>19</v>
      </c>
      <c r="H208" s="3">
        <v>80408</v>
      </c>
      <c r="I208" s="3">
        <v>13</v>
      </c>
      <c r="J208" s="3">
        <v>13127</v>
      </c>
      <c r="K208" s="3">
        <v>67027</v>
      </c>
      <c r="L208" s="3">
        <v>9</v>
      </c>
      <c r="M208" s="3">
        <v>1788.1116179999999</v>
      </c>
    </row>
    <row r="209" spans="1:13" ht="14.25" customHeight="1" x14ac:dyDescent="0.2">
      <c r="A209" s="3" t="s">
        <v>335</v>
      </c>
      <c r="B209" s="3" t="s">
        <v>24</v>
      </c>
      <c r="C209" s="3" t="s">
        <v>29</v>
      </c>
      <c r="D209" s="3" t="s">
        <v>273</v>
      </c>
      <c r="E209" s="3" t="s">
        <v>57</v>
      </c>
      <c r="F209" s="3" t="s">
        <v>22</v>
      </c>
      <c r="G209" s="3" t="s">
        <v>114</v>
      </c>
      <c r="H209" s="3">
        <v>307888</v>
      </c>
      <c r="I209" s="3">
        <v>13</v>
      </c>
      <c r="J209" s="3">
        <v>134959</v>
      </c>
      <c r="K209" s="3">
        <v>274790</v>
      </c>
      <c r="L209" s="3">
        <v>11</v>
      </c>
      <c r="M209" s="3">
        <v>1559.643865</v>
      </c>
    </row>
    <row r="210" spans="1:13" ht="14.25" customHeight="1" x14ac:dyDescent="0.2">
      <c r="A210" s="3" t="s">
        <v>336</v>
      </c>
      <c r="B210" s="3" t="s">
        <v>24</v>
      </c>
      <c r="C210" s="3" t="s">
        <v>32</v>
      </c>
      <c r="D210" s="3" t="s">
        <v>16</v>
      </c>
      <c r="E210" s="3" t="s">
        <v>72</v>
      </c>
      <c r="F210" s="3" t="s">
        <v>27</v>
      </c>
      <c r="G210" s="3" t="s">
        <v>19</v>
      </c>
      <c r="H210" s="3">
        <v>325152</v>
      </c>
      <c r="I210" s="3">
        <v>12</v>
      </c>
      <c r="J210" s="3">
        <v>138319</v>
      </c>
      <c r="K210" s="3">
        <v>300133</v>
      </c>
      <c r="L210" s="3">
        <v>55</v>
      </c>
      <c r="M210" s="3">
        <v>7887.6126619999995</v>
      </c>
    </row>
    <row r="211" spans="1:13" ht="14.25" customHeight="1" x14ac:dyDescent="0.2">
      <c r="A211" s="3" t="s">
        <v>337</v>
      </c>
      <c r="B211" s="3" t="s">
        <v>24</v>
      </c>
      <c r="C211" s="3" t="s">
        <v>15</v>
      </c>
      <c r="D211" s="3" t="s">
        <v>16</v>
      </c>
      <c r="E211" s="3" t="s">
        <v>63</v>
      </c>
      <c r="F211" s="3" t="s">
        <v>27</v>
      </c>
      <c r="G211" s="3" t="s">
        <v>19</v>
      </c>
      <c r="H211" s="3">
        <v>106392</v>
      </c>
      <c r="I211" s="3">
        <v>12</v>
      </c>
      <c r="J211" s="3">
        <v>39599</v>
      </c>
      <c r="K211" s="3">
        <v>94941</v>
      </c>
      <c r="L211" s="3">
        <v>3</v>
      </c>
      <c r="M211" s="3">
        <v>6542.6124280000004</v>
      </c>
    </row>
    <row r="212" spans="1:13" ht="14.25" customHeight="1" x14ac:dyDescent="0.2">
      <c r="A212" s="3" t="s">
        <v>338</v>
      </c>
      <c r="B212" s="3" t="s">
        <v>14</v>
      </c>
      <c r="C212" s="3" t="s">
        <v>32</v>
      </c>
      <c r="D212" s="3" t="s">
        <v>174</v>
      </c>
      <c r="E212" s="3" t="s">
        <v>339</v>
      </c>
      <c r="F212" s="3" t="s">
        <v>22</v>
      </c>
      <c r="G212" s="3" t="s">
        <v>19</v>
      </c>
      <c r="H212" s="3">
        <v>21962</v>
      </c>
      <c r="I212" s="3">
        <v>12</v>
      </c>
      <c r="J212" s="3">
        <v>10702</v>
      </c>
      <c r="K212" s="3">
        <v>21034</v>
      </c>
      <c r="L212" s="3">
        <v>11</v>
      </c>
      <c r="M212" s="3">
        <v>6404.0031280000003</v>
      </c>
    </row>
    <row r="213" spans="1:13" ht="14.25" customHeight="1" x14ac:dyDescent="0.2">
      <c r="A213" s="3" t="s">
        <v>340</v>
      </c>
      <c r="B213" s="3" t="s">
        <v>24</v>
      </c>
      <c r="C213" s="3" t="s">
        <v>35</v>
      </c>
      <c r="D213" s="3" t="s">
        <v>43</v>
      </c>
      <c r="E213" s="3" t="s">
        <v>341</v>
      </c>
      <c r="F213" s="3" t="s">
        <v>22</v>
      </c>
      <c r="G213" s="3" t="s">
        <v>114</v>
      </c>
      <c r="H213" s="3">
        <v>65243</v>
      </c>
      <c r="I213" s="3">
        <v>12</v>
      </c>
      <c r="J213" s="3">
        <v>39543</v>
      </c>
      <c r="K213" s="3">
        <v>54290</v>
      </c>
      <c r="L213" s="3">
        <v>1</v>
      </c>
      <c r="M213" s="3">
        <v>3754.6852469999999</v>
      </c>
    </row>
    <row r="214" spans="1:13" ht="14.25" customHeight="1" x14ac:dyDescent="0.2">
      <c r="A214" s="3" t="s">
        <v>342</v>
      </c>
      <c r="B214" s="3" t="s">
        <v>14</v>
      </c>
      <c r="C214" s="3" t="s">
        <v>35</v>
      </c>
      <c r="D214" s="3" t="s">
        <v>343</v>
      </c>
      <c r="E214" s="3" t="s">
        <v>79</v>
      </c>
      <c r="F214" s="3" t="s">
        <v>41</v>
      </c>
      <c r="G214" s="3" t="s">
        <v>19</v>
      </c>
      <c r="H214" s="3">
        <v>239164</v>
      </c>
      <c r="I214" s="3">
        <v>12</v>
      </c>
      <c r="J214" s="3">
        <v>86250</v>
      </c>
      <c r="K214" s="3">
        <v>198209</v>
      </c>
      <c r="L214" s="3">
        <v>41</v>
      </c>
      <c r="M214" s="3">
        <v>2819.935266</v>
      </c>
    </row>
    <row r="215" spans="1:13" ht="14.25" customHeight="1" x14ac:dyDescent="0.2">
      <c r="A215" s="3" t="s">
        <v>344</v>
      </c>
      <c r="B215" s="3" t="s">
        <v>14</v>
      </c>
      <c r="C215" s="3" t="s">
        <v>29</v>
      </c>
      <c r="D215" s="3" t="s">
        <v>91</v>
      </c>
      <c r="E215" s="3" t="s">
        <v>46</v>
      </c>
      <c r="F215" s="3" t="s">
        <v>27</v>
      </c>
      <c r="G215" s="3" t="s">
        <v>19</v>
      </c>
      <c r="H215" s="3">
        <v>42833</v>
      </c>
      <c r="I215" s="3">
        <v>12</v>
      </c>
      <c r="J215" s="3">
        <v>37438</v>
      </c>
      <c r="K215" s="3">
        <v>40447</v>
      </c>
      <c r="L215" s="3">
        <v>9</v>
      </c>
      <c r="M215" s="3">
        <v>2040.9348190000001</v>
      </c>
    </row>
    <row r="216" spans="1:13" ht="14.25" customHeight="1" x14ac:dyDescent="0.2">
      <c r="A216" s="3" t="s">
        <v>345</v>
      </c>
      <c r="B216" s="3" t="s">
        <v>24</v>
      </c>
      <c r="C216" s="3" t="s">
        <v>15</v>
      </c>
      <c r="D216" s="3" t="s">
        <v>43</v>
      </c>
      <c r="E216" s="3" t="s">
        <v>149</v>
      </c>
      <c r="F216" s="3" t="s">
        <v>22</v>
      </c>
      <c r="G216" s="3" t="s">
        <v>19</v>
      </c>
      <c r="H216" s="3">
        <v>136733</v>
      </c>
      <c r="I216" s="3">
        <v>12</v>
      </c>
      <c r="J216" s="3">
        <v>102728</v>
      </c>
      <c r="K216" s="3">
        <v>127130</v>
      </c>
      <c r="L216" s="3">
        <v>4</v>
      </c>
      <c r="M216" s="3">
        <v>1946.0504470000001</v>
      </c>
    </row>
    <row r="217" spans="1:13" ht="14.25" customHeight="1" x14ac:dyDescent="0.2">
      <c r="A217" s="3" t="s">
        <v>346</v>
      </c>
      <c r="B217" s="3" t="s">
        <v>14</v>
      </c>
      <c r="C217" s="3" t="s">
        <v>15</v>
      </c>
      <c r="D217" s="3" t="s">
        <v>228</v>
      </c>
      <c r="E217" s="3" t="s">
        <v>347</v>
      </c>
      <c r="F217" s="3" t="s">
        <v>41</v>
      </c>
      <c r="G217" s="3" t="s">
        <v>19</v>
      </c>
      <c r="H217" s="3">
        <v>24100</v>
      </c>
      <c r="I217" s="3">
        <v>11</v>
      </c>
      <c r="J217" s="3">
        <v>11355</v>
      </c>
      <c r="K217" s="3">
        <v>21740</v>
      </c>
      <c r="L217" s="3">
        <v>1</v>
      </c>
      <c r="M217" s="3">
        <v>5912.2609750000001</v>
      </c>
    </row>
    <row r="218" spans="1:13" ht="14.25" customHeight="1" x14ac:dyDescent="0.2">
      <c r="A218" s="3" t="s">
        <v>348</v>
      </c>
      <c r="B218" s="3" t="s">
        <v>14</v>
      </c>
      <c r="C218" s="3" t="s">
        <v>35</v>
      </c>
      <c r="D218" s="3" t="s">
        <v>25</v>
      </c>
      <c r="E218" s="3" t="s">
        <v>349</v>
      </c>
      <c r="F218" s="3" t="s">
        <v>41</v>
      </c>
      <c r="G218" s="3" t="s">
        <v>19</v>
      </c>
      <c r="H218" s="3">
        <v>27032</v>
      </c>
      <c r="I218" s="3">
        <v>11</v>
      </c>
      <c r="J218" s="3">
        <v>21893</v>
      </c>
      <c r="K218" s="3">
        <v>26127</v>
      </c>
      <c r="L218" s="3">
        <v>1</v>
      </c>
      <c r="M218" s="3">
        <v>5292.8969129999996</v>
      </c>
    </row>
    <row r="219" spans="1:13" ht="14.25" customHeight="1" x14ac:dyDescent="0.2">
      <c r="A219" s="3" t="s">
        <v>350</v>
      </c>
      <c r="B219" s="3" t="s">
        <v>14</v>
      </c>
      <c r="C219" s="3" t="s">
        <v>15</v>
      </c>
      <c r="D219" s="3" t="s">
        <v>165</v>
      </c>
      <c r="E219" s="3" t="s">
        <v>119</v>
      </c>
      <c r="F219" s="3" t="s">
        <v>50</v>
      </c>
      <c r="G219" s="3" t="s">
        <v>19</v>
      </c>
      <c r="H219" s="3">
        <v>43367</v>
      </c>
      <c r="I219" s="3">
        <v>11</v>
      </c>
      <c r="J219" s="3">
        <v>14306</v>
      </c>
      <c r="K219" s="3">
        <v>39750</v>
      </c>
      <c r="L219" s="3">
        <v>1</v>
      </c>
      <c r="M219" s="3">
        <v>5214.2986929999997</v>
      </c>
    </row>
    <row r="220" spans="1:13" ht="14.25" customHeight="1" x14ac:dyDescent="0.2">
      <c r="A220" s="3" t="s">
        <v>351</v>
      </c>
      <c r="B220" s="3" t="s">
        <v>24</v>
      </c>
      <c r="C220" s="3" t="s">
        <v>35</v>
      </c>
      <c r="D220" s="3" t="s">
        <v>66</v>
      </c>
      <c r="E220" s="3" t="s">
        <v>119</v>
      </c>
      <c r="F220" s="3" t="s">
        <v>27</v>
      </c>
      <c r="G220" s="3" t="s">
        <v>114</v>
      </c>
      <c r="H220" s="3">
        <v>88293</v>
      </c>
      <c r="I220" s="3">
        <v>11</v>
      </c>
      <c r="J220" s="3">
        <v>24101</v>
      </c>
      <c r="K220" s="3">
        <v>75557</v>
      </c>
      <c r="L220" s="3">
        <v>21</v>
      </c>
      <c r="M220" s="3">
        <v>5054.481581</v>
      </c>
    </row>
    <row r="221" spans="1:13" ht="14.25" customHeight="1" x14ac:dyDescent="0.2">
      <c r="A221" s="3" t="s">
        <v>352</v>
      </c>
      <c r="B221" s="3" t="s">
        <v>24</v>
      </c>
      <c r="C221" s="3" t="s">
        <v>35</v>
      </c>
      <c r="D221" s="3" t="s">
        <v>25</v>
      </c>
      <c r="E221" s="3" t="s">
        <v>149</v>
      </c>
      <c r="F221" s="3" t="s">
        <v>64</v>
      </c>
      <c r="G221" s="3" t="s">
        <v>114</v>
      </c>
      <c r="H221" s="3">
        <v>25889</v>
      </c>
      <c r="I221" s="3">
        <v>11</v>
      </c>
      <c r="J221" s="3">
        <v>18382</v>
      </c>
      <c r="K221" s="3">
        <v>23328</v>
      </c>
      <c r="L221" s="3">
        <v>15</v>
      </c>
      <c r="M221" s="3">
        <v>4977.7847940000001</v>
      </c>
    </row>
    <row r="222" spans="1:13" ht="14.25" customHeight="1" x14ac:dyDescent="0.2">
      <c r="A222" s="3" t="s">
        <v>353</v>
      </c>
      <c r="B222" s="3" t="s">
        <v>68</v>
      </c>
      <c r="C222" s="3" t="s">
        <v>15</v>
      </c>
      <c r="D222" s="3" t="s">
        <v>70</v>
      </c>
      <c r="E222" s="3" t="s">
        <v>354</v>
      </c>
      <c r="F222" s="3" t="s">
        <v>41</v>
      </c>
      <c r="G222" s="3" t="s">
        <v>19</v>
      </c>
      <c r="H222" s="3">
        <v>15475</v>
      </c>
      <c r="I222" s="3">
        <v>11</v>
      </c>
      <c r="J222" s="3">
        <v>6019</v>
      </c>
      <c r="K222" s="3">
        <v>10952</v>
      </c>
      <c r="L222" s="3">
        <v>9</v>
      </c>
      <c r="M222" s="3">
        <v>4156.7133830000002</v>
      </c>
    </row>
    <row r="223" spans="1:13" ht="14.25" customHeight="1" x14ac:dyDescent="0.2">
      <c r="A223" s="3" t="s">
        <v>355</v>
      </c>
      <c r="B223" s="3" t="s">
        <v>24</v>
      </c>
      <c r="C223" s="3" t="s">
        <v>32</v>
      </c>
      <c r="D223" s="3" t="s">
        <v>16</v>
      </c>
      <c r="E223" s="3" t="s">
        <v>250</v>
      </c>
      <c r="F223" s="3" t="s">
        <v>287</v>
      </c>
      <c r="G223" s="3" t="s">
        <v>19</v>
      </c>
      <c r="H223" s="3">
        <v>114267</v>
      </c>
      <c r="I223" s="3">
        <v>11</v>
      </c>
      <c r="J223" s="3">
        <v>60964</v>
      </c>
      <c r="K223" s="3">
        <v>108301</v>
      </c>
      <c r="L223" s="3">
        <v>5</v>
      </c>
      <c r="M223" s="3">
        <v>2679.1540679999998</v>
      </c>
    </row>
    <row r="224" spans="1:13" ht="14.25" customHeight="1" x14ac:dyDescent="0.2">
      <c r="A224" s="3" t="s">
        <v>356</v>
      </c>
      <c r="B224" s="3" t="s">
        <v>24</v>
      </c>
      <c r="C224" s="3" t="s">
        <v>32</v>
      </c>
      <c r="D224" s="3" t="s">
        <v>16</v>
      </c>
      <c r="E224" s="3" t="s">
        <v>357</v>
      </c>
      <c r="F224" s="3" t="s">
        <v>50</v>
      </c>
      <c r="G224" s="3" t="s">
        <v>163</v>
      </c>
      <c r="H224" s="3">
        <v>11668</v>
      </c>
      <c r="I224" s="3">
        <v>11</v>
      </c>
      <c r="J224" s="3">
        <v>7860</v>
      </c>
      <c r="K224" s="3">
        <v>11009</v>
      </c>
      <c r="L224" s="3">
        <v>1</v>
      </c>
      <c r="M224" s="3">
        <v>2653.9815789999998</v>
      </c>
    </row>
    <row r="225" spans="1:13" ht="14.25" customHeight="1" x14ac:dyDescent="0.2">
      <c r="A225" s="3" t="s">
        <v>358</v>
      </c>
      <c r="B225" s="3" t="s">
        <v>24</v>
      </c>
      <c r="C225" s="3" t="s">
        <v>29</v>
      </c>
      <c r="D225" s="3" t="s">
        <v>25</v>
      </c>
      <c r="E225" s="3" t="s">
        <v>359</v>
      </c>
      <c r="F225" s="3" t="s">
        <v>58</v>
      </c>
      <c r="G225" s="3" t="s">
        <v>19</v>
      </c>
      <c r="H225" s="3">
        <v>117713</v>
      </c>
      <c r="I225" s="3">
        <v>11</v>
      </c>
      <c r="J225" s="3">
        <v>16357</v>
      </c>
      <c r="K225" s="3">
        <v>100222</v>
      </c>
      <c r="L225" s="3">
        <v>5</v>
      </c>
      <c r="M225" s="3">
        <v>2505.4035429999999</v>
      </c>
    </row>
    <row r="226" spans="1:13" ht="14.25" customHeight="1" x14ac:dyDescent="0.2">
      <c r="A226" s="3" t="s">
        <v>360</v>
      </c>
      <c r="B226" s="3" t="s">
        <v>24</v>
      </c>
      <c r="C226" s="3" t="s">
        <v>29</v>
      </c>
      <c r="D226" s="3" t="s">
        <v>43</v>
      </c>
      <c r="E226" s="3" t="s">
        <v>119</v>
      </c>
      <c r="F226" s="3" t="s">
        <v>27</v>
      </c>
      <c r="G226" s="3" t="s">
        <v>19</v>
      </c>
      <c r="H226" s="3">
        <v>130796</v>
      </c>
      <c r="I226" s="3">
        <v>11</v>
      </c>
      <c r="J226" s="3">
        <v>109118</v>
      </c>
      <c r="K226" s="3">
        <v>122937</v>
      </c>
      <c r="L226" s="3">
        <v>6</v>
      </c>
      <c r="M226" s="3">
        <v>2196.6612319999999</v>
      </c>
    </row>
    <row r="227" spans="1:13" ht="14.25" customHeight="1" x14ac:dyDescent="0.2">
      <c r="A227" s="3" t="s">
        <v>361</v>
      </c>
      <c r="B227" s="3" t="s">
        <v>24</v>
      </c>
      <c r="C227" s="3" t="s">
        <v>32</v>
      </c>
      <c r="D227" s="3" t="s">
        <v>25</v>
      </c>
      <c r="E227" s="3" t="s">
        <v>250</v>
      </c>
      <c r="F227" s="3" t="s">
        <v>27</v>
      </c>
      <c r="G227" s="3" t="s">
        <v>163</v>
      </c>
      <c r="H227" s="3">
        <v>48892</v>
      </c>
      <c r="I227" s="3">
        <v>11</v>
      </c>
      <c r="J227" s="3">
        <v>32060</v>
      </c>
      <c r="K227" s="3">
        <v>45251</v>
      </c>
      <c r="L227" s="3">
        <v>9</v>
      </c>
      <c r="M227" s="3">
        <v>1978.609661</v>
      </c>
    </row>
    <row r="228" spans="1:13" ht="14.25" customHeight="1" x14ac:dyDescent="0.2">
      <c r="A228" s="3" t="s">
        <v>362</v>
      </c>
      <c r="B228" s="3" t="s">
        <v>24</v>
      </c>
      <c r="C228" s="3" t="s">
        <v>32</v>
      </c>
      <c r="D228" s="3" t="s">
        <v>25</v>
      </c>
      <c r="E228" s="3" t="s">
        <v>57</v>
      </c>
      <c r="F228" s="3" t="s">
        <v>27</v>
      </c>
      <c r="G228" s="3" t="s">
        <v>163</v>
      </c>
      <c r="H228" s="3">
        <v>598460</v>
      </c>
      <c r="I228" s="3">
        <v>11</v>
      </c>
      <c r="J228" s="3">
        <v>201153</v>
      </c>
      <c r="K228" s="3">
        <v>557263</v>
      </c>
      <c r="L228" s="3">
        <v>13</v>
      </c>
      <c r="M228" s="3">
        <v>1689.7445070000001</v>
      </c>
    </row>
    <row r="229" spans="1:13" ht="14.25" customHeight="1" x14ac:dyDescent="0.2">
      <c r="A229" s="3" t="s">
        <v>363</v>
      </c>
      <c r="B229" s="3" t="s">
        <v>14</v>
      </c>
      <c r="C229" s="3" t="s">
        <v>15</v>
      </c>
      <c r="D229" s="3" t="s">
        <v>364</v>
      </c>
      <c r="E229" s="3" t="s">
        <v>40</v>
      </c>
      <c r="F229" s="3" t="s">
        <v>58</v>
      </c>
      <c r="G229" s="3" t="s">
        <v>19</v>
      </c>
      <c r="H229" s="3">
        <v>171575</v>
      </c>
      <c r="I229" s="3">
        <v>11</v>
      </c>
      <c r="J229" s="3">
        <v>101487</v>
      </c>
      <c r="K229" s="3">
        <v>136036</v>
      </c>
      <c r="L229" s="3">
        <v>8</v>
      </c>
      <c r="M229" s="3">
        <v>1658.3324259999999</v>
      </c>
    </row>
    <row r="230" spans="1:13" ht="14.25" customHeight="1" x14ac:dyDescent="0.2">
      <c r="A230" s="3" t="s">
        <v>365</v>
      </c>
      <c r="B230" s="3" t="s">
        <v>24</v>
      </c>
      <c r="C230" s="3" t="s">
        <v>32</v>
      </c>
      <c r="D230" s="3" t="s">
        <v>66</v>
      </c>
      <c r="E230" s="3" t="s">
        <v>57</v>
      </c>
      <c r="F230" s="3" t="s">
        <v>22</v>
      </c>
      <c r="G230" s="3" t="s">
        <v>19</v>
      </c>
      <c r="H230" s="3">
        <v>335664</v>
      </c>
      <c r="I230" s="3">
        <v>11</v>
      </c>
      <c r="J230" s="3">
        <v>148742</v>
      </c>
      <c r="K230" s="3">
        <v>313071</v>
      </c>
      <c r="L230" s="3">
        <v>70</v>
      </c>
      <c r="M230" s="3">
        <v>1542.5002159999999</v>
      </c>
    </row>
    <row r="231" spans="1:13" ht="14.25" customHeight="1" x14ac:dyDescent="0.2">
      <c r="A231" s="3" t="s">
        <v>366</v>
      </c>
      <c r="B231" s="3" t="s">
        <v>24</v>
      </c>
      <c r="C231" s="3" t="s">
        <v>35</v>
      </c>
      <c r="D231" s="3" t="s">
        <v>367</v>
      </c>
      <c r="E231" s="3" t="s">
        <v>40</v>
      </c>
      <c r="F231" s="3" t="s">
        <v>38</v>
      </c>
      <c r="G231" s="3" t="s">
        <v>19</v>
      </c>
      <c r="H231" s="3">
        <v>177632</v>
      </c>
      <c r="I231" s="3">
        <v>11</v>
      </c>
      <c r="J231" s="3">
        <v>70865</v>
      </c>
      <c r="K231" s="3">
        <v>95871</v>
      </c>
      <c r="L231" s="3">
        <v>5</v>
      </c>
      <c r="M231" s="3">
        <v>1483.3844039999999</v>
      </c>
    </row>
    <row r="232" spans="1:13" ht="14.25" customHeight="1" x14ac:dyDescent="0.2">
      <c r="A232" s="3" t="s">
        <v>368</v>
      </c>
      <c r="B232" s="3" t="s">
        <v>14</v>
      </c>
      <c r="C232" s="3" t="s">
        <v>32</v>
      </c>
      <c r="D232" s="3" t="s">
        <v>25</v>
      </c>
      <c r="E232" s="3" t="s">
        <v>107</v>
      </c>
      <c r="F232" s="3" t="s">
        <v>38</v>
      </c>
      <c r="G232" s="3" t="s">
        <v>19</v>
      </c>
      <c r="H232" s="3">
        <v>122086</v>
      </c>
      <c r="I232" s="3">
        <v>10</v>
      </c>
      <c r="J232" s="3">
        <v>82898</v>
      </c>
      <c r="K232" s="3">
        <v>116235</v>
      </c>
      <c r="L232" s="3">
        <v>16</v>
      </c>
      <c r="M232" s="3">
        <v>7663.6952940000001</v>
      </c>
    </row>
    <row r="233" spans="1:13" ht="14.25" customHeight="1" x14ac:dyDescent="0.2">
      <c r="A233" s="3" t="s">
        <v>369</v>
      </c>
      <c r="B233" s="3" t="s">
        <v>24</v>
      </c>
      <c r="C233" s="3" t="s">
        <v>29</v>
      </c>
      <c r="D233" s="3" t="s">
        <v>25</v>
      </c>
      <c r="E233" s="3" t="s">
        <v>370</v>
      </c>
      <c r="F233" s="3" t="s">
        <v>38</v>
      </c>
      <c r="G233" s="3" t="s">
        <v>114</v>
      </c>
      <c r="H233" s="3">
        <v>81905</v>
      </c>
      <c r="I233" s="3">
        <v>10</v>
      </c>
      <c r="J233" s="3">
        <v>61995</v>
      </c>
      <c r="K233" s="3">
        <v>71110</v>
      </c>
      <c r="L233" s="3">
        <v>24</v>
      </c>
      <c r="M233" s="3">
        <v>7065.6692800000001</v>
      </c>
    </row>
    <row r="234" spans="1:13" ht="14.25" customHeight="1" x14ac:dyDescent="0.2">
      <c r="A234" s="3" t="s">
        <v>371</v>
      </c>
      <c r="B234" s="3" t="s">
        <v>14</v>
      </c>
      <c r="C234" s="3" t="s">
        <v>29</v>
      </c>
      <c r="D234" s="3" t="s">
        <v>16</v>
      </c>
      <c r="E234" s="3" t="s">
        <v>329</v>
      </c>
      <c r="F234" s="3" t="s">
        <v>41</v>
      </c>
      <c r="G234" s="3" t="s">
        <v>19</v>
      </c>
      <c r="H234" s="3">
        <v>37176</v>
      </c>
      <c r="I234" s="3">
        <v>10</v>
      </c>
      <c r="J234" s="3">
        <v>31829</v>
      </c>
      <c r="K234" s="3">
        <v>35639</v>
      </c>
      <c r="L234" s="3">
        <v>6</v>
      </c>
      <c r="M234" s="3">
        <v>6753.5952420000003</v>
      </c>
    </row>
    <row r="235" spans="1:13" ht="14.25" customHeight="1" x14ac:dyDescent="0.2">
      <c r="A235" s="3" t="s">
        <v>372</v>
      </c>
      <c r="B235" s="3" t="s">
        <v>14</v>
      </c>
      <c r="C235" s="3" t="s">
        <v>29</v>
      </c>
      <c r="D235" s="3" t="s">
        <v>25</v>
      </c>
      <c r="E235" s="3" t="s">
        <v>119</v>
      </c>
      <c r="F235" s="3" t="s">
        <v>64</v>
      </c>
      <c r="G235" s="3" t="s">
        <v>19</v>
      </c>
      <c r="H235" s="3">
        <v>114384</v>
      </c>
      <c r="I235" s="3">
        <v>10</v>
      </c>
      <c r="J235" s="3">
        <v>61524</v>
      </c>
      <c r="K235" s="3">
        <v>105104</v>
      </c>
      <c r="L235" s="3">
        <v>12</v>
      </c>
      <c r="M235" s="3">
        <v>5803.3314540000001</v>
      </c>
    </row>
    <row r="236" spans="1:13" ht="14.25" customHeight="1" x14ac:dyDescent="0.2">
      <c r="A236" s="3" t="s">
        <v>373</v>
      </c>
      <c r="B236" s="3" t="s">
        <v>68</v>
      </c>
      <c r="C236" s="3" t="s">
        <v>35</v>
      </c>
      <c r="D236" s="3" t="s">
        <v>43</v>
      </c>
      <c r="E236" s="3" t="s">
        <v>374</v>
      </c>
      <c r="F236" s="3" t="s">
        <v>27</v>
      </c>
      <c r="G236" s="3" t="s">
        <v>19</v>
      </c>
      <c r="H236" s="3">
        <v>17382</v>
      </c>
      <c r="I236" s="3">
        <v>10</v>
      </c>
      <c r="J236" s="3">
        <v>7411</v>
      </c>
      <c r="K236" s="3">
        <v>16576</v>
      </c>
      <c r="L236" s="3">
        <v>1</v>
      </c>
      <c r="M236" s="3">
        <v>5797.2199769999997</v>
      </c>
    </row>
    <row r="237" spans="1:13" ht="14.25" customHeight="1" x14ac:dyDescent="0.2">
      <c r="A237" s="3" t="s">
        <v>375</v>
      </c>
      <c r="B237" s="3" t="s">
        <v>24</v>
      </c>
      <c r="C237" s="3" t="s">
        <v>29</v>
      </c>
      <c r="D237" s="3" t="s">
        <v>25</v>
      </c>
      <c r="E237" s="3" t="s">
        <v>376</v>
      </c>
      <c r="F237" s="3" t="s">
        <v>38</v>
      </c>
      <c r="G237" s="3" t="s">
        <v>163</v>
      </c>
      <c r="H237" s="3">
        <v>39314</v>
      </c>
      <c r="I237" s="3">
        <v>10</v>
      </c>
      <c r="J237" s="3">
        <v>27671</v>
      </c>
      <c r="K237" s="3">
        <v>35488</v>
      </c>
      <c r="L237" s="3">
        <v>2</v>
      </c>
      <c r="M237" s="3">
        <v>5530.8004579999997</v>
      </c>
    </row>
    <row r="238" spans="1:13" ht="14.25" customHeight="1" x14ac:dyDescent="0.2">
      <c r="A238" s="3" t="s">
        <v>377</v>
      </c>
      <c r="B238" s="3" t="s">
        <v>14</v>
      </c>
      <c r="C238" s="3" t="s">
        <v>15</v>
      </c>
      <c r="D238" s="3" t="s">
        <v>43</v>
      </c>
      <c r="E238" s="3" t="s">
        <v>17</v>
      </c>
      <c r="F238" s="3" t="s">
        <v>27</v>
      </c>
      <c r="G238" s="3" t="s">
        <v>19</v>
      </c>
      <c r="H238" s="3">
        <v>43117</v>
      </c>
      <c r="I238" s="3">
        <v>10</v>
      </c>
      <c r="J238" s="3">
        <v>6478</v>
      </c>
      <c r="K238" s="3">
        <v>27405</v>
      </c>
      <c r="L238" s="3">
        <v>8</v>
      </c>
      <c r="M238" s="3">
        <v>4250.4304389999998</v>
      </c>
    </row>
    <row r="239" spans="1:13" ht="14.25" customHeight="1" x14ac:dyDescent="0.2">
      <c r="A239" s="3" t="s">
        <v>378</v>
      </c>
      <c r="B239" s="3" t="s">
        <v>24</v>
      </c>
      <c r="C239" s="3" t="s">
        <v>32</v>
      </c>
      <c r="D239" s="3" t="s">
        <v>16</v>
      </c>
      <c r="E239" s="3" t="s">
        <v>379</v>
      </c>
      <c r="F239" s="3" t="s">
        <v>27</v>
      </c>
      <c r="G239" s="3" t="s">
        <v>114</v>
      </c>
      <c r="H239" s="3">
        <v>33650</v>
      </c>
      <c r="I239" s="3">
        <v>10</v>
      </c>
      <c r="J239" s="3">
        <v>15621</v>
      </c>
      <c r="K239" s="3">
        <v>32539</v>
      </c>
      <c r="L239" s="3">
        <v>1</v>
      </c>
      <c r="M239" s="3">
        <v>3844.9911649999999</v>
      </c>
    </row>
    <row r="240" spans="1:13" ht="14.25" customHeight="1" x14ac:dyDescent="0.2">
      <c r="A240" s="3" t="s">
        <v>380</v>
      </c>
      <c r="B240" s="3" t="s">
        <v>14</v>
      </c>
      <c r="C240" s="3" t="s">
        <v>15</v>
      </c>
      <c r="D240" s="3" t="s">
        <v>66</v>
      </c>
      <c r="E240" s="3" t="s">
        <v>381</v>
      </c>
      <c r="F240" s="3" t="s">
        <v>27</v>
      </c>
      <c r="G240" s="3" t="s">
        <v>19</v>
      </c>
      <c r="H240" s="3">
        <v>11325</v>
      </c>
      <c r="I240" s="3">
        <v>10</v>
      </c>
      <c r="J240" s="3">
        <v>6186</v>
      </c>
      <c r="K240" s="3">
        <v>10612</v>
      </c>
      <c r="L240" s="3">
        <v>2</v>
      </c>
      <c r="M240" s="3">
        <v>1573.2540899999999</v>
      </c>
    </row>
    <row r="241" spans="1:13" ht="14.25" customHeight="1" x14ac:dyDescent="0.2">
      <c r="A241" s="3" t="s">
        <v>382</v>
      </c>
      <c r="B241" s="3" t="s">
        <v>24</v>
      </c>
      <c r="C241" s="3" t="s">
        <v>35</v>
      </c>
      <c r="D241" s="3" t="s">
        <v>70</v>
      </c>
      <c r="E241" s="3" t="s">
        <v>370</v>
      </c>
      <c r="F241" s="3" t="s">
        <v>27</v>
      </c>
      <c r="G241" s="3" t="s">
        <v>114</v>
      </c>
      <c r="H241" s="3">
        <v>76439</v>
      </c>
      <c r="I241" s="3">
        <v>10</v>
      </c>
      <c r="J241" s="3">
        <v>58269</v>
      </c>
      <c r="K241" s="3">
        <v>66924</v>
      </c>
      <c r="L241" s="3">
        <v>15</v>
      </c>
      <c r="M241" s="3">
        <v>1524.8102240000001</v>
      </c>
    </row>
    <row r="242" spans="1:13" ht="14.25" customHeight="1" x14ac:dyDescent="0.2">
      <c r="A242" s="3" t="s">
        <v>383</v>
      </c>
      <c r="B242" s="3" t="s">
        <v>14</v>
      </c>
      <c r="C242" s="3" t="s">
        <v>29</v>
      </c>
      <c r="D242" s="3" t="s">
        <v>205</v>
      </c>
      <c r="E242" s="3" t="s">
        <v>384</v>
      </c>
      <c r="F242" s="3" t="s">
        <v>38</v>
      </c>
      <c r="G242" s="3" t="s">
        <v>19</v>
      </c>
      <c r="H242" s="3">
        <v>31243</v>
      </c>
      <c r="I242" s="3">
        <v>10</v>
      </c>
      <c r="J242" s="3">
        <v>16326</v>
      </c>
      <c r="K242" s="3">
        <v>25991</v>
      </c>
      <c r="L242" s="3">
        <v>21</v>
      </c>
      <c r="M242" s="3">
        <v>1452.5905600000001</v>
      </c>
    </row>
    <row r="243" spans="1:13" ht="14.25" customHeight="1" x14ac:dyDescent="0.2">
      <c r="A243" s="3" t="s">
        <v>385</v>
      </c>
      <c r="B243" s="3" t="s">
        <v>14</v>
      </c>
      <c r="C243" s="3" t="s">
        <v>29</v>
      </c>
      <c r="D243" s="3" t="s">
        <v>66</v>
      </c>
      <c r="E243" s="3" t="s">
        <v>139</v>
      </c>
      <c r="F243" s="3" t="s">
        <v>58</v>
      </c>
      <c r="G243" s="3" t="s">
        <v>19</v>
      </c>
      <c r="H243" s="3">
        <v>7320</v>
      </c>
      <c r="I243" s="3">
        <v>9</v>
      </c>
      <c r="J243" s="3">
        <v>4020</v>
      </c>
      <c r="K243" s="3">
        <v>6692</v>
      </c>
      <c r="L243" s="3">
        <v>54</v>
      </c>
      <c r="M243" s="3">
        <v>7982.0066159999997</v>
      </c>
    </row>
    <row r="244" spans="1:13" ht="14.25" customHeight="1" x14ac:dyDescent="0.2">
      <c r="A244" s="3" t="s">
        <v>386</v>
      </c>
      <c r="B244" s="3" t="s">
        <v>24</v>
      </c>
      <c r="C244" s="3" t="s">
        <v>32</v>
      </c>
      <c r="D244" s="3" t="s">
        <v>91</v>
      </c>
      <c r="E244" s="3" t="s">
        <v>111</v>
      </c>
      <c r="F244" s="3" t="s">
        <v>58</v>
      </c>
      <c r="G244" s="3" t="s">
        <v>19</v>
      </c>
      <c r="H244" s="3">
        <v>10501</v>
      </c>
      <c r="I244" s="3">
        <v>9</v>
      </c>
      <c r="J244" s="3">
        <v>4126</v>
      </c>
      <c r="K244" s="3">
        <v>7654</v>
      </c>
      <c r="L244" s="3">
        <v>8</v>
      </c>
      <c r="M244" s="3">
        <v>6244.5179209999997</v>
      </c>
    </row>
    <row r="245" spans="1:13" ht="14.25" customHeight="1" x14ac:dyDescent="0.2">
      <c r="A245" s="3" t="s">
        <v>387</v>
      </c>
      <c r="B245" s="3" t="s">
        <v>14</v>
      </c>
      <c r="C245" s="3" t="s">
        <v>32</v>
      </c>
      <c r="D245" s="3" t="s">
        <v>25</v>
      </c>
      <c r="E245" s="3" t="s">
        <v>320</v>
      </c>
      <c r="F245" s="3" t="s">
        <v>41</v>
      </c>
      <c r="G245" s="3" t="s">
        <v>19</v>
      </c>
      <c r="H245" s="3">
        <v>28553</v>
      </c>
      <c r="I245" s="3">
        <v>9</v>
      </c>
      <c r="J245" s="3">
        <v>11390</v>
      </c>
      <c r="K245" s="3">
        <v>23355</v>
      </c>
      <c r="L245" s="3">
        <v>13</v>
      </c>
      <c r="M245" s="3">
        <v>5573.1123960000004</v>
      </c>
    </row>
    <row r="246" spans="1:13" ht="14.25" customHeight="1" x14ac:dyDescent="0.2">
      <c r="A246" s="3" t="s">
        <v>388</v>
      </c>
      <c r="B246" s="3" t="s">
        <v>14</v>
      </c>
      <c r="C246" s="3" t="s">
        <v>35</v>
      </c>
      <c r="D246" s="3" t="s">
        <v>389</v>
      </c>
      <c r="E246" s="3" t="s">
        <v>390</v>
      </c>
      <c r="F246" s="3" t="s">
        <v>27</v>
      </c>
      <c r="G246" s="3" t="s">
        <v>19</v>
      </c>
      <c r="H246" s="3">
        <v>14509</v>
      </c>
      <c r="I246" s="3">
        <v>9</v>
      </c>
      <c r="J246" s="3">
        <v>866</v>
      </c>
      <c r="K246" s="3">
        <v>13268</v>
      </c>
      <c r="L246" s="3">
        <v>1</v>
      </c>
      <c r="M246" s="3">
        <v>5521.1891299999997</v>
      </c>
    </row>
    <row r="247" spans="1:13" ht="14.25" customHeight="1" x14ac:dyDescent="0.2">
      <c r="A247" s="3" t="s">
        <v>391</v>
      </c>
      <c r="B247" s="3" t="s">
        <v>14</v>
      </c>
      <c r="C247" s="3" t="s">
        <v>32</v>
      </c>
      <c r="D247" s="3" t="s">
        <v>304</v>
      </c>
      <c r="E247" s="3" t="s">
        <v>392</v>
      </c>
      <c r="F247" s="3" t="s">
        <v>64</v>
      </c>
      <c r="G247" s="3" t="s">
        <v>19</v>
      </c>
      <c r="H247" s="3">
        <v>45285</v>
      </c>
      <c r="I247" s="3">
        <v>9</v>
      </c>
      <c r="J247" s="3">
        <v>30225</v>
      </c>
      <c r="K247" s="3">
        <v>43298</v>
      </c>
      <c r="L247" s="3">
        <v>1</v>
      </c>
      <c r="M247" s="3">
        <v>4728.0124059999998</v>
      </c>
    </row>
    <row r="248" spans="1:13" ht="14.25" customHeight="1" x14ac:dyDescent="0.2">
      <c r="A248" s="3" t="s">
        <v>393</v>
      </c>
      <c r="B248" s="3" t="s">
        <v>14</v>
      </c>
      <c r="C248" s="3" t="s">
        <v>35</v>
      </c>
      <c r="D248" s="3" t="s">
        <v>25</v>
      </c>
      <c r="E248" s="3" t="s">
        <v>394</v>
      </c>
      <c r="F248" s="3" t="s">
        <v>27</v>
      </c>
      <c r="G248" s="3" t="s">
        <v>19</v>
      </c>
      <c r="H248" s="3">
        <v>45965</v>
      </c>
      <c r="I248" s="3">
        <v>9</v>
      </c>
      <c r="J248" s="3">
        <v>10028</v>
      </c>
      <c r="K248" s="3">
        <v>37295</v>
      </c>
      <c r="L248" s="3">
        <v>1</v>
      </c>
      <c r="M248" s="3">
        <v>4718.8361139999997</v>
      </c>
    </row>
    <row r="249" spans="1:13" ht="14.25" customHeight="1" x14ac:dyDescent="0.2">
      <c r="A249" s="3" t="s">
        <v>395</v>
      </c>
      <c r="B249" s="3" t="s">
        <v>24</v>
      </c>
      <c r="C249" s="3" t="s">
        <v>32</v>
      </c>
      <c r="D249" s="3" t="s">
        <v>45</v>
      </c>
      <c r="E249" s="3" t="s">
        <v>396</v>
      </c>
      <c r="F249" s="3" t="s">
        <v>27</v>
      </c>
      <c r="G249" s="3" t="s">
        <v>163</v>
      </c>
      <c r="H249" s="3">
        <v>47394</v>
      </c>
      <c r="I249" s="3">
        <v>9</v>
      </c>
      <c r="J249" s="3">
        <v>22712</v>
      </c>
      <c r="K249" s="3">
        <v>41918</v>
      </c>
      <c r="L249" s="3">
        <v>24</v>
      </c>
      <c r="M249" s="3">
        <v>4701.4962370000003</v>
      </c>
    </row>
    <row r="250" spans="1:13" ht="14.25" customHeight="1" x14ac:dyDescent="0.2">
      <c r="A250" s="3" t="s">
        <v>397</v>
      </c>
      <c r="B250" s="3" t="s">
        <v>14</v>
      </c>
      <c r="C250" s="3" t="s">
        <v>32</v>
      </c>
      <c r="D250" s="3" t="s">
        <v>398</v>
      </c>
      <c r="E250" s="3" t="s">
        <v>40</v>
      </c>
      <c r="F250" s="3" t="s">
        <v>27</v>
      </c>
      <c r="G250" s="3" t="s">
        <v>19</v>
      </c>
      <c r="H250" s="3">
        <v>48436</v>
      </c>
      <c r="I250" s="3">
        <v>9</v>
      </c>
      <c r="J250" s="3">
        <v>16543</v>
      </c>
      <c r="K250" s="3">
        <v>42427</v>
      </c>
      <c r="L250" s="3">
        <v>4</v>
      </c>
      <c r="M250" s="3">
        <v>4386.6482150000002</v>
      </c>
    </row>
    <row r="251" spans="1:13" ht="14.25" customHeight="1" x14ac:dyDescent="0.2">
      <c r="A251" s="3" t="s">
        <v>399</v>
      </c>
      <c r="B251" s="3" t="s">
        <v>14</v>
      </c>
      <c r="C251" s="3" t="s">
        <v>15</v>
      </c>
      <c r="D251" s="3" t="s">
        <v>70</v>
      </c>
      <c r="E251" s="3" t="s">
        <v>79</v>
      </c>
      <c r="F251" s="3" t="s">
        <v>27</v>
      </c>
      <c r="G251" s="3" t="s">
        <v>19</v>
      </c>
      <c r="H251" s="3">
        <v>212009</v>
      </c>
      <c r="I251" s="3">
        <v>9</v>
      </c>
      <c r="J251" s="3">
        <v>16903</v>
      </c>
      <c r="K251" s="3">
        <v>149653</v>
      </c>
      <c r="L251" s="3">
        <v>15</v>
      </c>
      <c r="M251" s="3">
        <v>3983.6217969999998</v>
      </c>
    </row>
    <row r="252" spans="1:13" ht="14.25" customHeight="1" x14ac:dyDescent="0.2">
      <c r="A252" s="3" t="s">
        <v>400</v>
      </c>
      <c r="B252" s="3" t="s">
        <v>14</v>
      </c>
      <c r="C252" s="3" t="s">
        <v>32</v>
      </c>
      <c r="D252" s="3" t="s">
        <v>401</v>
      </c>
      <c r="E252" s="3" t="s">
        <v>119</v>
      </c>
      <c r="F252" s="3" t="s">
        <v>27</v>
      </c>
      <c r="G252" s="3" t="s">
        <v>19</v>
      </c>
      <c r="H252" s="3">
        <v>65380</v>
      </c>
      <c r="I252" s="3">
        <v>9</v>
      </c>
      <c r="J252" s="3">
        <v>30039</v>
      </c>
      <c r="K252" s="3">
        <v>60482</v>
      </c>
      <c r="L252" s="3">
        <v>5</v>
      </c>
      <c r="M252" s="3">
        <v>2905.8841619999998</v>
      </c>
    </row>
    <row r="253" spans="1:13" ht="14.25" customHeight="1" x14ac:dyDescent="0.2">
      <c r="A253" s="3" t="s">
        <v>402</v>
      </c>
      <c r="B253" s="3" t="s">
        <v>14</v>
      </c>
      <c r="C253" s="3" t="s">
        <v>15</v>
      </c>
      <c r="D253" s="3" t="s">
        <v>228</v>
      </c>
      <c r="E253" s="3" t="s">
        <v>403</v>
      </c>
      <c r="F253" s="3" t="s">
        <v>27</v>
      </c>
      <c r="G253" s="3" t="s">
        <v>19</v>
      </c>
      <c r="H253" s="3">
        <v>268811</v>
      </c>
      <c r="I253" s="3">
        <v>9</v>
      </c>
      <c r="J253" s="3">
        <v>95989</v>
      </c>
      <c r="K253" s="3">
        <v>173923</v>
      </c>
      <c r="L253" s="3">
        <v>4</v>
      </c>
      <c r="M253" s="3">
        <v>2549.1151580000001</v>
      </c>
    </row>
    <row r="254" spans="1:13" ht="14.25" customHeight="1" x14ac:dyDescent="0.2">
      <c r="A254" s="3" t="s">
        <v>404</v>
      </c>
      <c r="B254" s="3" t="s">
        <v>14</v>
      </c>
      <c r="C254" s="3" t="s">
        <v>35</v>
      </c>
      <c r="D254" s="3" t="s">
        <v>25</v>
      </c>
      <c r="E254" s="3" t="s">
        <v>250</v>
      </c>
      <c r="F254" s="3" t="s">
        <v>27</v>
      </c>
      <c r="G254" s="3" t="s">
        <v>19</v>
      </c>
      <c r="H254" s="3">
        <v>85280</v>
      </c>
      <c r="I254" s="3">
        <v>9</v>
      </c>
      <c r="J254" s="3">
        <v>35860</v>
      </c>
      <c r="K254" s="3">
        <v>79837</v>
      </c>
      <c r="L254" s="3">
        <v>5</v>
      </c>
      <c r="M254" s="3">
        <v>2217.932092</v>
      </c>
    </row>
    <row r="255" spans="1:13" ht="14.25" customHeight="1" x14ac:dyDescent="0.2">
      <c r="A255" s="3" t="s">
        <v>405</v>
      </c>
      <c r="B255" s="3" t="s">
        <v>24</v>
      </c>
      <c r="C255" s="3" t="s">
        <v>29</v>
      </c>
      <c r="D255" s="3" t="s">
        <v>70</v>
      </c>
      <c r="E255" s="3" t="s">
        <v>406</v>
      </c>
      <c r="F255" s="3" t="s">
        <v>407</v>
      </c>
      <c r="G255" s="3" t="s">
        <v>19</v>
      </c>
      <c r="H255" s="3">
        <v>292578</v>
      </c>
      <c r="I255" s="3">
        <v>9</v>
      </c>
      <c r="J255" s="3">
        <v>6474</v>
      </c>
      <c r="K255" s="3">
        <v>12323</v>
      </c>
      <c r="L255" s="3">
        <v>4</v>
      </c>
      <c r="M255" s="3">
        <v>1826.3187379999999</v>
      </c>
    </row>
    <row r="256" spans="1:13" ht="14.25" customHeight="1" x14ac:dyDescent="0.2">
      <c r="A256" s="3" t="s">
        <v>408</v>
      </c>
      <c r="B256" s="3" t="s">
        <v>24</v>
      </c>
      <c r="C256" s="3" t="s">
        <v>15</v>
      </c>
      <c r="D256" s="3" t="s">
        <v>25</v>
      </c>
      <c r="E256" s="3" t="s">
        <v>409</v>
      </c>
      <c r="F256" s="3" t="s">
        <v>38</v>
      </c>
      <c r="G256" s="3" t="s">
        <v>19</v>
      </c>
      <c r="H256" s="3">
        <v>14932</v>
      </c>
      <c r="I256" s="3">
        <v>9</v>
      </c>
      <c r="J256" s="3">
        <v>8947</v>
      </c>
      <c r="K256" s="3">
        <v>14256</v>
      </c>
      <c r="L256" s="3">
        <v>1</v>
      </c>
      <c r="M256" s="3">
        <v>1724.417704</v>
      </c>
    </row>
    <row r="257" spans="1:13" ht="14.25" customHeight="1" x14ac:dyDescent="0.2">
      <c r="A257" s="3" t="s">
        <v>410</v>
      </c>
      <c r="B257" s="3" t="s">
        <v>14</v>
      </c>
      <c r="C257" s="3" t="s">
        <v>15</v>
      </c>
      <c r="D257" s="3" t="s">
        <v>398</v>
      </c>
      <c r="E257" s="3" t="s">
        <v>26</v>
      </c>
      <c r="F257" s="3" t="s">
        <v>38</v>
      </c>
      <c r="G257" s="3" t="s">
        <v>19</v>
      </c>
      <c r="H257" s="3">
        <v>16372</v>
      </c>
      <c r="I257" s="3">
        <v>9</v>
      </c>
      <c r="J257" s="3">
        <v>4731</v>
      </c>
      <c r="K257" s="3">
        <v>15332</v>
      </c>
      <c r="L257" s="3">
        <v>6</v>
      </c>
      <c r="M257" s="3">
        <v>1704.511123</v>
      </c>
    </row>
    <row r="258" spans="1:13" ht="14.25" customHeight="1" x14ac:dyDescent="0.2">
      <c r="A258" s="3" t="s">
        <v>411</v>
      </c>
      <c r="B258" s="3" t="s">
        <v>14</v>
      </c>
      <c r="C258" s="3" t="s">
        <v>35</v>
      </c>
      <c r="D258" s="3" t="s">
        <v>21</v>
      </c>
      <c r="E258" s="3" t="s">
        <v>412</v>
      </c>
      <c r="F258" s="3" t="s">
        <v>27</v>
      </c>
      <c r="G258" s="3" t="s">
        <v>19</v>
      </c>
      <c r="H258" s="3">
        <v>20572</v>
      </c>
      <c r="I258" s="3">
        <v>9</v>
      </c>
      <c r="J258" s="3">
        <v>2226</v>
      </c>
      <c r="K258" s="3">
        <v>16510</v>
      </c>
      <c r="L258" s="3">
        <v>10</v>
      </c>
      <c r="M258" s="3">
        <v>1529.307229</v>
      </c>
    </row>
    <row r="259" spans="1:13" ht="14.25" customHeight="1" x14ac:dyDescent="0.2">
      <c r="A259" s="3" t="s">
        <v>413</v>
      </c>
      <c r="B259" s="3" t="s">
        <v>24</v>
      </c>
      <c r="C259" s="3" t="s">
        <v>35</v>
      </c>
      <c r="D259" s="3" t="s">
        <v>25</v>
      </c>
      <c r="E259" s="3" t="s">
        <v>72</v>
      </c>
      <c r="F259" s="3" t="s">
        <v>197</v>
      </c>
      <c r="G259" s="3" t="s">
        <v>19</v>
      </c>
      <c r="H259" s="3">
        <v>229908</v>
      </c>
      <c r="I259" s="3">
        <v>9</v>
      </c>
      <c r="J259" s="3">
        <v>98259</v>
      </c>
      <c r="K259" s="3">
        <v>212073</v>
      </c>
      <c r="L259" s="3">
        <v>4</v>
      </c>
      <c r="M259" s="3">
        <v>1464.3489440000001</v>
      </c>
    </row>
    <row r="260" spans="1:13" ht="14.25" customHeight="1" x14ac:dyDescent="0.2">
      <c r="A260" s="3" t="s">
        <v>414</v>
      </c>
      <c r="B260" s="3" t="s">
        <v>24</v>
      </c>
      <c r="C260" s="3" t="s">
        <v>15</v>
      </c>
      <c r="D260" s="3" t="s">
        <v>25</v>
      </c>
      <c r="E260" s="3" t="s">
        <v>79</v>
      </c>
      <c r="F260" s="3" t="s">
        <v>415</v>
      </c>
      <c r="G260" s="3" t="s">
        <v>19</v>
      </c>
      <c r="H260" s="3">
        <v>12280</v>
      </c>
      <c r="I260" s="3">
        <v>9</v>
      </c>
      <c r="J260" s="3">
        <v>7633</v>
      </c>
      <c r="K260" s="3">
        <v>11053</v>
      </c>
      <c r="L260" s="3">
        <v>1</v>
      </c>
      <c r="M260" s="3">
        <v>1452.207361</v>
      </c>
    </row>
    <row r="261" spans="1:13" ht="14.25" customHeight="1" x14ac:dyDescent="0.2">
      <c r="A261" s="3" t="s">
        <v>416</v>
      </c>
      <c r="B261" s="3" t="s">
        <v>24</v>
      </c>
      <c r="C261" s="3" t="s">
        <v>29</v>
      </c>
      <c r="D261" s="3" t="s">
        <v>78</v>
      </c>
      <c r="E261" s="3" t="s">
        <v>161</v>
      </c>
      <c r="F261" s="3" t="s">
        <v>22</v>
      </c>
      <c r="G261" s="3" t="s">
        <v>19</v>
      </c>
      <c r="H261" s="3">
        <v>8420</v>
      </c>
      <c r="I261" s="3">
        <v>8</v>
      </c>
      <c r="J261" s="3">
        <v>4430</v>
      </c>
      <c r="K261" s="3">
        <v>7869</v>
      </c>
      <c r="L261" s="3">
        <v>8</v>
      </c>
      <c r="M261" s="3">
        <v>5184.5854239999999</v>
      </c>
    </row>
    <row r="262" spans="1:13" ht="14.25" customHeight="1" x14ac:dyDescent="0.2">
      <c r="A262" s="3" t="s">
        <v>417</v>
      </c>
      <c r="B262" s="3" t="s">
        <v>14</v>
      </c>
      <c r="C262" s="3" t="s">
        <v>32</v>
      </c>
      <c r="D262" s="3" t="s">
        <v>216</v>
      </c>
      <c r="E262" s="3" t="s">
        <v>79</v>
      </c>
      <c r="F262" s="3" t="s">
        <v>27</v>
      </c>
      <c r="G262" s="3" t="s">
        <v>19</v>
      </c>
      <c r="H262" s="3">
        <v>156427</v>
      </c>
      <c r="I262" s="3">
        <v>8</v>
      </c>
      <c r="J262" s="3">
        <v>61821</v>
      </c>
      <c r="K262" s="3">
        <v>145505</v>
      </c>
      <c r="L262" s="3">
        <v>3</v>
      </c>
      <c r="M262" s="3">
        <v>5159.7474940000002</v>
      </c>
    </row>
    <row r="263" spans="1:13" ht="14.25" customHeight="1" x14ac:dyDescent="0.2">
      <c r="A263" s="3" t="s">
        <v>418</v>
      </c>
      <c r="B263" s="3" t="s">
        <v>24</v>
      </c>
      <c r="C263" s="3" t="s">
        <v>15</v>
      </c>
      <c r="D263" s="3" t="s">
        <v>25</v>
      </c>
      <c r="E263" s="3" t="s">
        <v>394</v>
      </c>
      <c r="F263" s="3" t="s">
        <v>415</v>
      </c>
      <c r="G263" s="3" t="s">
        <v>19</v>
      </c>
      <c r="H263" s="3">
        <v>9725</v>
      </c>
      <c r="I263" s="3">
        <v>8</v>
      </c>
      <c r="J263" s="3">
        <v>6616</v>
      </c>
      <c r="K263" s="3">
        <v>8778</v>
      </c>
      <c r="L263" s="3">
        <v>1</v>
      </c>
      <c r="M263" s="3">
        <v>4942.2839869999998</v>
      </c>
    </row>
    <row r="264" spans="1:13" ht="14.25" customHeight="1" x14ac:dyDescent="0.2">
      <c r="A264" s="3" t="s">
        <v>419</v>
      </c>
      <c r="B264" s="3" t="s">
        <v>14</v>
      </c>
      <c r="C264" s="3" t="s">
        <v>29</v>
      </c>
      <c r="D264" s="3" t="s">
        <v>16</v>
      </c>
      <c r="E264" s="3" t="s">
        <v>420</v>
      </c>
      <c r="F264" s="3" t="s">
        <v>41</v>
      </c>
      <c r="G264" s="3" t="s">
        <v>19</v>
      </c>
      <c r="H264" s="3">
        <v>15588</v>
      </c>
      <c r="I264" s="3">
        <v>8</v>
      </c>
      <c r="J264" s="3">
        <v>2089</v>
      </c>
      <c r="K264" s="3">
        <v>14526</v>
      </c>
      <c r="L264" s="3">
        <v>9</v>
      </c>
      <c r="M264" s="3">
        <v>3518.5334819999998</v>
      </c>
    </row>
    <row r="265" spans="1:13" ht="14.25" customHeight="1" x14ac:dyDescent="0.2">
      <c r="A265" s="3" t="s">
        <v>421</v>
      </c>
      <c r="B265" s="3" t="s">
        <v>14</v>
      </c>
      <c r="C265" s="3" t="s">
        <v>35</v>
      </c>
      <c r="D265" s="3" t="s">
        <v>25</v>
      </c>
      <c r="E265" s="3" t="s">
        <v>286</v>
      </c>
      <c r="F265" s="3" t="s">
        <v>22</v>
      </c>
      <c r="G265" s="3" t="s">
        <v>19</v>
      </c>
      <c r="H265" s="3">
        <v>12868</v>
      </c>
      <c r="I265" s="3">
        <v>8</v>
      </c>
      <c r="J265" s="3">
        <v>6472</v>
      </c>
      <c r="K265" s="3">
        <v>11922</v>
      </c>
      <c r="L265" s="3">
        <v>1</v>
      </c>
      <c r="M265" s="3">
        <v>3137.143043</v>
      </c>
    </row>
    <row r="266" spans="1:13" ht="14.25" customHeight="1" x14ac:dyDescent="0.2">
      <c r="A266" s="3" t="s">
        <v>422</v>
      </c>
      <c r="B266" s="3" t="s">
        <v>14</v>
      </c>
      <c r="C266" s="3" t="s">
        <v>15</v>
      </c>
      <c r="D266" s="3" t="s">
        <v>228</v>
      </c>
      <c r="E266" s="3" t="s">
        <v>119</v>
      </c>
      <c r="F266" s="3" t="s">
        <v>27</v>
      </c>
      <c r="G266" s="3" t="s">
        <v>19</v>
      </c>
      <c r="H266" s="3">
        <v>77313</v>
      </c>
      <c r="I266" s="3">
        <v>8</v>
      </c>
      <c r="J266" s="3">
        <v>40366</v>
      </c>
      <c r="K266" s="3">
        <v>71128</v>
      </c>
      <c r="L266" s="3">
        <v>2</v>
      </c>
      <c r="M266" s="3">
        <v>1790.3901980000001</v>
      </c>
    </row>
    <row r="267" spans="1:13" ht="14.25" customHeight="1" x14ac:dyDescent="0.2">
      <c r="A267" s="3" t="s">
        <v>423</v>
      </c>
      <c r="B267" s="3" t="s">
        <v>24</v>
      </c>
      <c r="C267" s="3" t="s">
        <v>32</v>
      </c>
      <c r="D267" s="3" t="s">
        <v>25</v>
      </c>
      <c r="E267" s="3" t="s">
        <v>329</v>
      </c>
      <c r="F267" s="3" t="s">
        <v>41</v>
      </c>
      <c r="G267" s="3" t="s">
        <v>19</v>
      </c>
      <c r="H267" s="3">
        <v>22004</v>
      </c>
      <c r="I267" s="3">
        <v>8</v>
      </c>
      <c r="J267" s="3">
        <v>18735</v>
      </c>
      <c r="K267" s="3">
        <v>21127</v>
      </c>
      <c r="L267" s="3">
        <v>4</v>
      </c>
      <c r="M267" s="3">
        <v>1632.4727820000001</v>
      </c>
    </row>
    <row r="268" spans="1:13" ht="14.25" customHeight="1" x14ac:dyDescent="0.2">
      <c r="A268" s="3" t="s">
        <v>424</v>
      </c>
      <c r="B268" s="3" t="s">
        <v>24</v>
      </c>
      <c r="C268" s="3" t="s">
        <v>29</v>
      </c>
      <c r="D268" s="3" t="s">
        <v>25</v>
      </c>
      <c r="E268" s="3" t="s">
        <v>425</v>
      </c>
      <c r="F268" s="3" t="s">
        <v>27</v>
      </c>
      <c r="G268" s="3" t="s">
        <v>114</v>
      </c>
      <c r="H268" s="3">
        <v>16202</v>
      </c>
      <c r="I268" s="3">
        <v>8</v>
      </c>
      <c r="J268" s="3">
        <v>11786</v>
      </c>
      <c r="K268" s="3">
        <v>15365</v>
      </c>
      <c r="L268" s="3">
        <v>1</v>
      </c>
      <c r="M268" s="3">
        <v>1570.34276</v>
      </c>
    </row>
    <row r="269" spans="1:13" ht="14.25" customHeight="1" x14ac:dyDescent="0.2">
      <c r="A269" s="3" t="s">
        <v>426</v>
      </c>
      <c r="B269" s="3" t="s">
        <v>14</v>
      </c>
      <c r="C269" s="3" t="s">
        <v>29</v>
      </c>
      <c r="D269" s="3" t="s">
        <v>151</v>
      </c>
      <c r="E269" s="3" t="s">
        <v>46</v>
      </c>
      <c r="F269" s="3" t="s">
        <v>27</v>
      </c>
      <c r="G269" s="3" t="s">
        <v>19</v>
      </c>
      <c r="H269" s="3">
        <v>21229</v>
      </c>
      <c r="I269" s="3">
        <v>8</v>
      </c>
      <c r="J269" s="3">
        <v>18073</v>
      </c>
      <c r="K269" s="3">
        <v>19655</v>
      </c>
      <c r="L269" s="3">
        <v>10</v>
      </c>
      <c r="M269" s="3">
        <v>1550.0766550000001</v>
      </c>
    </row>
    <row r="270" spans="1:13" ht="14.25" customHeight="1" x14ac:dyDescent="0.2">
      <c r="A270" s="3" t="s">
        <v>427</v>
      </c>
      <c r="B270" s="3" t="s">
        <v>24</v>
      </c>
      <c r="C270" s="3" t="s">
        <v>35</v>
      </c>
      <c r="D270" s="3" t="s">
        <v>91</v>
      </c>
      <c r="E270" s="3" t="s">
        <v>428</v>
      </c>
      <c r="F270" s="3" t="s">
        <v>22</v>
      </c>
      <c r="G270" s="3" t="s">
        <v>19</v>
      </c>
      <c r="H270" s="3">
        <v>13347</v>
      </c>
      <c r="I270" s="3">
        <v>8</v>
      </c>
      <c r="J270" s="3">
        <v>8357</v>
      </c>
      <c r="K270" s="3">
        <v>11461</v>
      </c>
      <c r="L270" s="3">
        <v>10</v>
      </c>
      <c r="M270" s="3">
        <v>1543.6614199999999</v>
      </c>
    </row>
    <row r="271" spans="1:13" ht="14.25" customHeight="1" x14ac:dyDescent="0.2">
      <c r="A271" s="3" t="s">
        <v>429</v>
      </c>
      <c r="B271" s="3" t="s">
        <v>24</v>
      </c>
      <c r="C271" s="3" t="s">
        <v>29</v>
      </c>
      <c r="D271" s="3" t="s">
        <v>25</v>
      </c>
      <c r="E271" s="3" t="s">
        <v>72</v>
      </c>
      <c r="F271" s="3" t="s">
        <v>22</v>
      </c>
      <c r="G271" s="3" t="s">
        <v>19</v>
      </c>
      <c r="H271" s="3">
        <v>9210</v>
      </c>
      <c r="I271" s="3">
        <v>8</v>
      </c>
      <c r="J271" s="3">
        <v>3798</v>
      </c>
      <c r="K271" s="3">
        <v>8619</v>
      </c>
      <c r="L271" s="3">
        <v>1</v>
      </c>
      <c r="M271" s="3">
        <v>1536.629068</v>
      </c>
    </row>
    <row r="272" spans="1:13" ht="14.25" customHeight="1" x14ac:dyDescent="0.2">
      <c r="A272" s="3" t="s">
        <v>430</v>
      </c>
      <c r="B272" s="3" t="s">
        <v>14</v>
      </c>
      <c r="C272" s="3" t="s">
        <v>32</v>
      </c>
      <c r="D272" s="3" t="s">
        <v>43</v>
      </c>
      <c r="E272" s="3" t="s">
        <v>431</v>
      </c>
      <c r="F272" s="3" t="s">
        <v>33</v>
      </c>
      <c r="G272" s="3" t="s">
        <v>19</v>
      </c>
      <c r="H272" s="3">
        <v>21737</v>
      </c>
      <c r="I272" s="3">
        <v>8</v>
      </c>
      <c r="J272" s="3">
        <v>11206</v>
      </c>
      <c r="K272" s="3">
        <v>19459</v>
      </c>
      <c r="L272" s="3">
        <v>1</v>
      </c>
      <c r="M272" s="3">
        <v>1521.576648</v>
      </c>
    </row>
    <row r="273" spans="1:13" ht="14.25" customHeight="1" x14ac:dyDescent="0.2">
      <c r="A273" s="3" t="s">
        <v>432</v>
      </c>
      <c r="B273" s="3" t="s">
        <v>14</v>
      </c>
      <c r="C273" s="3" t="s">
        <v>32</v>
      </c>
      <c r="D273" s="3" t="s">
        <v>25</v>
      </c>
      <c r="E273" s="3" t="s">
        <v>72</v>
      </c>
      <c r="F273" s="3" t="s">
        <v>27</v>
      </c>
      <c r="G273" s="3" t="s">
        <v>19</v>
      </c>
      <c r="H273" s="3">
        <v>126337</v>
      </c>
      <c r="I273" s="3">
        <v>8</v>
      </c>
      <c r="J273" s="3">
        <v>51394</v>
      </c>
      <c r="K273" s="3">
        <v>117635</v>
      </c>
      <c r="L273" s="3">
        <v>5</v>
      </c>
      <c r="M273" s="3">
        <v>1487.0882879999999</v>
      </c>
    </row>
    <row r="274" spans="1:13" ht="14.25" customHeight="1" x14ac:dyDescent="0.2">
      <c r="A274" s="3" t="s">
        <v>433</v>
      </c>
      <c r="B274" s="3" t="s">
        <v>24</v>
      </c>
      <c r="C274" s="3" t="s">
        <v>32</v>
      </c>
      <c r="D274" s="3" t="s">
        <v>70</v>
      </c>
      <c r="E274" s="3" t="s">
        <v>172</v>
      </c>
      <c r="F274" s="3" t="s">
        <v>38</v>
      </c>
      <c r="G274" s="3" t="s">
        <v>163</v>
      </c>
      <c r="H274" s="3">
        <v>81486</v>
      </c>
      <c r="I274" s="3">
        <v>8</v>
      </c>
      <c r="J274" s="3">
        <v>57653</v>
      </c>
      <c r="K274" s="3">
        <v>76803</v>
      </c>
      <c r="L274" s="3">
        <v>6</v>
      </c>
      <c r="M274" s="3">
        <v>1463.8428739999999</v>
      </c>
    </row>
    <row r="275" spans="1:13" ht="14.25" customHeight="1" x14ac:dyDescent="0.2">
      <c r="A275" s="3" t="s">
        <v>434</v>
      </c>
      <c r="B275" s="3" t="s">
        <v>14</v>
      </c>
      <c r="C275" s="3" t="s">
        <v>29</v>
      </c>
      <c r="D275" s="3" t="s">
        <v>70</v>
      </c>
      <c r="E275" s="3" t="s">
        <v>79</v>
      </c>
      <c r="F275" s="3" t="s">
        <v>41</v>
      </c>
      <c r="G275" s="3" t="s">
        <v>19</v>
      </c>
      <c r="H275" s="3">
        <v>686858</v>
      </c>
      <c r="I275" s="3">
        <v>7</v>
      </c>
      <c r="J275" s="3">
        <v>81956</v>
      </c>
      <c r="K275" s="3">
        <v>624118</v>
      </c>
      <c r="L275" s="3">
        <v>19</v>
      </c>
      <c r="M275" s="3">
        <v>7467.0814870000004</v>
      </c>
    </row>
    <row r="276" spans="1:13" ht="14.25" customHeight="1" x14ac:dyDescent="0.2">
      <c r="A276" s="3" t="s">
        <v>435</v>
      </c>
      <c r="B276" s="3" t="s">
        <v>14</v>
      </c>
      <c r="C276" s="3" t="s">
        <v>15</v>
      </c>
      <c r="D276" s="3" t="s">
        <v>25</v>
      </c>
      <c r="E276" s="3" t="s">
        <v>172</v>
      </c>
      <c r="F276" s="3" t="s">
        <v>27</v>
      </c>
      <c r="G276" s="3" t="s">
        <v>19</v>
      </c>
      <c r="H276" s="3">
        <v>42759</v>
      </c>
      <c r="I276" s="3">
        <v>7</v>
      </c>
      <c r="J276" s="3">
        <v>17744</v>
      </c>
      <c r="K276" s="3">
        <v>34812</v>
      </c>
      <c r="L276" s="3">
        <v>12</v>
      </c>
      <c r="M276" s="3">
        <v>6316.4880540000004</v>
      </c>
    </row>
    <row r="277" spans="1:13" ht="14.25" customHeight="1" x14ac:dyDescent="0.2">
      <c r="A277" s="3" t="s">
        <v>436</v>
      </c>
      <c r="B277" s="3" t="s">
        <v>24</v>
      </c>
      <c r="C277" s="3" t="s">
        <v>15</v>
      </c>
      <c r="D277" s="3" t="s">
        <v>66</v>
      </c>
      <c r="E277" s="3" t="s">
        <v>437</v>
      </c>
      <c r="F277" s="3" t="s">
        <v>58</v>
      </c>
      <c r="G277" s="3" t="s">
        <v>19</v>
      </c>
      <c r="H277" s="3">
        <v>58477</v>
      </c>
      <c r="I277" s="3">
        <v>7</v>
      </c>
      <c r="J277" s="3">
        <v>43554</v>
      </c>
      <c r="K277" s="3">
        <v>56558</v>
      </c>
      <c r="L277" s="3">
        <v>19</v>
      </c>
      <c r="M277" s="3">
        <v>5247.6238830000002</v>
      </c>
    </row>
    <row r="278" spans="1:13" ht="14.25" customHeight="1" x14ac:dyDescent="0.2">
      <c r="A278" s="3" t="s">
        <v>438</v>
      </c>
      <c r="B278" s="3" t="s">
        <v>14</v>
      </c>
      <c r="C278" s="3" t="s">
        <v>29</v>
      </c>
      <c r="D278" s="3" t="s">
        <v>165</v>
      </c>
      <c r="E278" s="3" t="s">
        <v>48</v>
      </c>
      <c r="F278" s="3" t="s">
        <v>41</v>
      </c>
      <c r="G278" s="3" t="s">
        <v>19</v>
      </c>
      <c r="H278" s="3">
        <v>207685</v>
      </c>
      <c r="I278" s="3">
        <v>7</v>
      </c>
      <c r="J278" s="3">
        <v>20134</v>
      </c>
      <c r="K278" s="3">
        <v>30708</v>
      </c>
      <c r="L278" s="3">
        <v>34</v>
      </c>
      <c r="M278" s="3">
        <v>5239.2047869999997</v>
      </c>
    </row>
    <row r="279" spans="1:13" ht="14.25" customHeight="1" x14ac:dyDescent="0.2">
      <c r="A279" s="3" t="s">
        <v>439</v>
      </c>
      <c r="B279" s="3" t="s">
        <v>24</v>
      </c>
      <c r="C279" s="3" t="s">
        <v>32</v>
      </c>
      <c r="D279" s="3" t="s">
        <v>16</v>
      </c>
      <c r="E279" s="3" t="s">
        <v>425</v>
      </c>
      <c r="F279" s="3" t="s">
        <v>27</v>
      </c>
      <c r="G279" s="3" t="s">
        <v>19</v>
      </c>
      <c r="H279" s="3">
        <v>17770</v>
      </c>
      <c r="I279" s="3">
        <v>7</v>
      </c>
      <c r="J279" s="3">
        <v>12771</v>
      </c>
      <c r="K279" s="3">
        <v>16749</v>
      </c>
      <c r="L279" s="3">
        <v>5</v>
      </c>
      <c r="M279" s="3">
        <v>5195.2346770000004</v>
      </c>
    </row>
    <row r="280" spans="1:13" ht="14.25" customHeight="1" x14ac:dyDescent="0.2">
      <c r="A280" s="3" t="s">
        <v>440</v>
      </c>
      <c r="B280" s="3" t="s">
        <v>24</v>
      </c>
      <c r="C280" s="3" t="s">
        <v>32</v>
      </c>
      <c r="D280" s="3" t="s">
        <v>25</v>
      </c>
      <c r="E280" s="3" t="s">
        <v>72</v>
      </c>
      <c r="F280" s="3" t="s">
        <v>27</v>
      </c>
      <c r="G280" s="3" t="s">
        <v>19</v>
      </c>
      <c r="H280" s="3">
        <v>262807</v>
      </c>
      <c r="I280" s="3">
        <v>7</v>
      </c>
      <c r="J280" s="3">
        <v>109871</v>
      </c>
      <c r="K280" s="3">
        <v>236426</v>
      </c>
      <c r="L280" s="3">
        <v>12</v>
      </c>
      <c r="M280" s="3">
        <v>5150.4689230000004</v>
      </c>
    </row>
    <row r="281" spans="1:13" ht="14.25" customHeight="1" x14ac:dyDescent="0.2">
      <c r="A281" s="3" t="s">
        <v>441</v>
      </c>
      <c r="B281" s="3" t="s">
        <v>14</v>
      </c>
      <c r="C281" s="3" t="s">
        <v>32</v>
      </c>
      <c r="D281" s="3" t="s">
        <v>43</v>
      </c>
      <c r="E281" s="3" t="s">
        <v>442</v>
      </c>
      <c r="F281" s="3" t="s">
        <v>33</v>
      </c>
      <c r="G281" s="3" t="s">
        <v>19</v>
      </c>
      <c r="H281" s="3">
        <v>40447</v>
      </c>
      <c r="I281" s="3">
        <v>7</v>
      </c>
      <c r="J281" s="3">
        <v>16663</v>
      </c>
      <c r="K281" s="3">
        <v>29774</v>
      </c>
      <c r="L281" s="3">
        <v>12</v>
      </c>
      <c r="M281" s="3">
        <v>5083.8862730000001</v>
      </c>
    </row>
    <row r="282" spans="1:13" ht="14.25" customHeight="1" x14ac:dyDescent="0.2">
      <c r="A282" s="3" t="s">
        <v>443</v>
      </c>
      <c r="B282" s="3" t="s">
        <v>24</v>
      </c>
      <c r="C282" s="3" t="s">
        <v>29</v>
      </c>
      <c r="D282" s="3" t="s">
        <v>45</v>
      </c>
      <c r="E282" s="3" t="s">
        <v>444</v>
      </c>
      <c r="F282" s="3" t="s">
        <v>27</v>
      </c>
      <c r="G282" s="3" t="s">
        <v>19</v>
      </c>
      <c r="H282" s="3">
        <v>9273</v>
      </c>
      <c r="I282" s="3">
        <v>7</v>
      </c>
      <c r="J282" s="3">
        <v>4648</v>
      </c>
      <c r="K282" s="3">
        <v>8751</v>
      </c>
      <c r="L282" s="3">
        <v>1</v>
      </c>
      <c r="M282" s="3">
        <v>4986.51937</v>
      </c>
    </row>
    <row r="283" spans="1:13" ht="14.25" customHeight="1" x14ac:dyDescent="0.2">
      <c r="A283" s="3" t="s">
        <v>445</v>
      </c>
      <c r="B283" s="3" t="s">
        <v>24</v>
      </c>
      <c r="C283" s="3" t="s">
        <v>29</v>
      </c>
      <c r="D283" s="3" t="s">
        <v>25</v>
      </c>
      <c r="E283" s="3" t="s">
        <v>199</v>
      </c>
      <c r="F283" s="3" t="s">
        <v>27</v>
      </c>
      <c r="G283" s="3" t="s">
        <v>114</v>
      </c>
      <c r="H283" s="3">
        <v>27202</v>
      </c>
      <c r="I283" s="3">
        <v>7</v>
      </c>
      <c r="J283" s="3">
        <v>5202</v>
      </c>
      <c r="K283" s="3">
        <v>23474</v>
      </c>
      <c r="L283" s="3">
        <v>1</v>
      </c>
      <c r="M283" s="3">
        <v>4253.9791160000004</v>
      </c>
    </row>
    <row r="284" spans="1:13" ht="14.25" customHeight="1" x14ac:dyDescent="0.2">
      <c r="A284" s="3" t="s">
        <v>446</v>
      </c>
      <c r="B284" s="3" t="s">
        <v>24</v>
      </c>
      <c r="C284" s="3" t="s">
        <v>29</v>
      </c>
      <c r="D284" s="3" t="s">
        <v>447</v>
      </c>
      <c r="E284" s="3" t="s">
        <v>250</v>
      </c>
      <c r="F284" s="3" t="s">
        <v>76</v>
      </c>
      <c r="G284" s="3" t="s">
        <v>163</v>
      </c>
      <c r="H284" s="3">
        <v>114194</v>
      </c>
      <c r="I284" s="3">
        <v>7</v>
      </c>
      <c r="J284" s="3">
        <v>50923</v>
      </c>
      <c r="K284" s="3">
        <v>104074</v>
      </c>
      <c r="L284" s="3">
        <v>2</v>
      </c>
      <c r="M284" s="3">
        <v>4036.0893759999999</v>
      </c>
    </row>
    <row r="285" spans="1:13" ht="14.25" customHeight="1" x14ac:dyDescent="0.2">
      <c r="A285" s="3" t="s">
        <v>448</v>
      </c>
      <c r="B285" s="3" t="s">
        <v>14</v>
      </c>
      <c r="C285" s="3" t="s">
        <v>15</v>
      </c>
      <c r="D285" s="3" t="s">
        <v>449</v>
      </c>
      <c r="E285" s="3" t="s">
        <v>329</v>
      </c>
      <c r="F285" s="3" t="s">
        <v>64</v>
      </c>
      <c r="G285" s="3" t="s">
        <v>19</v>
      </c>
      <c r="H285" s="3">
        <v>36431</v>
      </c>
      <c r="I285" s="3">
        <v>7</v>
      </c>
      <c r="J285" s="3">
        <v>31262</v>
      </c>
      <c r="K285" s="3">
        <v>35043</v>
      </c>
      <c r="L285" s="3">
        <v>11</v>
      </c>
      <c r="M285" s="3">
        <v>3285.8345220000001</v>
      </c>
    </row>
    <row r="286" spans="1:13" ht="14.25" customHeight="1" x14ac:dyDescent="0.2">
      <c r="A286" s="3" t="s">
        <v>450</v>
      </c>
      <c r="B286" s="3" t="s">
        <v>24</v>
      </c>
      <c r="C286" s="3" t="s">
        <v>29</v>
      </c>
      <c r="D286" s="3" t="s">
        <v>66</v>
      </c>
      <c r="E286" s="3" t="s">
        <v>451</v>
      </c>
      <c r="F286" s="3" t="s">
        <v>27</v>
      </c>
      <c r="G286" s="3" t="s">
        <v>114</v>
      </c>
      <c r="H286" s="3">
        <v>31443</v>
      </c>
      <c r="I286" s="3">
        <v>7</v>
      </c>
      <c r="J286" s="3">
        <v>19134</v>
      </c>
      <c r="K286" s="3">
        <v>28059</v>
      </c>
      <c r="L286" s="3">
        <v>9</v>
      </c>
      <c r="M286" s="3">
        <v>2122.7658879999999</v>
      </c>
    </row>
    <row r="287" spans="1:13" ht="14.25" customHeight="1" x14ac:dyDescent="0.2">
      <c r="A287" s="3" t="s">
        <v>452</v>
      </c>
      <c r="B287" s="3" t="s">
        <v>14</v>
      </c>
      <c r="C287" s="3" t="s">
        <v>35</v>
      </c>
      <c r="D287" s="3" t="s">
        <v>304</v>
      </c>
      <c r="E287" s="3" t="s">
        <v>453</v>
      </c>
      <c r="F287" s="3" t="s">
        <v>27</v>
      </c>
      <c r="G287" s="3" t="s">
        <v>19</v>
      </c>
      <c r="H287" s="3">
        <v>29393</v>
      </c>
      <c r="I287" s="3">
        <v>7</v>
      </c>
      <c r="J287" s="3">
        <v>3277</v>
      </c>
      <c r="K287" s="3">
        <v>25959</v>
      </c>
      <c r="L287" s="3">
        <v>19</v>
      </c>
      <c r="M287" s="3">
        <v>2120.7576979999999</v>
      </c>
    </row>
    <row r="288" spans="1:13" ht="14.25" customHeight="1" x14ac:dyDescent="0.2">
      <c r="A288" s="3" t="s">
        <v>454</v>
      </c>
      <c r="B288" s="3" t="s">
        <v>24</v>
      </c>
      <c r="C288" s="3" t="s">
        <v>35</v>
      </c>
      <c r="D288" s="3" t="s">
        <v>16</v>
      </c>
      <c r="E288" s="3" t="s">
        <v>455</v>
      </c>
      <c r="F288" s="3" t="s">
        <v>22</v>
      </c>
      <c r="G288" s="3" t="s">
        <v>19</v>
      </c>
      <c r="H288" s="3">
        <v>14693</v>
      </c>
      <c r="I288" s="3">
        <v>7</v>
      </c>
      <c r="J288" s="3">
        <v>6597</v>
      </c>
      <c r="K288" s="3">
        <v>13508</v>
      </c>
      <c r="L288" s="3">
        <v>4</v>
      </c>
      <c r="M288" s="3">
        <v>2047.3489239999999</v>
      </c>
    </row>
    <row r="289" spans="1:13" ht="14.25" customHeight="1" x14ac:dyDescent="0.2">
      <c r="A289" s="3" t="s">
        <v>456</v>
      </c>
      <c r="B289" s="3" t="s">
        <v>24</v>
      </c>
      <c r="C289" s="3" t="s">
        <v>32</v>
      </c>
      <c r="D289" s="3" t="s">
        <v>25</v>
      </c>
      <c r="E289" s="3" t="s">
        <v>457</v>
      </c>
      <c r="F289" s="3" t="s">
        <v>27</v>
      </c>
      <c r="G289" s="3" t="s">
        <v>19</v>
      </c>
      <c r="H289" s="3">
        <v>15547</v>
      </c>
      <c r="I289" s="3">
        <v>7</v>
      </c>
      <c r="J289" s="3">
        <v>7615</v>
      </c>
      <c r="K289" s="3">
        <v>14939</v>
      </c>
      <c r="L289" s="3">
        <v>3</v>
      </c>
      <c r="M289" s="3">
        <v>1767.4644559999999</v>
      </c>
    </row>
    <row r="290" spans="1:13" ht="14.25" customHeight="1" x14ac:dyDescent="0.2">
      <c r="A290" s="3" t="s">
        <v>458</v>
      </c>
      <c r="B290" s="3" t="s">
        <v>24</v>
      </c>
      <c r="C290" s="3" t="s">
        <v>32</v>
      </c>
      <c r="D290" s="3" t="s">
        <v>121</v>
      </c>
      <c r="E290" s="3" t="s">
        <v>459</v>
      </c>
      <c r="F290" s="3" t="s">
        <v>64</v>
      </c>
      <c r="G290" s="3" t="s">
        <v>114</v>
      </c>
      <c r="H290" s="3">
        <v>16628</v>
      </c>
      <c r="I290" s="3">
        <v>7</v>
      </c>
      <c r="J290" s="3">
        <v>7974</v>
      </c>
      <c r="K290" s="3">
        <v>15969</v>
      </c>
      <c r="L290" s="3">
        <v>13</v>
      </c>
      <c r="M290" s="3">
        <v>1665.9658509999999</v>
      </c>
    </row>
    <row r="291" spans="1:13" ht="14.25" customHeight="1" x14ac:dyDescent="0.2">
      <c r="A291" s="3" t="s">
        <v>460</v>
      </c>
      <c r="B291" s="3" t="s">
        <v>24</v>
      </c>
      <c r="C291" s="3" t="s">
        <v>29</v>
      </c>
      <c r="D291" s="3" t="s">
        <v>304</v>
      </c>
      <c r="E291" s="3" t="s">
        <v>72</v>
      </c>
      <c r="F291" s="3" t="s">
        <v>27</v>
      </c>
      <c r="G291" s="3" t="s">
        <v>19</v>
      </c>
      <c r="H291" s="3">
        <v>189462</v>
      </c>
      <c r="I291" s="3">
        <v>7</v>
      </c>
      <c r="J291" s="3">
        <v>53431</v>
      </c>
      <c r="K291" s="3">
        <v>163634</v>
      </c>
      <c r="L291" s="3">
        <v>5</v>
      </c>
      <c r="M291" s="3">
        <v>1625.17488</v>
      </c>
    </row>
    <row r="292" spans="1:13" ht="14.25" customHeight="1" x14ac:dyDescent="0.2">
      <c r="A292" s="3" t="s">
        <v>461</v>
      </c>
      <c r="B292" s="3" t="s">
        <v>68</v>
      </c>
      <c r="C292" s="3" t="s">
        <v>32</v>
      </c>
      <c r="D292" s="3" t="s">
        <v>70</v>
      </c>
      <c r="E292" s="3" t="s">
        <v>370</v>
      </c>
      <c r="F292" s="3" t="s">
        <v>22</v>
      </c>
      <c r="G292" s="3" t="s">
        <v>19</v>
      </c>
      <c r="H292" s="3">
        <v>68704</v>
      </c>
      <c r="I292" s="3">
        <v>7</v>
      </c>
      <c r="J292" s="3">
        <v>31283</v>
      </c>
      <c r="K292" s="3">
        <v>59462</v>
      </c>
      <c r="L292" s="3">
        <v>16</v>
      </c>
      <c r="M292" s="3">
        <v>1605.5660310000001</v>
      </c>
    </row>
    <row r="293" spans="1:13" ht="14.25" customHeight="1" x14ac:dyDescent="0.2">
      <c r="A293" s="3" t="s">
        <v>462</v>
      </c>
      <c r="B293" s="3" t="s">
        <v>24</v>
      </c>
      <c r="C293" s="3" t="s">
        <v>35</v>
      </c>
      <c r="D293" s="3" t="s">
        <v>45</v>
      </c>
      <c r="E293" s="3" t="s">
        <v>250</v>
      </c>
      <c r="F293" s="3" t="s">
        <v>22</v>
      </c>
      <c r="G293" s="3" t="s">
        <v>163</v>
      </c>
      <c r="H293" s="3">
        <v>49412</v>
      </c>
      <c r="I293" s="3">
        <v>7</v>
      </c>
      <c r="J293" s="3">
        <v>22155</v>
      </c>
      <c r="K293" s="3">
        <v>43802</v>
      </c>
      <c r="L293" s="3">
        <v>2</v>
      </c>
      <c r="M293" s="3">
        <v>1595.6594660000001</v>
      </c>
    </row>
    <row r="294" spans="1:13" ht="14.25" customHeight="1" x14ac:dyDescent="0.2">
      <c r="A294" s="3" t="s">
        <v>463</v>
      </c>
      <c r="B294" s="3" t="s">
        <v>24</v>
      </c>
      <c r="C294" s="3" t="s">
        <v>15</v>
      </c>
      <c r="D294" s="3" t="s">
        <v>25</v>
      </c>
      <c r="E294" s="3" t="s">
        <v>40</v>
      </c>
      <c r="F294" s="3" t="s">
        <v>22</v>
      </c>
      <c r="G294" s="3" t="s">
        <v>163</v>
      </c>
      <c r="H294" s="3">
        <v>96031</v>
      </c>
      <c r="I294" s="3">
        <v>7</v>
      </c>
      <c r="J294" s="3">
        <v>57187</v>
      </c>
      <c r="K294" s="3">
        <v>78396</v>
      </c>
      <c r="L294" s="3">
        <v>21</v>
      </c>
      <c r="M294" s="3">
        <v>1508.9076700000001</v>
      </c>
    </row>
    <row r="295" spans="1:13" ht="14.25" customHeight="1" x14ac:dyDescent="0.2">
      <c r="A295" s="3" t="s">
        <v>464</v>
      </c>
      <c r="B295" s="3" t="s">
        <v>14</v>
      </c>
      <c r="C295" s="3" t="s">
        <v>15</v>
      </c>
      <c r="D295" s="3" t="s">
        <v>304</v>
      </c>
      <c r="E295" s="3" t="s">
        <v>40</v>
      </c>
      <c r="F295" s="3" t="s">
        <v>27</v>
      </c>
      <c r="G295" s="3" t="s">
        <v>19</v>
      </c>
      <c r="H295" s="3">
        <v>47931</v>
      </c>
      <c r="I295" s="3">
        <v>7</v>
      </c>
      <c r="J295" s="3">
        <v>15989</v>
      </c>
      <c r="K295" s="3">
        <v>38916</v>
      </c>
      <c r="L295" s="3">
        <v>3</v>
      </c>
      <c r="M295" s="3">
        <v>1487.228625</v>
      </c>
    </row>
    <row r="296" spans="1:13" ht="14.25" customHeight="1" x14ac:dyDescent="0.2">
      <c r="A296" s="3" t="s">
        <v>465</v>
      </c>
      <c r="B296" s="3" t="s">
        <v>14</v>
      </c>
      <c r="C296" s="3" t="s">
        <v>15</v>
      </c>
      <c r="D296" s="3" t="s">
        <v>91</v>
      </c>
      <c r="E296" s="3" t="s">
        <v>72</v>
      </c>
      <c r="F296" s="3" t="s">
        <v>22</v>
      </c>
      <c r="G296" s="3" t="s">
        <v>19</v>
      </c>
      <c r="H296" s="3">
        <v>37269</v>
      </c>
      <c r="I296" s="3">
        <v>7</v>
      </c>
      <c r="J296" s="3">
        <v>11667</v>
      </c>
      <c r="K296" s="3">
        <v>33260</v>
      </c>
      <c r="L296" s="3">
        <v>1</v>
      </c>
      <c r="M296" s="3">
        <v>1453.075462</v>
      </c>
    </row>
    <row r="297" spans="1:13" ht="14.25" customHeight="1" x14ac:dyDescent="0.2">
      <c r="A297" s="3" t="s">
        <v>466</v>
      </c>
      <c r="B297" s="3" t="s">
        <v>14</v>
      </c>
      <c r="C297" s="3" t="s">
        <v>15</v>
      </c>
      <c r="D297" s="3" t="s">
        <v>16</v>
      </c>
      <c r="E297" s="3" t="s">
        <v>72</v>
      </c>
      <c r="F297" s="3" t="s">
        <v>27</v>
      </c>
      <c r="G297" s="3" t="s">
        <v>19</v>
      </c>
      <c r="H297" s="3">
        <v>221720</v>
      </c>
      <c r="I297" s="3">
        <v>6</v>
      </c>
      <c r="J297" s="3">
        <v>35178</v>
      </c>
      <c r="K297" s="3">
        <v>196583</v>
      </c>
      <c r="L297" s="3">
        <v>69</v>
      </c>
      <c r="M297" s="3">
        <v>7890.221963</v>
      </c>
    </row>
    <row r="298" spans="1:13" ht="14.25" customHeight="1" x14ac:dyDescent="0.2">
      <c r="A298" s="3" t="s">
        <v>467</v>
      </c>
      <c r="B298" s="3" t="s">
        <v>24</v>
      </c>
      <c r="C298" s="3" t="s">
        <v>32</v>
      </c>
      <c r="D298" s="3" t="s">
        <v>66</v>
      </c>
      <c r="E298" s="3" t="s">
        <v>48</v>
      </c>
      <c r="F298" s="3" t="s">
        <v>27</v>
      </c>
      <c r="G298" s="3" t="s">
        <v>19</v>
      </c>
      <c r="H298" s="3">
        <v>23774</v>
      </c>
      <c r="I298" s="3">
        <v>6</v>
      </c>
      <c r="J298" s="3">
        <v>10735</v>
      </c>
      <c r="K298" s="3">
        <v>21076</v>
      </c>
      <c r="L298" s="3">
        <v>24</v>
      </c>
      <c r="M298" s="3">
        <v>7657.1080339999999</v>
      </c>
    </row>
    <row r="299" spans="1:13" ht="14.25" customHeight="1" x14ac:dyDescent="0.2">
      <c r="A299" s="3" t="s">
        <v>468</v>
      </c>
      <c r="B299" s="3" t="s">
        <v>14</v>
      </c>
      <c r="C299" s="3" t="s">
        <v>15</v>
      </c>
      <c r="D299" s="3" t="s">
        <v>78</v>
      </c>
      <c r="E299" s="3" t="s">
        <v>107</v>
      </c>
      <c r="F299" s="3" t="s">
        <v>22</v>
      </c>
      <c r="G299" s="3" t="s">
        <v>19</v>
      </c>
      <c r="H299" s="3">
        <v>63794</v>
      </c>
      <c r="I299" s="3">
        <v>6</v>
      </c>
      <c r="J299" s="3">
        <v>46557</v>
      </c>
      <c r="K299" s="3">
        <v>60868</v>
      </c>
      <c r="L299" s="3">
        <v>4</v>
      </c>
      <c r="M299" s="3">
        <v>6832.9400670000005</v>
      </c>
    </row>
    <row r="300" spans="1:13" ht="14.25" customHeight="1" x14ac:dyDescent="0.2">
      <c r="A300" s="3" t="s">
        <v>469</v>
      </c>
      <c r="B300" s="3" t="s">
        <v>24</v>
      </c>
      <c r="C300" s="3" t="s">
        <v>35</v>
      </c>
      <c r="D300" s="3" t="s">
        <v>66</v>
      </c>
      <c r="E300" s="3" t="s">
        <v>470</v>
      </c>
      <c r="F300" s="3" t="s">
        <v>27</v>
      </c>
      <c r="G300" s="3" t="s">
        <v>114</v>
      </c>
      <c r="H300" s="3">
        <v>219088</v>
      </c>
      <c r="I300" s="3">
        <v>6</v>
      </c>
      <c r="J300" s="3">
        <v>75638</v>
      </c>
      <c r="K300" s="3">
        <v>153987</v>
      </c>
      <c r="L300" s="3">
        <v>15</v>
      </c>
      <c r="M300" s="3">
        <v>6761.0738240000001</v>
      </c>
    </row>
    <row r="301" spans="1:13" ht="14.25" customHeight="1" x14ac:dyDescent="0.2">
      <c r="A301" s="3" t="s">
        <v>471</v>
      </c>
      <c r="B301" s="3" t="s">
        <v>14</v>
      </c>
      <c r="C301" s="3" t="s">
        <v>15</v>
      </c>
      <c r="D301" s="3" t="s">
        <v>205</v>
      </c>
      <c r="E301" s="3" t="s">
        <v>472</v>
      </c>
      <c r="F301" s="3" t="s">
        <v>27</v>
      </c>
      <c r="G301" s="3" t="s">
        <v>19</v>
      </c>
      <c r="H301" s="3">
        <v>9357</v>
      </c>
      <c r="I301" s="3">
        <v>6</v>
      </c>
      <c r="J301" s="3">
        <v>1754</v>
      </c>
      <c r="K301" s="3">
        <v>8343</v>
      </c>
      <c r="L301" s="3">
        <v>1</v>
      </c>
      <c r="M301" s="3">
        <v>6559.4777560000002</v>
      </c>
    </row>
    <row r="302" spans="1:13" ht="14.25" customHeight="1" x14ac:dyDescent="0.2">
      <c r="A302" s="3" t="s">
        <v>473</v>
      </c>
      <c r="B302" s="3" t="s">
        <v>24</v>
      </c>
      <c r="C302" s="3" t="s">
        <v>15</v>
      </c>
      <c r="D302" s="3" t="s">
        <v>25</v>
      </c>
      <c r="E302" s="3" t="s">
        <v>474</v>
      </c>
      <c r="F302" s="3" t="s">
        <v>27</v>
      </c>
      <c r="G302" s="3" t="s">
        <v>114</v>
      </c>
      <c r="H302" s="3">
        <v>26415</v>
      </c>
      <c r="I302" s="3">
        <v>6</v>
      </c>
      <c r="J302" s="3">
        <v>13791</v>
      </c>
      <c r="K302" s="3">
        <v>25315</v>
      </c>
      <c r="L302" s="3">
        <v>11</v>
      </c>
      <c r="M302" s="3">
        <v>6450.9186369999998</v>
      </c>
    </row>
    <row r="303" spans="1:13" ht="14.25" customHeight="1" x14ac:dyDescent="0.2">
      <c r="A303" s="3" t="s">
        <v>475</v>
      </c>
      <c r="B303" s="3" t="s">
        <v>24</v>
      </c>
      <c r="C303" s="3" t="s">
        <v>15</v>
      </c>
      <c r="D303" s="3" t="s">
        <v>16</v>
      </c>
      <c r="E303" s="3" t="s">
        <v>191</v>
      </c>
      <c r="F303" s="3" t="s">
        <v>27</v>
      </c>
      <c r="G303" s="3" t="s">
        <v>19</v>
      </c>
      <c r="H303" s="3">
        <v>286998</v>
      </c>
      <c r="I303" s="3">
        <v>6</v>
      </c>
      <c r="J303" s="3">
        <v>61586</v>
      </c>
      <c r="K303" s="3">
        <v>247500</v>
      </c>
      <c r="L303" s="3">
        <v>13</v>
      </c>
      <c r="M303" s="3">
        <v>6395.5506240000004</v>
      </c>
    </row>
    <row r="304" spans="1:13" ht="14.25" customHeight="1" x14ac:dyDescent="0.2">
      <c r="A304" s="3" t="s">
        <v>476</v>
      </c>
      <c r="B304" s="3" t="s">
        <v>68</v>
      </c>
      <c r="C304" s="3" t="s">
        <v>15</v>
      </c>
      <c r="D304" s="3" t="s">
        <v>16</v>
      </c>
      <c r="E304" s="3" t="s">
        <v>96</v>
      </c>
      <c r="F304" s="3" t="s">
        <v>27</v>
      </c>
      <c r="G304" s="3" t="s">
        <v>19</v>
      </c>
      <c r="H304" s="3">
        <v>39373</v>
      </c>
      <c r="I304" s="3">
        <v>6</v>
      </c>
      <c r="J304" s="3">
        <v>23152</v>
      </c>
      <c r="K304" s="3">
        <v>35857</v>
      </c>
      <c r="L304" s="3">
        <v>12</v>
      </c>
      <c r="M304" s="3">
        <v>6342.8857859999998</v>
      </c>
    </row>
    <row r="305" spans="1:13" ht="14.25" customHeight="1" x14ac:dyDescent="0.2">
      <c r="A305" s="3" t="s">
        <v>477</v>
      </c>
      <c r="B305" s="3" t="s">
        <v>14</v>
      </c>
      <c r="C305" s="3" t="s">
        <v>32</v>
      </c>
      <c r="D305" s="3" t="s">
        <v>43</v>
      </c>
      <c r="E305" s="3" t="s">
        <v>478</v>
      </c>
      <c r="F305" s="3" t="s">
        <v>27</v>
      </c>
      <c r="G305" s="3" t="s">
        <v>19</v>
      </c>
      <c r="H305" s="3">
        <v>42830</v>
      </c>
      <c r="I305" s="3">
        <v>6</v>
      </c>
      <c r="J305" s="3">
        <v>24499</v>
      </c>
      <c r="K305" s="3">
        <v>34496</v>
      </c>
      <c r="L305" s="3">
        <v>1</v>
      </c>
      <c r="M305" s="3">
        <v>6261.5757240000003</v>
      </c>
    </row>
    <row r="306" spans="1:13" ht="14.25" customHeight="1" x14ac:dyDescent="0.2">
      <c r="A306" s="2" t="s">
        <v>479</v>
      </c>
      <c r="B306" s="3" t="s">
        <v>24</v>
      </c>
      <c r="C306" s="3" t="s">
        <v>15</v>
      </c>
      <c r="D306" s="3" t="s">
        <v>86</v>
      </c>
      <c r="E306" s="3" t="s">
        <v>347</v>
      </c>
      <c r="F306" s="3" t="s">
        <v>22</v>
      </c>
      <c r="G306" s="3" t="s">
        <v>19</v>
      </c>
      <c r="H306" s="3">
        <v>14350</v>
      </c>
      <c r="I306" s="3">
        <v>6</v>
      </c>
      <c r="J306" s="3">
        <v>8228</v>
      </c>
      <c r="K306" s="3">
        <v>13396</v>
      </c>
      <c r="L306" s="3">
        <v>1</v>
      </c>
      <c r="M306" s="2">
        <v>6114.034936</v>
      </c>
    </row>
    <row r="307" spans="1:13" ht="14.25" customHeight="1" x14ac:dyDescent="0.2">
      <c r="A307" s="3" t="s">
        <v>480</v>
      </c>
      <c r="B307" s="3" t="s">
        <v>14</v>
      </c>
      <c r="C307" s="3" t="s">
        <v>35</v>
      </c>
      <c r="D307" s="3" t="s">
        <v>16</v>
      </c>
      <c r="E307" s="3" t="s">
        <v>481</v>
      </c>
      <c r="F307" s="3" t="s">
        <v>76</v>
      </c>
      <c r="G307" s="3" t="s">
        <v>19</v>
      </c>
      <c r="H307" s="3">
        <v>44361</v>
      </c>
      <c r="I307" s="3">
        <v>6</v>
      </c>
      <c r="J307" s="3">
        <v>36040</v>
      </c>
      <c r="K307" s="3">
        <v>40684</v>
      </c>
      <c r="L307" s="3">
        <v>5</v>
      </c>
      <c r="M307" s="3">
        <v>5048.8525529999997</v>
      </c>
    </row>
    <row r="308" spans="1:13" ht="14.25" customHeight="1" x14ac:dyDescent="0.2">
      <c r="A308" s="3" t="s">
        <v>482</v>
      </c>
      <c r="B308" s="3" t="s">
        <v>24</v>
      </c>
      <c r="C308" s="3" t="s">
        <v>15</v>
      </c>
      <c r="D308" s="3" t="s">
        <v>60</v>
      </c>
      <c r="E308" s="3" t="s">
        <v>483</v>
      </c>
      <c r="F308" s="3" t="s">
        <v>27</v>
      </c>
      <c r="G308" s="3" t="s">
        <v>19</v>
      </c>
      <c r="H308" s="3">
        <v>7583</v>
      </c>
      <c r="I308" s="3">
        <v>6</v>
      </c>
      <c r="J308" s="3">
        <v>4608</v>
      </c>
      <c r="K308" s="3">
        <v>5881</v>
      </c>
      <c r="L308" s="3">
        <v>1</v>
      </c>
      <c r="M308" s="3">
        <v>5033.4825780000001</v>
      </c>
    </row>
    <row r="309" spans="1:13" ht="14.25" customHeight="1" x14ac:dyDescent="0.2">
      <c r="A309" s="3" t="s">
        <v>484</v>
      </c>
      <c r="B309" s="3" t="s">
        <v>14</v>
      </c>
      <c r="C309" s="3" t="s">
        <v>35</v>
      </c>
      <c r="D309" s="3" t="s">
        <v>312</v>
      </c>
      <c r="E309" s="3" t="s">
        <v>485</v>
      </c>
      <c r="F309" s="3" t="s">
        <v>38</v>
      </c>
      <c r="G309" s="3" t="s">
        <v>19</v>
      </c>
      <c r="H309" s="3">
        <v>27371</v>
      </c>
      <c r="I309" s="3">
        <v>6</v>
      </c>
      <c r="J309" s="3">
        <v>22256</v>
      </c>
      <c r="K309" s="3">
        <v>25986</v>
      </c>
      <c r="L309" s="3">
        <v>2</v>
      </c>
      <c r="M309" s="3">
        <v>4984.4855829999997</v>
      </c>
    </row>
    <row r="310" spans="1:13" ht="14.25" customHeight="1" x14ac:dyDescent="0.2">
      <c r="A310" s="3" t="s">
        <v>486</v>
      </c>
      <c r="B310" s="3" t="s">
        <v>68</v>
      </c>
      <c r="C310" s="3" t="s">
        <v>29</v>
      </c>
      <c r="D310" s="3" t="s">
        <v>16</v>
      </c>
      <c r="E310" s="3" t="s">
        <v>263</v>
      </c>
      <c r="F310" s="3" t="s">
        <v>27</v>
      </c>
      <c r="G310" s="3" t="s">
        <v>19</v>
      </c>
      <c r="H310" s="3">
        <v>58938</v>
      </c>
      <c r="I310" s="3">
        <v>6</v>
      </c>
      <c r="J310" s="3">
        <v>41861</v>
      </c>
      <c r="K310" s="3">
        <v>55929</v>
      </c>
      <c r="L310" s="3">
        <v>6</v>
      </c>
      <c r="M310" s="3">
        <v>4881.1982690000004</v>
      </c>
    </row>
    <row r="311" spans="1:13" ht="14.25" customHeight="1" x14ac:dyDescent="0.2">
      <c r="A311" s="3" t="s">
        <v>487</v>
      </c>
      <c r="B311" s="3" t="s">
        <v>24</v>
      </c>
      <c r="C311" s="3" t="s">
        <v>29</v>
      </c>
      <c r="D311" s="3" t="s">
        <v>174</v>
      </c>
      <c r="E311" s="3" t="s">
        <v>111</v>
      </c>
      <c r="F311" s="3" t="s">
        <v>38</v>
      </c>
      <c r="G311" s="3" t="s">
        <v>19</v>
      </c>
      <c r="H311" s="3">
        <v>36863</v>
      </c>
      <c r="I311" s="3">
        <v>6</v>
      </c>
      <c r="J311" s="3">
        <v>3570</v>
      </c>
      <c r="K311" s="3">
        <v>29458</v>
      </c>
      <c r="L311" s="3">
        <v>5</v>
      </c>
      <c r="M311" s="3">
        <v>4752.8166849999998</v>
      </c>
    </row>
    <row r="312" spans="1:13" ht="14.25" customHeight="1" x14ac:dyDescent="0.2">
      <c r="A312" s="3" t="s">
        <v>488</v>
      </c>
      <c r="B312" s="3" t="s">
        <v>68</v>
      </c>
      <c r="C312" s="3" t="s">
        <v>29</v>
      </c>
      <c r="D312" s="3" t="s">
        <v>205</v>
      </c>
      <c r="E312" s="3" t="s">
        <v>149</v>
      </c>
      <c r="F312" s="3" t="s">
        <v>27</v>
      </c>
      <c r="G312" s="3" t="s">
        <v>19</v>
      </c>
      <c r="H312" s="3">
        <v>39844</v>
      </c>
      <c r="I312" s="3">
        <v>6</v>
      </c>
      <c r="J312" s="3">
        <v>28001</v>
      </c>
      <c r="K312" s="3">
        <v>36335</v>
      </c>
      <c r="L312" s="3">
        <v>1</v>
      </c>
      <c r="M312" s="3">
        <v>4439.368082</v>
      </c>
    </row>
    <row r="313" spans="1:13" ht="14.25" customHeight="1" x14ac:dyDescent="0.2">
      <c r="A313" s="3" t="s">
        <v>489</v>
      </c>
      <c r="B313" s="3" t="s">
        <v>24</v>
      </c>
      <c r="C313" s="3" t="s">
        <v>29</v>
      </c>
      <c r="D313" s="3" t="s">
        <v>216</v>
      </c>
      <c r="E313" s="3" t="s">
        <v>57</v>
      </c>
      <c r="F313" s="3" t="s">
        <v>38</v>
      </c>
      <c r="G313" s="3" t="s">
        <v>19</v>
      </c>
      <c r="H313" s="3">
        <v>90123</v>
      </c>
      <c r="I313" s="3">
        <v>6</v>
      </c>
      <c r="J313" s="3">
        <v>33421</v>
      </c>
      <c r="K313" s="3">
        <v>66729</v>
      </c>
      <c r="L313" s="3">
        <v>14</v>
      </c>
      <c r="M313" s="3">
        <v>3433.9142870000001</v>
      </c>
    </row>
    <row r="314" spans="1:13" ht="14.25" customHeight="1" x14ac:dyDescent="0.2">
      <c r="A314" s="3" t="s">
        <v>490</v>
      </c>
      <c r="B314" s="3" t="s">
        <v>14</v>
      </c>
      <c r="C314" s="3" t="s">
        <v>35</v>
      </c>
      <c r="D314" s="3" t="s">
        <v>60</v>
      </c>
      <c r="E314" s="3" t="s">
        <v>107</v>
      </c>
      <c r="F314" s="3" t="s">
        <v>27</v>
      </c>
      <c r="G314" s="3" t="s">
        <v>19</v>
      </c>
      <c r="H314" s="3">
        <v>70134</v>
      </c>
      <c r="I314" s="3">
        <v>6</v>
      </c>
      <c r="J314" s="3">
        <v>48862</v>
      </c>
      <c r="K314" s="3">
        <v>66739</v>
      </c>
      <c r="L314" s="3">
        <v>16</v>
      </c>
      <c r="M314" s="3">
        <v>2514.8681160000001</v>
      </c>
    </row>
    <row r="315" spans="1:13" ht="14.25" customHeight="1" x14ac:dyDescent="0.2">
      <c r="A315" s="3" t="s">
        <v>491</v>
      </c>
      <c r="B315" s="3" t="s">
        <v>24</v>
      </c>
      <c r="C315" s="3" t="s">
        <v>15</v>
      </c>
      <c r="D315" s="3" t="s">
        <v>36</v>
      </c>
      <c r="E315" s="3" t="s">
        <v>57</v>
      </c>
      <c r="F315" s="3" t="s">
        <v>41</v>
      </c>
      <c r="G315" s="3" t="s">
        <v>19</v>
      </c>
      <c r="H315" s="3">
        <v>276716</v>
      </c>
      <c r="I315" s="3">
        <v>6</v>
      </c>
      <c r="J315" s="3">
        <v>114927</v>
      </c>
      <c r="K315" s="3">
        <v>255481</v>
      </c>
      <c r="L315" s="3">
        <v>49</v>
      </c>
      <c r="M315" s="3">
        <v>2276.2774709999999</v>
      </c>
    </row>
    <row r="316" spans="1:13" ht="14.25" customHeight="1" x14ac:dyDescent="0.2">
      <c r="A316" s="3" t="s">
        <v>492</v>
      </c>
      <c r="B316" s="3" t="s">
        <v>14</v>
      </c>
      <c r="C316" s="3" t="s">
        <v>15</v>
      </c>
      <c r="D316" s="3" t="s">
        <v>70</v>
      </c>
      <c r="E316" s="3" t="s">
        <v>244</v>
      </c>
      <c r="F316" s="3" t="s">
        <v>27</v>
      </c>
      <c r="G316" s="3" t="s">
        <v>19</v>
      </c>
      <c r="H316" s="3">
        <v>14890</v>
      </c>
      <c r="I316" s="3">
        <v>6</v>
      </c>
      <c r="J316" s="3">
        <v>6248</v>
      </c>
      <c r="K316" s="3">
        <v>11493</v>
      </c>
      <c r="L316" s="3">
        <v>1</v>
      </c>
      <c r="M316" s="3">
        <v>1982.4164840000001</v>
      </c>
    </row>
    <row r="317" spans="1:13" ht="14.25" customHeight="1" x14ac:dyDescent="0.2">
      <c r="A317" s="3" t="s">
        <v>493</v>
      </c>
      <c r="B317" s="3" t="s">
        <v>24</v>
      </c>
      <c r="C317" s="3" t="s">
        <v>35</v>
      </c>
      <c r="D317" s="3" t="s">
        <v>43</v>
      </c>
      <c r="E317" s="3" t="s">
        <v>111</v>
      </c>
      <c r="F317" s="3" t="s">
        <v>76</v>
      </c>
      <c r="G317" s="3" t="s">
        <v>19</v>
      </c>
      <c r="H317" s="3">
        <v>15200</v>
      </c>
      <c r="I317" s="3">
        <v>6</v>
      </c>
      <c r="J317" s="3">
        <v>5375</v>
      </c>
      <c r="K317" s="3">
        <v>12040</v>
      </c>
      <c r="L317" s="3">
        <v>1</v>
      </c>
      <c r="M317" s="3">
        <v>1970.3573449999999</v>
      </c>
    </row>
    <row r="318" spans="1:13" ht="14.25" customHeight="1" x14ac:dyDescent="0.2">
      <c r="A318" s="3" t="s">
        <v>494</v>
      </c>
      <c r="B318" s="3" t="s">
        <v>68</v>
      </c>
      <c r="C318" s="3" t="s">
        <v>32</v>
      </c>
      <c r="D318" s="3" t="s">
        <v>21</v>
      </c>
      <c r="E318" s="3" t="s">
        <v>263</v>
      </c>
      <c r="F318" s="3" t="s">
        <v>22</v>
      </c>
      <c r="G318" s="3" t="s">
        <v>19</v>
      </c>
      <c r="H318" s="3">
        <v>37717</v>
      </c>
      <c r="I318" s="3">
        <v>6</v>
      </c>
      <c r="J318" s="3">
        <v>26541</v>
      </c>
      <c r="K318" s="3">
        <v>35126</v>
      </c>
      <c r="L318" s="3">
        <v>1</v>
      </c>
      <c r="M318" s="3">
        <v>1725.2713630000001</v>
      </c>
    </row>
    <row r="319" spans="1:13" ht="14.25" customHeight="1" x14ac:dyDescent="0.2">
      <c r="A319" s="3" t="s">
        <v>495</v>
      </c>
      <c r="B319" s="3" t="s">
        <v>24</v>
      </c>
      <c r="C319" s="3" t="s">
        <v>29</v>
      </c>
      <c r="D319" s="3" t="s">
        <v>45</v>
      </c>
      <c r="E319" s="3" t="s">
        <v>40</v>
      </c>
      <c r="F319" s="3" t="s">
        <v>27</v>
      </c>
      <c r="G319" s="3" t="s">
        <v>114</v>
      </c>
      <c r="H319" s="3">
        <v>60412</v>
      </c>
      <c r="I319" s="3">
        <v>6</v>
      </c>
      <c r="J319" s="3">
        <v>33457</v>
      </c>
      <c r="K319" s="3">
        <v>52172</v>
      </c>
      <c r="L319" s="3">
        <v>24</v>
      </c>
      <c r="M319" s="3">
        <v>1679.5727079999999</v>
      </c>
    </row>
    <row r="320" spans="1:13" ht="14.25" customHeight="1" x14ac:dyDescent="0.2">
      <c r="A320" s="3" t="s">
        <v>496</v>
      </c>
      <c r="B320" s="3" t="s">
        <v>24</v>
      </c>
      <c r="C320" s="3" t="s">
        <v>29</v>
      </c>
      <c r="D320" s="3" t="s">
        <v>43</v>
      </c>
      <c r="E320" s="3" t="s">
        <v>46</v>
      </c>
      <c r="F320" s="3" t="s">
        <v>27</v>
      </c>
      <c r="G320" s="3" t="s">
        <v>19</v>
      </c>
      <c r="H320" s="3">
        <v>21088</v>
      </c>
      <c r="I320" s="3">
        <v>6</v>
      </c>
      <c r="J320" s="3">
        <v>17930</v>
      </c>
      <c r="K320" s="3">
        <v>19822</v>
      </c>
      <c r="L320" s="3">
        <v>4</v>
      </c>
      <c r="M320" s="3">
        <v>1623.681601</v>
      </c>
    </row>
    <row r="321" spans="1:13" ht="14.25" customHeight="1" x14ac:dyDescent="0.2">
      <c r="A321" s="3" t="s">
        <v>497</v>
      </c>
      <c r="B321" s="3" t="s">
        <v>24</v>
      </c>
      <c r="C321" s="3" t="s">
        <v>15</v>
      </c>
      <c r="D321" s="3" t="s">
        <v>25</v>
      </c>
      <c r="E321" s="3" t="s">
        <v>191</v>
      </c>
      <c r="F321" s="3" t="s">
        <v>41</v>
      </c>
      <c r="G321" s="3" t="s">
        <v>19</v>
      </c>
      <c r="H321" s="3">
        <v>109567</v>
      </c>
      <c r="I321" s="3">
        <v>6</v>
      </c>
      <c r="J321" s="3">
        <v>57620</v>
      </c>
      <c r="K321" s="3">
        <v>97903</v>
      </c>
      <c r="L321" s="3">
        <v>5</v>
      </c>
      <c r="M321" s="3">
        <v>1616.7147219999999</v>
      </c>
    </row>
    <row r="322" spans="1:13" ht="14.25" customHeight="1" x14ac:dyDescent="0.2">
      <c r="A322" s="3" t="s">
        <v>498</v>
      </c>
      <c r="B322" s="3" t="s">
        <v>24</v>
      </c>
      <c r="C322" s="3" t="s">
        <v>15</v>
      </c>
      <c r="D322" s="3" t="s">
        <v>343</v>
      </c>
      <c r="E322" s="3" t="s">
        <v>63</v>
      </c>
      <c r="F322" s="3" t="s">
        <v>27</v>
      </c>
      <c r="G322" s="3" t="s">
        <v>19</v>
      </c>
      <c r="H322" s="3">
        <v>77748</v>
      </c>
      <c r="I322" s="3">
        <v>6</v>
      </c>
      <c r="J322" s="3">
        <v>6170</v>
      </c>
      <c r="K322" s="3">
        <v>53603</v>
      </c>
      <c r="L322" s="3">
        <v>3</v>
      </c>
      <c r="M322" s="3">
        <v>1498.3009</v>
      </c>
    </row>
    <row r="323" spans="1:13" ht="14.25" customHeight="1" x14ac:dyDescent="0.2">
      <c r="A323" s="3" t="s">
        <v>499</v>
      </c>
      <c r="B323" s="3" t="s">
        <v>24</v>
      </c>
      <c r="C323" s="3" t="s">
        <v>35</v>
      </c>
      <c r="D323" s="3" t="s">
        <v>16</v>
      </c>
      <c r="E323" s="3" t="s">
        <v>119</v>
      </c>
      <c r="F323" s="3" t="s">
        <v>81</v>
      </c>
      <c r="G323" s="3" t="s">
        <v>163</v>
      </c>
      <c r="H323" s="3">
        <v>18313</v>
      </c>
      <c r="I323" s="3">
        <v>6</v>
      </c>
      <c r="J323" s="3">
        <v>9481</v>
      </c>
      <c r="K323" s="3">
        <v>16300</v>
      </c>
      <c r="L323" s="3">
        <v>2</v>
      </c>
      <c r="M323" s="3">
        <v>1456.9341870000001</v>
      </c>
    </row>
    <row r="324" spans="1:13" ht="14.25" customHeight="1" x14ac:dyDescent="0.2">
      <c r="A324" s="3" t="s">
        <v>500</v>
      </c>
      <c r="B324" s="3" t="s">
        <v>14</v>
      </c>
      <c r="C324" s="3" t="s">
        <v>15</v>
      </c>
      <c r="D324" s="3" t="s">
        <v>70</v>
      </c>
      <c r="E324" s="3" t="s">
        <v>501</v>
      </c>
      <c r="F324" s="3" t="s">
        <v>64</v>
      </c>
      <c r="G324" s="3" t="s">
        <v>19</v>
      </c>
      <c r="H324" s="3">
        <v>9157</v>
      </c>
      <c r="I324" s="3">
        <v>6</v>
      </c>
      <c r="J324" s="3">
        <v>4520</v>
      </c>
      <c r="K324" s="3">
        <v>8037</v>
      </c>
      <c r="L324" s="3">
        <v>1</v>
      </c>
      <c r="M324" s="3">
        <v>1449.1778039999999</v>
      </c>
    </row>
    <row r="325" spans="1:13" ht="14.25" customHeight="1" x14ac:dyDescent="0.2">
      <c r="A325" s="3" t="s">
        <v>502</v>
      </c>
      <c r="B325" s="3" t="s">
        <v>14</v>
      </c>
      <c r="C325" s="3" t="s">
        <v>35</v>
      </c>
      <c r="D325" s="3" t="s">
        <v>503</v>
      </c>
      <c r="E325" s="3" t="s">
        <v>504</v>
      </c>
      <c r="F325" s="3" t="s">
        <v>27</v>
      </c>
      <c r="G325" s="3" t="s">
        <v>19</v>
      </c>
      <c r="H325" s="3">
        <v>22180</v>
      </c>
      <c r="I325" s="3">
        <v>6</v>
      </c>
      <c r="J325" s="3">
        <v>4835</v>
      </c>
      <c r="K325" s="3">
        <v>19291</v>
      </c>
      <c r="L325" s="3">
        <v>9</v>
      </c>
      <c r="M325" s="3">
        <v>1441.631095</v>
      </c>
    </row>
    <row r="326" spans="1:13" ht="14.25" customHeight="1" x14ac:dyDescent="0.2">
      <c r="A326" s="3" t="s">
        <v>505</v>
      </c>
      <c r="B326" s="3" t="s">
        <v>14</v>
      </c>
      <c r="C326" s="3" t="s">
        <v>35</v>
      </c>
      <c r="D326" s="3" t="s">
        <v>205</v>
      </c>
      <c r="E326" s="3" t="s">
        <v>111</v>
      </c>
      <c r="F326" s="3" t="s">
        <v>41</v>
      </c>
      <c r="G326" s="3" t="s">
        <v>19</v>
      </c>
      <c r="H326" s="3">
        <v>18324</v>
      </c>
      <c r="I326" s="3">
        <v>5</v>
      </c>
      <c r="J326" s="3">
        <v>3145</v>
      </c>
      <c r="K326" s="3">
        <v>13703</v>
      </c>
      <c r="L326" s="3">
        <v>1</v>
      </c>
      <c r="M326" s="3">
        <v>6996.2318379999997</v>
      </c>
    </row>
    <row r="327" spans="1:13" ht="14.25" customHeight="1" x14ac:dyDescent="0.2">
      <c r="A327" s="3" t="s">
        <v>506</v>
      </c>
      <c r="B327" s="3" t="s">
        <v>24</v>
      </c>
      <c r="C327" s="3" t="s">
        <v>35</v>
      </c>
      <c r="D327" s="3" t="s">
        <v>86</v>
      </c>
      <c r="E327" s="3" t="s">
        <v>166</v>
      </c>
      <c r="F327" s="3" t="s">
        <v>41</v>
      </c>
      <c r="G327" s="3" t="s">
        <v>19</v>
      </c>
      <c r="H327" s="3">
        <v>21280</v>
      </c>
      <c r="I327" s="3">
        <v>5</v>
      </c>
      <c r="J327" s="3">
        <v>15309</v>
      </c>
      <c r="K327" s="3">
        <v>20244</v>
      </c>
      <c r="L327" s="3">
        <v>6</v>
      </c>
      <c r="M327" s="3">
        <v>6837.5106020000003</v>
      </c>
    </row>
    <row r="328" spans="1:13" ht="14.25" customHeight="1" x14ac:dyDescent="0.2">
      <c r="A328" s="3" t="s">
        <v>507</v>
      </c>
      <c r="B328" s="3" t="s">
        <v>24</v>
      </c>
      <c r="C328" s="3" t="s">
        <v>15</v>
      </c>
      <c r="D328" s="3" t="s">
        <v>91</v>
      </c>
      <c r="E328" s="3" t="s">
        <v>403</v>
      </c>
      <c r="F328" s="3" t="s">
        <v>64</v>
      </c>
      <c r="G328" s="3" t="s">
        <v>163</v>
      </c>
      <c r="H328" s="3">
        <v>123430</v>
      </c>
      <c r="I328" s="3">
        <v>5</v>
      </c>
      <c r="J328" s="3">
        <v>45294</v>
      </c>
      <c r="K328" s="3">
        <v>77646</v>
      </c>
      <c r="L328" s="3">
        <v>15</v>
      </c>
      <c r="M328" s="3">
        <v>6808.5625840000002</v>
      </c>
    </row>
    <row r="329" spans="1:13" ht="14.25" customHeight="1" x14ac:dyDescent="0.2">
      <c r="A329" s="3" t="s">
        <v>508</v>
      </c>
      <c r="B329" s="3" t="s">
        <v>24</v>
      </c>
      <c r="C329" s="3" t="s">
        <v>35</v>
      </c>
      <c r="D329" s="3" t="s">
        <v>25</v>
      </c>
      <c r="E329" s="3" t="s">
        <v>509</v>
      </c>
      <c r="F329" s="3" t="s">
        <v>41</v>
      </c>
      <c r="G329" s="3" t="s">
        <v>19</v>
      </c>
      <c r="H329" s="3">
        <v>14451</v>
      </c>
      <c r="I329" s="3">
        <v>5</v>
      </c>
      <c r="J329" s="3">
        <v>5606</v>
      </c>
      <c r="K329" s="3">
        <v>13461</v>
      </c>
      <c r="L329" s="3">
        <v>1</v>
      </c>
      <c r="M329" s="3">
        <v>6397.6025179999997</v>
      </c>
    </row>
    <row r="330" spans="1:13" ht="14.25" customHeight="1" x14ac:dyDescent="0.2">
      <c r="A330" s="3" t="s">
        <v>510</v>
      </c>
      <c r="B330" s="3" t="s">
        <v>24</v>
      </c>
      <c r="C330" s="3" t="s">
        <v>29</v>
      </c>
      <c r="D330" s="3" t="s">
        <v>91</v>
      </c>
      <c r="E330" s="3" t="s">
        <v>396</v>
      </c>
      <c r="F330" s="3" t="s">
        <v>41</v>
      </c>
      <c r="G330" s="3" t="s">
        <v>114</v>
      </c>
      <c r="H330" s="3">
        <v>48562</v>
      </c>
      <c r="I330" s="3">
        <v>5</v>
      </c>
      <c r="J330" s="3">
        <v>29108</v>
      </c>
      <c r="K330" s="3">
        <v>45570</v>
      </c>
      <c r="L330" s="3">
        <v>11</v>
      </c>
      <c r="M330" s="3">
        <v>6346.6330239999998</v>
      </c>
    </row>
    <row r="331" spans="1:13" ht="14.25" customHeight="1" x14ac:dyDescent="0.2">
      <c r="A331" s="3" t="s">
        <v>511</v>
      </c>
      <c r="B331" s="3" t="s">
        <v>24</v>
      </c>
      <c r="C331" s="3" t="s">
        <v>35</v>
      </c>
      <c r="D331" s="3" t="s">
        <v>43</v>
      </c>
      <c r="E331" s="3" t="s">
        <v>347</v>
      </c>
      <c r="F331" s="3" t="s">
        <v>38</v>
      </c>
      <c r="G331" s="3" t="s">
        <v>163</v>
      </c>
      <c r="H331" s="3">
        <v>7965</v>
      </c>
      <c r="I331" s="3">
        <v>5</v>
      </c>
      <c r="J331" s="3">
        <v>5230</v>
      </c>
      <c r="K331" s="3">
        <v>6923</v>
      </c>
      <c r="L331" s="3">
        <v>10</v>
      </c>
      <c r="M331" s="3">
        <v>6298.5139289999997</v>
      </c>
    </row>
    <row r="332" spans="1:13" ht="14.25" customHeight="1" x14ac:dyDescent="0.2">
      <c r="A332" s="3" t="s">
        <v>512</v>
      </c>
      <c r="B332" s="3" t="s">
        <v>24</v>
      </c>
      <c r="C332" s="3" t="s">
        <v>29</v>
      </c>
      <c r="D332" s="3" t="s">
        <v>121</v>
      </c>
      <c r="E332" s="3" t="s">
        <v>40</v>
      </c>
      <c r="F332" s="3" t="s">
        <v>18</v>
      </c>
      <c r="G332" s="3" t="s">
        <v>114</v>
      </c>
      <c r="H332" s="3">
        <v>117518</v>
      </c>
      <c r="I332" s="3">
        <v>5</v>
      </c>
      <c r="J332" s="3">
        <v>66458</v>
      </c>
      <c r="K332" s="3">
        <v>86571</v>
      </c>
      <c r="L332" s="3">
        <v>1</v>
      </c>
      <c r="M332" s="3">
        <v>5999.9937810000001</v>
      </c>
    </row>
    <row r="333" spans="1:13" ht="14.25" customHeight="1" x14ac:dyDescent="0.2">
      <c r="A333" s="3" t="s">
        <v>513</v>
      </c>
      <c r="B333" s="3" t="s">
        <v>24</v>
      </c>
      <c r="C333" s="3" t="s">
        <v>29</v>
      </c>
      <c r="D333" s="3" t="s">
        <v>16</v>
      </c>
      <c r="E333" s="3" t="s">
        <v>72</v>
      </c>
      <c r="F333" s="3" t="s">
        <v>27</v>
      </c>
      <c r="G333" s="3" t="s">
        <v>19</v>
      </c>
      <c r="H333" s="3">
        <v>161178</v>
      </c>
      <c r="I333" s="3">
        <v>5</v>
      </c>
      <c r="J333" s="3">
        <v>70181</v>
      </c>
      <c r="K333" s="3">
        <v>150003</v>
      </c>
      <c r="L333" s="3">
        <v>11</v>
      </c>
      <c r="M333" s="3">
        <v>5892.48218</v>
      </c>
    </row>
    <row r="334" spans="1:13" ht="14.25" customHeight="1" x14ac:dyDescent="0.2">
      <c r="A334" s="3" t="s">
        <v>514</v>
      </c>
      <c r="B334" s="3" t="s">
        <v>14</v>
      </c>
      <c r="C334" s="3" t="s">
        <v>35</v>
      </c>
      <c r="D334" s="3" t="s">
        <v>16</v>
      </c>
      <c r="E334" s="3" t="s">
        <v>379</v>
      </c>
      <c r="F334" s="3" t="s">
        <v>27</v>
      </c>
      <c r="G334" s="3" t="s">
        <v>19</v>
      </c>
      <c r="H334" s="3">
        <v>25835</v>
      </c>
      <c r="I334" s="3">
        <v>5</v>
      </c>
      <c r="J334" s="3">
        <v>3753</v>
      </c>
      <c r="K334" s="3">
        <v>20808</v>
      </c>
      <c r="L334" s="3">
        <v>11</v>
      </c>
      <c r="M334" s="3">
        <v>5751.9122969999999</v>
      </c>
    </row>
    <row r="335" spans="1:13" ht="14.25" customHeight="1" x14ac:dyDescent="0.2">
      <c r="A335" s="3" t="s">
        <v>515</v>
      </c>
      <c r="B335" s="3" t="s">
        <v>14</v>
      </c>
      <c r="C335" s="3" t="s">
        <v>15</v>
      </c>
      <c r="D335" s="3" t="s">
        <v>21</v>
      </c>
      <c r="E335" s="3" t="s">
        <v>17</v>
      </c>
      <c r="F335" s="3" t="s">
        <v>22</v>
      </c>
      <c r="G335" s="3" t="s">
        <v>19</v>
      </c>
      <c r="H335" s="3">
        <v>35178</v>
      </c>
      <c r="I335" s="3">
        <v>5</v>
      </c>
      <c r="J335" s="3">
        <v>23374</v>
      </c>
      <c r="K335" s="3">
        <v>33779</v>
      </c>
      <c r="L335" s="3">
        <v>5</v>
      </c>
      <c r="M335" s="3">
        <v>5738.8090890000003</v>
      </c>
    </row>
    <row r="336" spans="1:13" ht="14.25" customHeight="1" x14ac:dyDescent="0.2">
      <c r="A336" s="3" t="s">
        <v>516</v>
      </c>
      <c r="B336" s="3" t="s">
        <v>14</v>
      </c>
      <c r="C336" s="3" t="s">
        <v>29</v>
      </c>
      <c r="D336" s="3" t="s">
        <v>60</v>
      </c>
      <c r="E336" s="3" t="s">
        <v>517</v>
      </c>
      <c r="F336" s="3" t="s">
        <v>41</v>
      </c>
      <c r="G336" s="3" t="s">
        <v>19</v>
      </c>
      <c r="H336" s="3">
        <v>12214</v>
      </c>
      <c r="I336" s="3">
        <v>5</v>
      </c>
      <c r="J336" s="3">
        <v>5376</v>
      </c>
      <c r="K336" s="3">
        <v>11490</v>
      </c>
      <c r="L336" s="3">
        <v>1</v>
      </c>
      <c r="M336" s="3">
        <v>5616.3094019999999</v>
      </c>
    </row>
    <row r="337" spans="1:13" ht="14.25" customHeight="1" x14ac:dyDescent="0.2">
      <c r="A337" s="3" t="s">
        <v>518</v>
      </c>
      <c r="B337" s="3" t="s">
        <v>14</v>
      </c>
      <c r="C337" s="3" t="s">
        <v>35</v>
      </c>
      <c r="D337" s="3" t="s">
        <v>25</v>
      </c>
      <c r="E337" s="3" t="s">
        <v>191</v>
      </c>
      <c r="F337" s="3" t="s">
        <v>27</v>
      </c>
      <c r="G337" s="3" t="s">
        <v>19</v>
      </c>
      <c r="H337" s="3">
        <v>232470</v>
      </c>
      <c r="I337" s="3">
        <v>5</v>
      </c>
      <c r="J337" s="3">
        <v>40870</v>
      </c>
      <c r="K337" s="3">
        <v>195447</v>
      </c>
      <c r="L337" s="3">
        <v>36</v>
      </c>
      <c r="M337" s="3">
        <v>5401.3650850000004</v>
      </c>
    </row>
    <row r="338" spans="1:13" ht="14.25" customHeight="1" x14ac:dyDescent="0.2">
      <c r="A338" s="3" t="s">
        <v>519</v>
      </c>
      <c r="B338" s="3" t="s">
        <v>24</v>
      </c>
      <c r="C338" s="3" t="s">
        <v>29</v>
      </c>
      <c r="D338" s="3" t="s">
        <v>43</v>
      </c>
      <c r="E338" s="3" t="s">
        <v>520</v>
      </c>
      <c r="F338" s="3" t="s">
        <v>27</v>
      </c>
      <c r="G338" s="3" t="s">
        <v>19</v>
      </c>
      <c r="H338" s="3">
        <v>7921</v>
      </c>
      <c r="I338" s="3">
        <v>5</v>
      </c>
      <c r="J338" s="3">
        <v>4727</v>
      </c>
      <c r="K338" s="3">
        <v>6513</v>
      </c>
      <c r="L338" s="3">
        <v>1</v>
      </c>
      <c r="M338" s="3">
        <v>5379.00144</v>
      </c>
    </row>
    <row r="339" spans="1:13" ht="14.25" customHeight="1" x14ac:dyDescent="0.2">
      <c r="A339" s="3" t="s">
        <v>521</v>
      </c>
      <c r="B339" s="3" t="s">
        <v>24</v>
      </c>
      <c r="C339" s="3" t="s">
        <v>32</v>
      </c>
      <c r="D339" s="3" t="s">
        <v>86</v>
      </c>
      <c r="E339" s="3" t="s">
        <v>72</v>
      </c>
      <c r="F339" s="3" t="s">
        <v>27</v>
      </c>
      <c r="G339" s="3" t="s">
        <v>163</v>
      </c>
      <c r="H339" s="3">
        <v>104538</v>
      </c>
      <c r="I339" s="3">
        <v>5</v>
      </c>
      <c r="J339" s="3">
        <v>49049</v>
      </c>
      <c r="K339" s="3">
        <v>97093</v>
      </c>
      <c r="L339" s="3">
        <v>2</v>
      </c>
      <c r="M339" s="3">
        <v>5266.4242329999997</v>
      </c>
    </row>
    <row r="340" spans="1:13" ht="14.25" customHeight="1" x14ac:dyDescent="0.2">
      <c r="A340" s="3" t="s">
        <v>522</v>
      </c>
      <c r="B340" s="3" t="s">
        <v>24</v>
      </c>
      <c r="C340" s="3" t="s">
        <v>32</v>
      </c>
      <c r="D340" s="3" t="s">
        <v>43</v>
      </c>
      <c r="E340" s="3" t="s">
        <v>523</v>
      </c>
      <c r="F340" s="3" t="s">
        <v>22</v>
      </c>
      <c r="G340" s="3" t="s">
        <v>114</v>
      </c>
      <c r="H340" s="3">
        <v>25021</v>
      </c>
      <c r="I340" s="3">
        <v>5</v>
      </c>
      <c r="J340" s="3">
        <v>11084</v>
      </c>
      <c r="K340" s="3">
        <v>18079</v>
      </c>
      <c r="L340" s="3">
        <v>9</v>
      </c>
      <c r="M340" s="3">
        <v>4961.4788840000001</v>
      </c>
    </row>
    <row r="341" spans="1:13" ht="14.25" customHeight="1" x14ac:dyDescent="0.2">
      <c r="A341" s="3" t="s">
        <v>524</v>
      </c>
      <c r="B341" s="3" t="s">
        <v>14</v>
      </c>
      <c r="C341" s="3" t="s">
        <v>32</v>
      </c>
      <c r="D341" s="3" t="s">
        <v>25</v>
      </c>
      <c r="E341" s="3" t="s">
        <v>266</v>
      </c>
      <c r="F341" s="3" t="s">
        <v>27</v>
      </c>
      <c r="G341" s="3" t="s">
        <v>19</v>
      </c>
      <c r="H341" s="3">
        <v>95289</v>
      </c>
      <c r="I341" s="3">
        <v>5</v>
      </c>
      <c r="J341" s="3">
        <v>19527</v>
      </c>
      <c r="K341" s="3">
        <v>82800</v>
      </c>
      <c r="L341" s="3">
        <v>2</v>
      </c>
      <c r="M341" s="3">
        <v>3223.5359480000002</v>
      </c>
    </row>
    <row r="342" spans="1:13" ht="14.25" customHeight="1" x14ac:dyDescent="0.2">
      <c r="A342" s="3" t="s">
        <v>525</v>
      </c>
      <c r="B342" s="3" t="s">
        <v>24</v>
      </c>
      <c r="C342" s="3" t="s">
        <v>15</v>
      </c>
      <c r="D342" s="3" t="s">
        <v>503</v>
      </c>
      <c r="E342" s="3" t="s">
        <v>250</v>
      </c>
      <c r="F342" s="3" t="s">
        <v>27</v>
      </c>
      <c r="G342" s="3" t="s">
        <v>19</v>
      </c>
      <c r="H342" s="3">
        <v>15449</v>
      </c>
      <c r="I342" s="3">
        <v>5</v>
      </c>
      <c r="J342" s="3">
        <v>4595</v>
      </c>
      <c r="K342" s="3">
        <v>13765</v>
      </c>
      <c r="L342" s="3">
        <v>1</v>
      </c>
      <c r="M342" s="3">
        <v>3122.9425740000001</v>
      </c>
    </row>
    <row r="343" spans="1:13" ht="14.25" customHeight="1" x14ac:dyDescent="0.2">
      <c r="A343" s="3" t="s">
        <v>526</v>
      </c>
      <c r="B343" s="3" t="s">
        <v>14</v>
      </c>
      <c r="C343" s="3" t="s">
        <v>32</v>
      </c>
      <c r="D343" s="3" t="s">
        <v>45</v>
      </c>
      <c r="E343" s="3" t="s">
        <v>40</v>
      </c>
      <c r="F343" s="3" t="s">
        <v>27</v>
      </c>
      <c r="G343" s="3" t="s">
        <v>19</v>
      </c>
      <c r="H343" s="3">
        <v>58738</v>
      </c>
      <c r="I343" s="3">
        <v>5</v>
      </c>
      <c r="J343" s="3">
        <v>33538</v>
      </c>
      <c r="K343" s="3">
        <v>47535</v>
      </c>
      <c r="L343" s="3">
        <v>14</v>
      </c>
      <c r="M343" s="3">
        <v>2801.584386</v>
      </c>
    </row>
    <row r="344" spans="1:13" ht="14.25" customHeight="1" x14ac:dyDescent="0.2">
      <c r="A344" s="3" t="s">
        <v>527</v>
      </c>
      <c r="B344" s="3" t="s">
        <v>14</v>
      </c>
      <c r="C344" s="3" t="s">
        <v>15</v>
      </c>
      <c r="D344" s="3" t="s">
        <v>43</v>
      </c>
      <c r="E344" s="3" t="s">
        <v>17</v>
      </c>
      <c r="F344" s="3" t="s">
        <v>50</v>
      </c>
      <c r="G344" s="3" t="s">
        <v>19</v>
      </c>
      <c r="H344" s="3">
        <v>3354</v>
      </c>
      <c r="I344" s="3">
        <v>5</v>
      </c>
      <c r="J344" s="3">
        <v>1607</v>
      </c>
      <c r="K344" s="3">
        <v>3014</v>
      </c>
      <c r="L344" s="3">
        <v>13</v>
      </c>
      <c r="M344" s="3">
        <v>2610.7940979999998</v>
      </c>
    </row>
    <row r="345" spans="1:13" ht="14.25" customHeight="1" x14ac:dyDescent="0.2">
      <c r="A345" s="3" t="s">
        <v>528</v>
      </c>
      <c r="B345" s="3" t="s">
        <v>68</v>
      </c>
      <c r="C345" s="3" t="s">
        <v>15</v>
      </c>
      <c r="D345" s="3" t="s">
        <v>121</v>
      </c>
      <c r="E345" s="3" t="s">
        <v>529</v>
      </c>
      <c r="F345" s="3" t="s">
        <v>27</v>
      </c>
      <c r="G345" s="3" t="s">
        <v>19</v>
      </c>
      <c r="H345" s="3">
        <v>15602</v>
      </c>
      <c r="I345" s="3">
        <v>5</v>
      </c>
      <c r="J345" s="3">
        <v>7676</v>
      </c>
      <c r="K345" s="3">
        <v>13775</v>
      </c>
      <c r="L345" s="3">
        <v>1</v>
      </c>
      <c r="M345" s="3">
        <v>2600.894327</v>
      </c>
    </row>
    <row r="346" spans="1:13" ht="14.25" customHeight="1" x14ac:dyDescent="0.2">
      <c r="A346" s="3" t="s">
        <v>530</v>
      </c>
      <c r="B346" s="3" t="s">
        <v>14</v>
      </c>
      <c r="C346" s="3" t="s">
        <v>15</v>
      </c>
      <c r="D346" s="3" t="s">
        <v>43</v>
      </c>
      <c r="E346" s="3" t="s">
        <v>79</v>
      </c>
      <c r="F346" s="3" t="s">
        <v>27</v>
      </c>
      <c r="G346" s="3" t="s">
        <v>19</v>
      </c>
      <c r="H346" s="3">
        <v>68008</v>
      </c>
      <c r="I346" s="3">
        <v>5</v>
      </c>
      <c r="J346" s="3">
        <v>2996</v>
      </c>
      <c r="K346" s="3">
        <v>49686</v>
      </c>
      <c r="L346" s="3">
        <v>9</v>
      </c>
      <c r="M346" s="3">
        <v>1923.808141</v>
      </c>
    </row>
    <row r="347" spans="1:13" ht="14.25" customHeight="1" x14ac:dyDescent="0.2">
      <c r="A347" s="3" t="s">
        <v>531</v>
      </c>
      <c r="B347" s="3" t="s">
        <v>14</v>
      </c>
      <c r="C347" s="3" t="s">
        <v>15</v>
      </c>
      <c r="D347" s="3" t="s">
        <v>532</v>
      </c>
      <c r="E347" s="3" t="s">
        <v>533</v>
      </c>
      <c r="F347" s="3" t="s">
        <v>81</v>
      </c>
      <c r="G347" s="3" t="s">
        <v>19</v>
      </c>
      <c r="H347" s="3">
        <v>3985</v>
      </c>
      <c r="I347" s="3">
        <v>5</v>
      </c>
      <c r="J347" s="3">
        <v>2690</v>
      </c>
      <c r="K347" s="3">
        <v>3766</v>
      </c>
      <c r="L347" s="3">
        <v>15</v>
      </c>
      <c r="M347" s="3">
        <v>1849.6113210000001</v>
      </c>
    </row>
    <row r="348" spans="1:13" ht="14.25" customHeight="1" x14ac:dyDescent="0.2">
      <c r="A348" s="3" t="s">
        <v>534</v>
      </c>
      <c r="B348" s="3" t="s">
        <v>14</v>
      </c>
      <c r="C348" s="3" t="s">
        <v>29</v>
      </c>
      <c r="D348" s="3" t="s">
        <v>70</v>
      </c>
      <c r="E348" s="3" t="s">
        <v>535</v>
      </c>
      <c r="F348" s="3" t="s">
        <v>27</v>
      </c>
      <c r="G348" s="3" t="s">
        <v>19</v>
      </c>
      <c r="H348" s="3">
        <v>11025</v>
      </c>
      <c r="I348" s="3">
        <v>5</v>
      </c>
      <c r="J348" s="3">
        <v>7974</v>
      </c>
      <c r="K348" s="3">
        <v>10311</v>
      </c>
      <c r="L348" s="3">
        <v>4</v>
      </c>
      <c r="M348" s="3">
        <v>1657.159766</v>
      </c>
    </row>
    <row r="349" spans="1:13" ht="14.25" customHeight="1" x14ac:dyDescent="0.2">
      <c r="A349" s="3" t="s">
        <v>536</v>
      </c>
      <c r="B349" s="3" t="s">
        <v>24</v>
      </c>
      <c r="C349" s="3" t="s">
        <v>29</v>
      </c>
      <c r="D349" s="3" t="s">
        <v>228</v>
      </c>
      <c r="E349" s="3" t="s">
        <v>263</v>
      </c>
      <c r="F349" s="3" t="s">
        <v>27</v>
      </c>
      <c r="G349" s="3" t="s">
        <v>163</v>
      </c>
      <c r="H349" s="3">
        <v>16236</v>
      </c>
      <c r="I349" s="3">
        <v>5</v>
      </c>
      <c r="J349" s="3">
        <v>8669</v>
      </c>
      <c r="K349" s="3">
        <v>15208</v>
      </c>
      <c r="L349" s="3">
        <v>11</v>
      </c>
      <c r="M349" s="3">
        <v>1639.8136959999999</v>
      </c>
    </row>
    <row r="350" spans="1:13" ht="14.25" customHeight="1" x14ac:dyDescent="0.2">
      <c r="A350" s="3" t="s">
        <v>537</v>
      </c>
      <c r="B350" s="3" t="s">
        <v>14</v>
      </c>
      <c r="C350" s="3" t="s">
        <v>35</v>
      </c>
      <c r="D350" s="3" t="s">
        <v>25</v>
      </c>
      <c r="E350" s="3" t="s">
        <v>72</v>
      </c>
      <c r="F350" s="3" t="s">
        <v>22</v>
      </c>
      <c r="G350" s="3" t="s">
        <v>19</v>
      </c>
      <c r="H350" s="3">
        <v>87287</v>
      </c>
      <c r="I350" s="3">
        <v>5</v>
      </c>
      <c r="J350" s="3">
        <v>40039</v>
      </c>
      <c r="K350" s="3">
        <v>80040</v>
      </c>
      <c r="L350" s="3">
        <v>18</v>
      </c>
      <c r="M350" s="3">
        <v>1579.367346</v>
      </c>
    </row>
    <row r="351" spans="1:13" ht="14.25" customHeight="1" x14ac:dyDescent="0.2">
      <c r="A351" s="3" t="s">
        <v>538</v>
      </c>
      <c r="B351" s="3" t="s">
        <v>14</v>
      </c>
      <c r="C351" s="3" t="s">
        <v>15</v>
      </c>
      <c r="D351" s="3" t="s">
        <v>25</v>
      </c>
      <c r="E351" s="3" t="s">
        <v>17</v>
      </c>
      <c r="F351" s="3" t="s">
        <v>27</v>
      </c>
      <c r="G351" s="3" t="s">
        <v>19</v>
      </c>
      <c r="H351" s="3">
        <v>21478</v>
      </c>
      <c r="I351" s="3">
        <v>5</v>
      </c>
      <c r="J351" s="3">
        <v>15548</v>
      </c>
      <c r="K351" s="3">
        <v>20651</v>
      </c>
      <c r="L351" s="3">
        <v>24</v>
      </c>
      <c r="M351" s="3">
        <v>1541.2140469999999</v>
      </c>
    </row>
    <row r="352" spans="1:13" ht="14.25" customHeight="1" x14ac:dyDescent="0.2">
      <c r="A352" s="3" t="s">
        <v>539</v>
      </c>
      <c r="B352" s="3" t="s">
        <v>14</v>
      </c>
      <c r="C352" s="3" t="s">
        <v>29</v>
      </c>
      <c r="D352" s="3" t="s">
        <v>45</v>
      </c>
      <c r="E352" s="3" t="s">
        <v>540</v>
      </c>
      <c r="F352" s="3" t="s">
        <v>22</v>
      </c>
      <c r="G352" s="3" t="s">
        <v>19</v>
      </c>
      <c r="H352" s="3">
        <v>17561</v>
      </c>
      <c r="I352" s="3">
        <v>5</v>
      </c>
      <c r="J352" s="3">
        <v>2960</v>
      </c>
      <c r="K352" s="3">
        <v>9953</v>
      </c>
      <c r="L352" s="3">
        <v>10</v>
      </c>
      <c r="M352" s="3">
        <v>1519.90401</v>
      </c>
    </row>
    <row r="353" spans="1:13" ht="14.25" customHeight="1" x14ac:dyDescent="0.2">
      <c r="A353" s="3" t="s">
        <v>541</v>
      </c>
      <c r="B353" s="3" t="s">
        <v>24</v>
      </c>
      <c r="C353" s="3" t="s">
        <v>32</v>
      </c>
      <c r="D353" s="3" t="s">
        <v>205</v>
      </c>
      <c r="E353" s="3" t="s">
        <v>191</v>
      </c>
      <c r="F353" s="3" t="s">
        <v>50</v>
      </c>
      <c r="G353" s="3" t="s">
        <v>114</v>
      </c>
      <c r="H353" s="3">
        <v>74426</v>
      </c>
      <c r="I353" s="3">
        <v>5</v>
      </c>
      <c r="J353" s="3">
        <v>39257</v>
      </c>
      <c r="K353" s="3">
        <v>67151</v>
      </c>
      <c r="L353" s="3">
        <v>15</v>
      </c>
      <c r="M353" s="3">
        <v>1519.596552</v>
      </c>
    </row>
    <row r="354" spans="1:13" ht="14.25" customHeight="1" x14ac:dyDescent="0.2">
      <c r="A354" s="3" t="s">
        <v>542</v>
      </c>
      <c r="B354" s="3" t="s">
        <v>14</v>
      </c>
      <c r="C354" s="3" t="s">
        <v>32</v>
      </c>
      <c r="D354" s="3" t="s">
        <v>43</v>
      </c>
      <c r="E354" s="3" t="s">
        <v>543</v>
      </c>
      <c r="F354" s="3" t="s">
        <v>27</v>
      </c>
      <c r="G354" s="3" t="s">
        <v>19</v>
      </c>
      <c r="H354" s="3">
        <v>318269</v>
      </c>
      <c r="I354" s="3">
        <v>4</v>
      </c>
      <c r="J354" s="3">
        <v>33355</v>
      </c>
      <c r="K354" s="3">
        <v>295405</v>
      </c>
      <c r="L354" s="3">
        <v>44</v>
      </c>
      <c r="M354" s="3">
        <v>7854.7319909999997</v>
      </c>
    </row>
    <row r="355" spans="1:13" ht="14.25" customHeight="1" x14ac:dyDescent="0.2">
      <c r="A355" s="3" t="s">
        <v>544</v>
      </c>
      <c r="B355" s="3" t="s">
        <v>68</v>
      </c>
      <c r="C355" s="3" t="s">
        <v>29</v>
      </c>
      <c r="D355" s="3" t="s">
        <v>25</v>
      </c>
      <c r="E355" s="3" t="s">
        <v>349</v>
      </c>
      <c r="F355" s="3" t="s">
        <v>27</v>
      </c>
      <c r="G355" s="3" t="s">
        <v>19</v>
      </c>
      <c r="H355" s="3">
        <v>19461</v>
      </c>
      <c r="I355" s="3">
        <v>4</v>
      </c>
      <c r="J355" s="3">
        <v>14647</v>
      </c>
      <c r="K355" s="3">
        <v>18731</v>
      </c>
      <c r="L355" s="3">
        <v>1</v>
      </c>
      <c r="M355" s="3">
        <v>7311.9987499999997</v>
      </c>
    </row>
    <row r="356" spans="1:13" ht="14.25" customHeight="1" x14ac:dyDescent="0.2">
      <c r="A356" s="3" t="s">
        <v>545</v>
      </c>
      <c r="B356" s="3" t="s">
        <v>24</v>
      </c>
      <c r="C356" s="3" t="s">
        <v>35</v>
      </c>
      <c r="D356" s="3" t="s">
        <v>16</v>
      </c>
      <c r="E356" s="3" t="s">
        <v>546</v>
      </c>
      <c r="F356" s="3" t="s">
        <v>41</v>
      </c>
      <c r="G356" s="3" t="s">
        <v>114</v>
      </c>
      <c r="H356" s="3">
        <v>19379</v>
      </c>
      <c r="I356" s="3">
        <v>4</v>
      </c>
      <c r="J356" s="3">
        <v>12168</v>
      </c>
      <c r="K356" s="3">
        <v>16616</v>
      </c>
      <c r="L356" s="3">
        <v>97</v>
      </c>
      <c r="M356" s="3">
        <v>7294.1000009999998</v>
      </c>
    </row>
    <row r="357" spans="1:13" ht="14.25" customHeight="1" x14ac:dyDescent="0.2">
      <c r="A357" s="3" t="s">
        <v>547</v>
      </c>
      <c r="B357" s="3" t="s">
        <v>14</v>
      </c>
      <c r="C357" s="3" t="s">
        <v>32</v>
      </c>
      <c r="D357" s="3" t="s">
        <v>16</v>
      </c>
      <c r="E357" s="3" t="s">
        <v>379</v>
      </c>
      <c r="F357" s="3" t="s">
        <v>81</v>
      </c>
      <c r="G357" s="3" t="s">
        <v>19</v>
      </c>
      <c r="H357" s="3">
        <v>19334</v>
      </c>
      <c r="I357" s="3">
        <v>4</v>
      </c>
      <c r="J357" s="3">
        <v>8673</v>
      </c>
      <c r="K357" s="3">
        <v>18578</v>
      </c>
      <c r="L357" s="3">
        <v>11</v>
      </c>
      <c r="M357" s="3">
        <v>7292.1350590000002</v>
      </c>
    </row>
    <row r="358" spans="1:13" ht="14.25" customHeight="1" x14ac:dyDescent="0.2">
      <c r="A358" s="3" t="s">
        <v>548</v>
      </c>
      <c r="B358" s="3" t="s">
        <v>24</v>
      </c>
      <c r="C358" s="3" t="s">
        <v>15</v>
      </c>
      <c r="D358" s="3" t="s">
        <v>25</v>
      </c>
      <c r="E358" s="3" t="s">
        <v>549</v>
      </c>
      <c r="F358" s="3" t="s">
        <v>22</v>
      </c>
      <c r="G358" s="3" t="s">
        <v>19</v>
      </c>
      <c r="H358" s="3">
        <v>8362</v>
      </c>
      <c r="I358" s="3">
        <v>4</v>
      </c>
      <c r="J358" s="3">
        <v>5959</v>
      </c>
      <c r="K358" s="3">
        <v>7947</v>
      </c>
      <c r="L358" s="3">
        <v>7</v>
      </c>
      <c r="M358" s="3">
        <v>6997.4689630000003</v>
      </c>
    </row>
    <row r="359" spans="1:13" ht="14.25" customHeight="1" x14ac:dyDescent="0.2">
      <c r="A359" s="3" t="s">
        <v>550</v>
      </c>
      <c r="B359" s="3" t="s">
        <v>68</v>
      </c>
      <c r="C359" s="3" t="s">
        <v>35</v>
      </c>
      <c r="D359" s="3" t="s">
        <v>45</v>
      </c>
      <c r="E359" s="3" t="s">
        <v>269</v>
      </c>
      <c r="F359" s="3" t="s">
        <v>38</v>
      </c>
      <c r="G359" s="3" t="s">
        <v>19</v>
      </c>
      <c r="H359" s="3">
        <v>23488</v>
      </c>
      <c r="I359" s="3">
        <v>4</v>
      </c>
      <c r="J359" s="3">
        <v>4620</v>
      </c>
      <c r="K359" s="3">
        <v>22254</v>
      </c>
      <c r="L359" s="3">
        <v>1</v>
      </c>
      <c r="M359" s="3">
        <v>6667.727715</v>
      </c>
    </row>
    <row r="360" spans="1:13" ht="14.25" customHeight="1" x14ac:dyDescent="0.2">
      <c r="A360" s="3" t="s">
        <v>551</v>
      </c>
      <c r="B360" s="3" t="s">
        <v>14</v>
      </c>
      <c r="C360" s="3" t="s">
        <v>35</v>
      </c>
      <c r="D360" s="3" t="s">
        <v>121</v>
      </c>
      <c r="E360" s="3" t="s">
        <v>250</v>
      </c>
      <c r="F360" s="3" t="s">
        <v>76</v>
      </c>
      <c r="G360" s="3" t="s">
        <v>19</v>
      </c>
      <c r="H360" s="3">
        <v>44889</v>
      </c>
      <c r="I360" s="3">
        <v>4</v>
      </c>
      <c r="J360" s="3">
        <v>17477</v>
      </c>
      <c r="K360" s="3">
        <v>38621</v>
      </c>
      <c r="L360" s="3">
        <v>1</v>
      </c>
      <c r="M360" s="3">
        <v>6644.954146</v>
      </c>
    </row>
    <row r="361" spans="1:13" ht="14.25" customHeight="1" x14ac:dyDescent="0.2">
      <c r="A361" s="3" t="s">
        <v>552</v>
      </c>
      <c r="B361" s="3" t="s">
        <v>14</v>
      </c>
      <c r="C361" s="3" t="s">
        <v>35</v>
      </c>
      <c r="D361" s="3" t="s">
        <v>84</v>
      </c>
      <c r="E361" s="3" t="s">
        <v>57</v>
      </c>
      <c r="F361" s="3" t="s">
        <v>22</v>
      </c>
      <c r="G361" s="3" t="s">
        <v>19</v>
      </c>
      <c r="H361" s="3">
        <v>120603</v>
      </c>
      <c r="I361" s="3">
        <v>4</v>
      </c>
      <c r="J361" s="3">
        <v>47405</v>
      </c>
      <c r="K361" s="3">
        <v>100881</v>
      </c>
      <c r="L361" s="3">
        <v>10</v>
      </c>
      <c r="M361" s="3">
        <v>6633.5326349999996</v>
      </c>
    </row>
    <row r="362" spans="1:13" ht="14.25" customHeight="1" x14ac:dyDescent="0.2">
      <c r="A362" s="3" t="s">
        <v>553</v>
      </c>
      <c r="B362" s="3" t="s">
        <v>14</v>
      </c>
      <c r="C362" s="3" t="s">
        <v>29</v>
      </c>
      <c r="D362" s="3" t="s">
        <v>16</v>
      </c>
      <c r="E362" s="3" t="s">
        <v>554</v>
      </c>
      <c r="F362" s="3" t="s">
        <v>27</v>
      </c>
      <c r="G362" s="3" t="s">
        <v>19</v>
      </c>
      <c r="H362" s="3">
        <v>19093</v>
      </c>
      <c r="I362" s="3">
        <v>4</v>
      </c>
      <c r="J362" s="3">
        <v>9626</v>
      </c>
      <c r="K362" s="3">
        <v>17815</v>
      </c>
      <c r="L362" s="3">
        <v>10</v>
      </c>
      <c r="M362" s="3">
        <v>6612.1456900000003</v>
      </c>
    </row>
    <row r="363" spans="1:13" ht="14.25" customHeight="1" x14ac:dyDescent="0.2">
      <c r="A363" s="3" t="s">
        <v>555</v>
      </c>
      <c r="B363" s="3" t="s">
        <v>24</v>
      </c>
      <c r="C363" s="3" t="s">
        <v>35</v>
      </c>
      <c r="D363" s="3" t="s">
        <v>66</v>
      </c>
      <c r="E363" s="3" t="s">
        <v>250</v>
      </c>
      <c r="F363" s="3" t="s">
        <v>64</v>
      </c>
      <c r="G363" s="3" t="s">
        <v>19</v>
      </c>
      <c r="H363" s="3">
        <v>69928</v>
      </c>
      <c r="I363" s="3">
        <v>4</v>
      </c>
      <c r="J363" s="3">
        <v>30196</v>
      </c>
      <c r="K363" s="3">
        <v>62327</v>
      </c>
      <c r="L363" s="3">
        <v>7</v>
      </c>
      <c r="M363" s="3">
        <v>6318.4130850000001</v>
      </c>
    </row>
    <row r="364" spans="1:13" ht="14.25" customHeight="1" x14ac:dyDescent="0.2">
      <c r="A364" s="3" t="s">
        <v>556</v>
      </c>
      <c r="B364" s="3" t="s">
        <v>14</v>
      </c>
      <c r="C364" s="3" t="s">
        <v>32</v>
      </c>
      <c r="D364" s="3" t="s">
        <v>43</v>
      </c>
      <c r="E364" s="3" t="s">
        <v>250</v>
      </c>
      <c r="F364" s="3" t="s">
        <v>27</v>
      </c>
      <c r="G364" s="3" t="s">
        <v>19</v>
      </c>
      <c r="H364" s="3">
        <v>40859</v>
      </c>
      <c r="I364" s="3">
        <v>4</v>
      </c>
      <c r="J364" s="3">
        <v>17695</v>
      </c>
      <c r="K364" s="3">
        <v>37108</v>
      </c>
      <c r="L364" s="3">
        <v>1</v>
      </c>
      <c r="M364" s="3">
        <v>6130.3684249999997</v>
      </c>
    </row>
    <row r="365" spans="1:13" ht="14.25" customHeight="1" x14ac:dyDescent="0.2">
      <c r="A365" s="3" t="s">
        <v>557</v>
      </c>
      <c r="B365" s="3" t="s">
        <v>24</v>
      </c>
      <c r="C365" s="3" t="s">
        <v>32</v>
      </c>
      <c r="D365" s="3" t="s">
        <v>25</v>
      </c>
      <c r="E365" s="3" t="s">
        <v>149</v>
      </c>
      <c r="F365" s="3" t="s">
        <v>22</v>
      </c>
      <c r="G365" s="3" t="s">
        <v>19</v>
      </c>
      <c r="H365" s="3">
        <v>14083</v>
      </c>
      <c r="I365" s="3">
        <v>4</v>
      </c>
      <c r="J365" s="3">
        <v>9945</v>
      </c>
      <c r="K365" s="3">
        <v>12878</v>
      </c>
      <c r="L365" s="3">
        <v>1</v>
      </c>
      <c r="M365" s="3">
        <v>5979.67</v>
      </c>
    </row>
    <row r="366" spans="1:13" ht="14.25" customHeight="1" x14ac:dyDescent="0.2">
      <c r="A366" s="3" t="s">
        <v>558</v>
      </c>
      <c r="B366" s="3" t="s">
        <v>24</v>
      </c>
      <c r="C366" s="3" t="s">
        <v>29</v>
      </c>
      <c r="D366" s="3" t="s">
        <v>21</v>
      </c>
      <c r="E366" s="3" t="s">
        <v>437</v>
      </c>
      <c r="F366" s="3" t="s">
        <v>38</v>
      </c>
      <c r="G366" s="3" t="s">
        <v>19</v>
      </c>
      <c r="H366" s="3">
        <v>57168</v>
      </c>
      <c r="I366" s="3">
        <v>4</v>
      </c>
      <c r="J366" s="3">
        <v>43261</v>
      </c>
      <c r="K366" s="3">
        <v>55261</v>
      </c>
      <c r="L366" s="3">
        <v>12</v>
      </c>
      <c r="M366" s="3">
        <v>5841.1513599999998</v>
      </c>
    </row>
    <row r="367" spans="1:13" ht="14.25" customHeight="1" x14ac:dyDescent="0.2">
      <c r="A367" s="3" t="s">
        <v>559</v>
      </c>
      <c r="B367" s="3" t="s">
        <v>24</v>
      </c>
      <c r="C367" s="3" t="s">
        <v>32</v>
      </c>
      <c r="D367" s="3" t="s">
        <v>43</v>
      </c>
      <c r="E367" s="3" t="s">
        <v>72</v>
      </c>
      <c r="F367" s="3" t="s">
        <v>38</v>
      </c>
      <c r="G367" s="3" t="s">
        <v>163</v>
      </c>
      <c r="H367" s="3">
        <v>161222</v>
      </c>
      <c r="I367" s="3">
        <v>4</v>
      </c>
      <c r="J367" s="3">
        <v>66740</v>
      </c>
      <c r="K367" s="3">
        <v>149743</v>
      </c>
      <c r="L367" s="3">
        <v>19</v>
      </c>
      <c r="M367" s="3">
        <v>5767.7973810000003</v>
      </c>
    </row>
    <row r="368" spans="1:13" ht="14.25" customHeight="1" x14ac:dyDescent="0.2">
      <c r="A368" s="3" t="s">
        <v>560</v>
      </c>
      <c r="B368" s="3" t="s">
        <v>24</v>
      </c>
      <c r="C368" s="3" t="s">
        <v>35</v>
      </c>
      <c r="D368" s="3" t="s">
        <v>86</v>
      </c>
      <c r="E368" s="3" t="s">
        <v>561</v>
      </c>
      <c r="F368" s="3" t="s">
        <v>22</v>
      </c>
      <c r="G368" s="3" t="s">
        <v>19</v>
      </c>
      <c r="H368" s="3">
        <v>9702</v>
      </c>
      <c r="I368" s="3">
        <v>4</v>
      </c>
      <c r="J368" s="3">
        <v>5564</v>
      </c>
      <c r="K368" s="3">
        <v>8210</v>
      </c>
      <c r="L368" s="3">
        <v>1</v>
      </c>
      <c r="M368" s="3">
        <v>5711.3920099999996</v>
      </c>
    </row>
    <row r="369" spans="1:13" ht="14.25" customHeight="1" x14ac:dyDescent="0.2">
      <c r="A369" s="3" t="s">
        <v>562</v>
      </c>
      <c r="B369" s="3" t="s">
        <v>14</v>
      </c>
      <c r="C369" s="3" t="s">
        <v>15</v>
      </c>
      <c r="D369" s="3" t="s">
        <v>343</v>
      </c>
      <c r="E369" s="3" t="s">
        <v>563</v>
      </c>
      <c r="F369" s="3" t="s">
        <v>27</v>
      </c>
      <c r="G369" s="3" t="s">
        <v>19</v>
      </c>
      <c r="H369" s="3">
        <v>14011</v>
      </c>
      <c r="I369" s="3">
        <v>4</v>
      </c>
      <c r="J369" s="3">
        <v>5060</v>
      </c>
      <c r="K369" s="3">
        <v>12459</v>
      </c>
      <c r="L369" s="3">
        <v>1</v>
      </c>
      <c r="M369" s="3">
        <v>5632.0879729999997</v>
      </c>
    </row>
    <row r="370" spans="1:13" ht="14.25" customHeight="1" x14ac:dyDescent="0.2">
      <c r="A370" s="3" t="s">
        <v>564</v>
      </c>
      <c r="B370" s="3" t="s">
        <v>24</v>
      </c>
      <c r="C370" s="3" t="s">
        <v>29</v>
      </c>
      <c r="D370" s="3" t="s">
        <v>25</v>
      </c>
      <c r="E370" s="3" t="s">
        <v>79</v>
      </c>
      <c r="F370" s="3" t="s">
        <v>41</v>
      </c>
      <c r="G370" s="3" t="s">
        <v>114</v>
      </c>
      <c r="H370" s="3">
        <v>26439</v>
      </c>
      <c r="I370" s="3">
        <v>4</v>
      </c>
      <c r="J370" s="3">
        <v>7093</v>
      </c>
      <c r="K370" s="3">
        <v>19681</v>
      </c>
      <c r="L370" s="3">
        <v>1</v>
      </c>
      <c r="M370" s="3">
        <v>5330.7819689999997</v>
      </c>
    </row>
    <row r="371" spans="1:13" ht="14.25" customHeight="1" x14ac:dyDescent="0.2">
      <c r="A371" s="3" t="s">
        <v>565</v>
      </c>
      <c r="B371" s="3" t="s">
        <v>68</v>
      </c>
      <c r="C371" s="3" t="s">
        <v>15</v>
      </c>
      <c r="D371" s="3" t="s">
        <v>16</v>
      </c>
      <c r="E371" s="3" t="s">
        <v>40</v>
      </c>
      <c r="F371" s="3" t="s">
        <v>22</v>
      </c>
      <c r="G371" s="3" t="s">
        <v>19</v>
      </c>
      <c r="H371" s="3">
        <v>13946</v>
      </c>
      <c r="I371" s="3">
        <v>4</v>
      </c>
      <c r="J371" s="3">
        <v>3142</v>
      </c>
      <c r="K371" s="3">
        <v>8823</v>
      </c>
      <c r="L371" s="3">
        <v>1</v>
      </c>
      <c r="M371" s="3">
        <v>4920.2346299999999</v>
      </c>
    </row>
    <row r="372" spans="1:13" ht="14.25" customHeight="1" x14ac:dyDescent="0.2">
      <c r="A372" s="3" t="s">
        <v>566</v>
      </c>
      <c r="B372" s="3" t="s">
        <v>14</v>
      </c>
      <c r="C372" s="3" t="s">
        <v>15</v>
      </c>
      <c r="D372" s="3" t="s">
        <v>25</v>
      </c>
      <c r="E372" s="3" t="s">
        <v>79</v>
      </c>
      <c r="F372" s="3" t="s">
        <v>27</v>
      </c>
      <c r="G372" s="3" t="s">
        <v>19</v>
      </c>
      <c r="H372" s="3">
        <v>43327</v>
      </c>
      <c r="I372" s="3">
        <v>4</v>
      </c>
      <c r="J372" s="3">
        <v>4689</v>
      </c>
      <c r="K372" s="3">
        <v>31363</v>
      </c>
      <c r="L372" s="3">
        <v>1</v>
      </c>
      <c r="M372" s="3">
        <v>4554.8768840000002</v>
      </c>
    </row>
    <row r="373" spans="1:13" ht="14.25" customHeight="1" x14ac:dyDescent="0.2">
      <c r="A373" s="3" t="s">
        <v>567</v>
      </c>
      <c r="B373" s="3" t="s">
        <v>24</v>
      </c>
      <c r="C373" s="3" t="s">
        <v>35</v>
      </c>
      <c r="D373" s="3" t="s">
        <v>25</v>
      </c>
      <c r="E373" s="3" t="s">
        <v>57</v>
      </c>
      <c r="F373" s="3" t="s">
        <v>22</v>
      </c>
      <c r="G373" s="3" t="s">
        <v>163</v>
      </c>
      <c r="H373" s="3">
        <v>7584</v>
      </c>
      <c r="I373" s="3">
        <v>4</v>
      </c>
      <c r="J373" s="3">
        <v>3093</v>
      </c>
      <c r="K373" s="3">
        <v>6897</v>
      </c>
      <c r="L373" s="3">
        <v>2</v>
      </c>
      <c r="M373" s="3">
        <v>4467.0807580000001</v>
      </c>
    </row>
    <row r="374" spans="1:13" ht="14.25" customHeight="1" x14ac:dyDescent="0.2">
      <c r="A374" s="3" t="s">
        <v>568</v>
      </c>
      <c r="B374" s="3" t="s">
        <v>24</v>
      </c>
      <c r="C374" s="3" t="s">
        <v>35</v>
      </c>
      <c r="D374" s="3" t="s">
        <v>45</v>
      </c>
      <c r="E374" s="3" t="s">
        <v>239</v>
      </c>
      <c r="F374" s="3" t="s">
        <v>27</v>
      </c>
      <c r="G374" s="3" t="s">
        <v>114</v>
      </c>
      <c r="H374" s="3">
        <v>4603</v>
      </c>
      <c r="I374" s="3">
        <v>4</v>
      </c>
      <c r="J374" s="3">
        <v>3444</v>
      </c>
      <c r="K374" s="3">
        <v>4131</v>
      </c>
      <c r="L374" s="3">
        <v>2</v>
      </c>
      <c r="M374" s="3">
        <v>3098.1363769999998</v>
      </c>
    </row>
    <row r="375" spans="1:13" ht="14.25" customHeight="1" x14ac:dyDescent="0.2">
      <c r="A375" s="3" t="s">
        <v>569</v>
      </c>
      <c r="B375" s="3" t="s">
        <v>24</v>
      </c>
      <c r="C375" s="3" t="s">
        <v>35</v>
      </c>
      <c r="D375" s="3" t="s">
        <v>43</v>
      </c>
      <c r="E375" s="3" t="s">
        <v>570</v>
      </c>
      <c r="F375" s="3" t="s">
        <v>27</v>
      </c>
      <c r="G375" s="3" t="s">
        <v>19</v>
      </c>
      <c r="H375" s="3">
        <v>12391</v>
      </c>
      <c r="I375" s="3">
        <v>4</v>
      </c>
      <c r="J375" s="3">
        <v>5756</v>
      </c>
      <c r="K375" s="3">
        <v>11636</v>
      </c>
      <c r="L375" s="3">
        <v>1</v>
      </c>
      <c r="M375" s="3">
        <v>3069.1234829999999</v>
      </c>
    </row>
    <row r="376" spans="1:13" ht="14.25" customHeight="1" x14ac:dyDescent="0.2">
      <c r="A376" s="3" t="s">
        <v>571</v>
      </c>
      <c r="B376" s="3" t="s">
        <v>14</v>
      </c>
      <c r="C376" s="3" t="s">
        <v>35</v>
      </c>
      <c r="D376" s="3" t="s">
        <v>25</v>
      </c>
      <c r="E376" s="3" t="s">
        <v>247</v>
      </c>
      <c r="F376" s="3" t="s">
        <v>33</v>
      </c>
      <c r="G376" s="3" t="s">
        <v>19</v>
      </c>
      <c r="H376" s="3">
        <v>20548</v>
      </c>
      <c r="I376" s="3">
        <v>4</v>
      </c>
      <c r="J376" s="3">
        <v>14259</v>
      </c>
      <c r="K376" s="3">
        <v>19654</v>
      </c>
      <c r="L376" s="3">
        <v>13</v>
      </c>
      <c r="M376" s="3">
        <v>3060.4247690000002</v>
      </c>
    </row>
    <row r="377" spans="1:13" ht="14.25" customHeight="1" x14ac:dyDescent="0.2">
      <c r="A377" s="3" t="s">
        <v>572</v>
      </c>
      <c r="B377" s="3" t="s">
        <v>14</v>
      </c>
      <c r="C377" s="3" t="s">
        <v>29</v>
      </c>
      <c r="D377" s="3" t="s">
        <v>364</v>
      </c>
      <c r="E377" s="3" t="s">
        <v>263</v>
      </c>
      <c r="F377" s="3" t="s">
        <v>22</v>
      </c>
      <c r="G377" s="3" t="s">
        <v>19</v>
      </c>
      <c r="H377" s="3">
        <v>69523</v>
      </c>
      <c r="I377" s="3">
        <v>4</v>
      </c>
      <c r="J377" s="3">
        <v>48273</v>
      </c>
      <c r="K377" s="3">
        <v>65800</v>
      </c>
      <c r="L377" s="3">
        <v>9</v>
      </c>
      <c r="M377" s="3">
        <v>2649.9978030000002</v>
      </c>
    </row>
    <row r="378" spans="1:13" ht="14.25" customHeight="1" x14ac:dyDescent="0.2">
      <c r="A378" s="3" t="s">
        <v>573</v>
      </c>
      <c r="B378" s="3" t="s">
        <v>14</v>
      </c>
      <c r="C378" s="3" t="s">
        <v>29</v>
      </c>
      <c r="D378" s="3" t="s">
        <v>16</v>
      </c>
      <c r="E378" s="3" t="s">
        <v>79</v>
      </c>
      <c r="F378" s="3" t="s">
        <v>27</v>
      </c>
      <c r="G378" s="3" t="s">
        <v>19</v>
      </c>
      <c r="H378" s="3">
        <v>12512</v>
      </c>
      <c r="I378" s="3">
        <v>4</v>
      </c>
      <c r="J378" s="3">
        <v>6240</v>
      </c>
      <c r="K378" s="3">
        <v>9672</v>
      </c>
      <c r="L378" s="3">
        <v>1</v>
      </c>
      <c r="M378" s="3">
        <v>2298.8889650000001</v>
      </c>
    </row>
    <row r="379" spans="1:13" ht="14.25" customHeight="1" x14ac:dyDescent="0.2">
      <c r="A379" s="3" t="s">
        <v>574</v>
      </c>
      <c r="B379" s="3" t="s">
        <v>24</v>
      </c>
      <c r="C379" s="3" t="s">
        <v>35</v>
      </c>
      <c r="D379" s="3" t="s">
        <v>43</v>
      </c>
      <c r="E379" s="3" t="s">
        <v>107</v>
      </c>
      <c r="F379" s="3" t="s">
        <v>27</v>
      </c>
      <c r="G379" s="3" t="s">
        <v>114</v>
      </c>
      <c r="H379" s="3">
        <v>51889</v>
      </c>
      <c r="I379" s="3">
        <v>4</v>
      </c>
      <c r="J379" s="3">
        <v>33879</v>
      </c>
      <c r="K379" s="3">
        <v>49382</v>
      </c>
      <c r="L379" s="3">
        <v>1</v>
      </c>
      <c r="M379" s="3">
        <v>2172.8417469999999</v>
      </c>
    </row>
    <row r="380" spans="1:13" ht="14.25" customHeight="1" x14ac:dyDescent="0.2">
      <c r="A380" s="3" t="s">
        <v>575</v>
      </c>
      <c r="B380" s="3" t="s">
        <v>24</v>
      </c>
      <c r="C380" s="3" t="s">
        <v>29</v>
      </c>
      <c r="D380" s="3" t="s">
        <v>86</v>
      </c>
      <c r="E380" s="3" t="s">
        <v>546</v>
      </c>
      <c r="F380" s="3" t="s">
        <v>27</v>
      </c>
      <c r="G380" s="3" t="s">
        <v>19</v>
      </c>
      <c r="H380" s="3">
        <v>8716</v>
      </c>
      <c r="I380" s="3">
        <v>4</v>
      </c>
      <c r="J380" s="3">
        <v>6490</v>
      </c>
      <c r="K380" s="3">
        <v>7862</v>
      </c>
      <c r="L380" s="3">
        <v>1</v>
      </c>
      <c r="M380" s="3">
        <v>2100.8201370000002</v>
      </c>
    </row>
    <row r="381" spans="1:13" ht="14.25" customHeight="1" x14ac:dyDescent="0.2">
      <c r="A381" s="3" t="s">
        <v>576</v>
      </c>
      <c r="B381" s="3" t="s">
        <v>24</v>
      </c>
      <c r="C381" s="3" t="s">
        <v>15</v>
      </c>
      <c r="D381" s="3" t="s">
        <v>86</v>
      </c>
      <c r="E381" s="3" t="s">
        <v>179</v>
      </c>
      <c r="F381" s="3" t="s">
        <v>27</v>
      </c>
      <c r="G381" s="3" t="s">
        <v>114</v>
      </c>
      <c r="H381" s="3">
        <v>56737</v>
      </c>
      <c r="I381" s="3">
        <v>4</v>
      </c>
      <c r="J381" s="3">
        <v>41296</v>
      </c>
      <c r="K381" s="3">
        <v>53472</v>
      </c>
      <c r="L381" s="3">
        <v>2</v>
      </c>
      <c r="M381" s="3">
        <v>2028.370144</v>
      </c>
    </row>
    <row r="382" spans="1:13" ht="14.25" customHeight="1" x14ac:dyDescent="0.2">
      <c r="A382" s="3" t="s">
        <v>577</v>
      </c>
      <c r="B382" s="3" t="s">
        <v>14</v>
      </c>
      <c r="C382" s="3" t="s">
        <v>15</v>
      </c>
      <c r="D382" s="3" t="s">
        <v>389</v>
      </c>
      <c r="E382" s="3" t="s">
        <v>392</v>
      </c>
      <c r="F382" s="3" t="s">
        <v>64</v>
      </c>
      <c r="G382" s="3" t="s">
        <v>19</v>
      </c>
      <c r="H382" s="3">
        <v>16227</v>
      </c>
      <c r="I382" s="3">
        <v>4</v>
      </c>
      <c r="J382" s="3">
        <v>9438</v>
      </c>
      <c r="K382" s="3">
        <v>15611</v>
      </c>
      <c r="L382" s="3">
        <v>3</v>
      </c>
      <c r="M382" s="3">
        <v>1991.9438399999999</v>
      </c>
    </row>
    <row r="383" spans="1:13" ht="14.25" customHeight="1" x14ac:dyDescent="0.2">
      <c r="A383" s="3" t="s">
        <v>578</v>
      </c>
      <c r="B383" s="3" t="s">
        <v>14</v>
      </c>
      <c r="C383" s="3" t="s">
        <v>35</v>
      </c>
      <c r="D383" s="3" t="s">
        <v>36</v>
      </c>
      <c r="E383" s="3" t="s">
        <v>579</v>
      </c>
      <c r="F383" s="3" t="s">
        <v>323</v>
      </c>
      <c r="G383" s="3" t="s">
        <v>19</v>
      </c>
      <c r="H383" s="3">
        <v>12148</v>
      </c>
      <c r="I383" s="3">
        <v>4</v>
      </c>
      <c r="J383" s="3">
        <v>7950</v>
      </c>
      <c r="K383" s="3">
        <v>11360</v>
      </c>
      <c r="L383" s="3">
        <v>9</v>
      </c>
      <c r="M383" s="3">
        <v>1936.008049</v>
      </c>
    </row>
    <row r="384" spans="1:13" ht="14.25" customHeight="1" x14ac:dyDescent="0.2">
      <c r="A384" s="3" t="s">
        <v>580</v>
      </c>
      <c r="B384" s="3" t="s">
        <v>68</v>
      </c>
      <c r="C384" s="3" t="s">
        <v>15</v>
      </c>
      <c r="D384" s="3" t="s">
        <v>84</v>
      </c>
      <c r="E384" s="3" t="s">
        <v>161</v>
      </c>
      <c r="F384" s="3" t="s">
        <v>27</v>
      </c>
      <c r="G384" s="3" t="s">
        <v>19</v>
      </c>
      <c r="H384" s="3">
        <v>63415</v>
      </c>
      <c r="I384" s="3">
        <v>4</v>
      </c>
      <c r="J384" s="3">
        <v>28161</v>
      </c>
      <c r="K384" s="3">
        <v>59169</v>
      </c>
      <c r="L384" s="3">
        <v>9</v>
      </c>
      <c r="M384" s="3">
        <v>1924.162675</v>
      </c>
    </row>
    <row r="385" spans="1:13" ht="14.25" customHeight="1" x14ac:dyDescent="0.2">
      <c r="A385" s="3" t="s">
        <v>581</v>
      </c>
      <c r="B385" s="3" t="s">
        <v>24</v>
      </c>
      <c r="C385" s="3" t="s">
        <v>29</v>
      </c>
      <c r="D385" s="3" t="s">
        <v>43</v>
      </c>
      <c r="E385" s="3" t="s">
        <v>210</v>
      </c>
      <c r="F385" s="3" t="s">
        <v>27</v>
      </c>
      <c r="G385" s="3" t="s">
        <v>19</v>
      </c>
      <c r="H385" s="3">
        <v>12864</v>
      </c>
      <c r="I385" s="3">
        <v>4</v>
      </c>
      <c r="J385" s="3">
        <v>5549</v>
      </c>
      <c r="K385" s="3">
        <v>11852</v>
      </c>
      <c r="L385" s="3">
        <v>1</v>
      </c>
      <c r="M385" s="3">
        <v>1905.8896930000001</v>
      </c>
    </row>
    <row r="386" spans="1:13" ht="14.25" customHeight="1" x14ac:dyDescent="0.2">
      <c r="A386" s="3" t="s">
        <v>582</v>
      </c>
      <c r="B386" s="3" t="s">
        <v>24</v>
      </c>
      <c r="C386" s="3" t="s">
        <v>15</v>
      </c>
      <c r="D386" s="3" t="s">
        <v>16</v>
      </c>
      <c r="E386" s="3" t="s">
        <v>583</v>
      </c>
      <c r="F386" s="3" t="s">
        <v>27</v>
      </c>
      <c r="G386" s="3" t="s">
        <v>114</v>
      </c>
      <c r="H386" s="3">
        <v>20459</v>
      </c>
      <c r="I386" s="3">
        <v>4</v>
      </c>
      <c r="J386" s="3">
        <v>12668</v>
      </c>
      <c r="K386" s="3">
        <v>18613</v>
      </c>
      <c r="L386" s="3">
        <v>2</v>
      </c>
      <c r="M386" s="3">
        <v>1842.6065129999999</v>
      </c>
    </row>
    <row r="387" spans="1:13" ht="14.25" customHeight="1" x14ac:dyDescent="0.2">
      <c r="A387" s="3" t="s">
        <v>584</v>
      </c>
      <c r="B387" s="3" t="s">
        <v>14</v>
      </c>
      <c r="C387" s="3" t="s">
        <v>32</v>
      </c>
      <c r="D387" s="3" t="s">
        <v>16</v>
      </c>
      <c r="E387" s="3" t="s">
        <v>585</v>
      </c>
      <c r="F387" s="3" t="s">
        <v>41</v>
      </c>
      <c r="G387" s="3" t="s">
        <v>19</v>
      </c>
      <c r="H387" s="3">
        <v>16137</v>
      </c>
      <c r="I387" s="3">
        <v>4</v>
      </c>
      <c r="J387" s="3">
        <v>7938</v>
      </c>
      <c r="K387" s="3">
        <v>14030</v>
      </c>
      <c r="L387" s="3">
        <v>1</v>
      </c>
      <c r="M387" s="3">
        <v>1835.048738</v>
      </c>
    </row>
    <row r="388" spans="1:13" ht="14.25" customHeight="1" x14ac:dyDescent="0.2">
      <c r="A388" s="3" t="s">
        <v>586</v>
      </c>
      <c r="B388" s="3" t="s">
        <v>24</v>
      </c>
      <c r="C388" s="3" t="s">
        <v>29</v>
      </c>
      <c r="D388" s="3" t="s">
        <v>45</v>
      </c>
      <c r="E388" s="3" t="s">
        <v>481</v>
      </c>
      <c r="F388" s="3" t="s">
        <v>27</v>
      </c>
      <c r="G388" s="3" t="s">
        <v>19</v>
      </c>
      <c r="H388" s="3">
        <v>12280</v>
      </c>
      <c r="I388" s="3">
        <v>4</v>
      </c>
      <c r="J388" s="3">
        <v>9613</v>
      </c>
      <c r="K388" s="3">
        <v>11247</v>
      </c>
      <c r="L388" s="3">
        <v>1</v>
      </c>
      <c r="M388" s="3">
        <v>1765.3987099999999</v>
      </c>
    </row>
    <row r="389" spans="1:13" ht="14.25" customHeight="1" x14ac:dyDescent="0.2">
      <c r="A389" s="3" t="s">
        <v>587</v>
      </c>
      <c r="B389" s="3" t="s">
        <v>24</v>
      </c>
      <c r="C389" s="3" t="s">
        <v>29</v>
      </c>
      <c r="D389" s="3" t="s">
        <v>43</v>
      </c>
      <c r="E389" s="3" t="s">
        <v>588</v>
      </c>
      <c r="F389" s="3" t="s">
        <v>323</v>
      </c>
      <c r="G389" s="3" t="s">
        <v>19</v>
      </c>
      <c r="H389" s="3">
        <v>9149</v>
      </c>
      <c r="I389" s="3">
        <v>4</v>
      </c>
      <c r="J389" s="3">
        <v>4568</v>
      </c>
      <c r="K389" s="3">
        <v>8648</v>
      </c>
      <c r="L389" s="3">
        <v>1</v>
      </c>
      <c r="M389" s="3">
        <v>1758.0983650000001</v>
      </c>
    </row>
    <row r="390" spans="1:13" ht="14.25" customHeight="1" x14ac:dyDescent="0.2">
      <c r="A390" s="3" t="s">
        <v>589</v>
      </c>
      <c r="B390" s="3" t="s">
        <v>14</v>
      </c>
      <c r="C390" s="3" t="s">
        <v>35</v>
      </c>
      <c r="D390" s="3" t="s">
        <v>447</v>
      </c>
      <c r="E390" s="3" t="s">
        <v>107</v>
      </c>
      <c r="F390" s="3" t="s">
        <v>27</v>
      </c>
      <c r="G390" s="3" t="s">
        <v>19</v>
      </c>
      <c r="H390" s="3">
        <v>91593</v>
      </c>
      <c r="I390" s="3">
        <v>4</v>
      </c>
      <c r="J390" s="3">
        <v>51004</v>
      </c>
      <c r="K390" s="3">
        <v>82985</v>
      </c>
      <c r="L390" s="3">
        <v>18</v>
      </c>
      <c r="M390" s="3">
        <v>1731.5848619999999</v>
      </c>
    </row>
    <row r="391" spans="1:13" ht="14.25" customHeight="1" x14ac:dyDescent="0.2">
      <c r="A391" s="3" t="s">
        <v>590</v>
      </c>
      <c r="B391" s="3" t="s">
        <v>24</v>
      </c>
      <c r="C391" s="3" t="s">
        <v>15</v>
      </c>
      <c r="D391" s="3" t="s">
        <v>16</v>
      </c>
      <c r="E391" s="3" t="s">
        <v>591</v>
      </c>
      <c r="F391" s="3" t="s">
        <v>38</v>
      </c>
      <c r="G391" s="3" t="s">
        <v>19</v>
      </c>
      <c r="H391" s="3">
        <v>13642</v>
      </c>
      <c r="I391" s="3">
        <v>4</v>
      </c>
      <c r="J391" s="3">
        <v>9830</v>
      </c>
      <c r="K391" s="3">
        <v>11658</v>
      </c>
      <c r="L391" s="3">
        <v>1</v>
      </c>
      <c r="M391" s="3">
        <v>1731.2718480000001</v>
      </c>
    </row>
    <row r="392" spans="1:13" ht="14.25" customHeight="1" x14ac:dyDescent="0.2">
      <c r="A392" s="3" t="s">
        <v>592</v>
      </c>
      <c r="B392" s="3" t="s">
        <v>24</v>
      </c>
      <c r="C392" s="3" t="s">
        <v>15</v>
      </c>
      <c r="D392" s="3" t="s">
        <v>43</v>
      </c>
      <c r="E392" s="3" t="s">
        <v>481</v>
      </c>
      <c r="F392" s="3" t="s">
        <v>38</v>
      </c>
      <c r="G392" s="3" t="s">
        <v>114</v>
      </c>
      <c r="H392" s="3">
        <v>22934</v>
      </c>
      <c r="I392" s="3">
        <v>4</v>
      </c>
      <c r="J392" s="3">
        <v>18536</v>
      </c>
      <c r="K392" s="3">
        <v>21019</v>
      </c>
      <c r="L392" s="3">
        <v>1</v>
      </c>
      <c r="M392" s="3">
        <v>1711.1063380000001</v>
      </c>
    </row>
    <row r="393" spans="1:13" ht="14.25" customHeight="1" x14ac:dyDescent="0.2">
      <c r="A393" s="3" t="s">
        <v>593</v>
      </c>
      <c r="B393" s="3" t="s">
        <v>24</v>
      </c>
      <c r="C393" s="3" t="s">
        <v>35</v>
      </c>
      <c r="D393" s="3" t="s">
        <v>66</v>
      </c>
      <c r="E393" s="3" t="s">
        <v>478</v>
      </c>
      <c r="F393" s="3" t="s">
        <v>22</v>
      </c>
      <c r="G393" s="3" t="s">
        <v>19</v>
      </c>
      <c r="H393" s="3">
        <v>12319</v>
      </c>
      <c r="I393" s="3">
        <v>4</v>
      </c>
      <c r="J393" s="3">
        <v>7028</v>
      </c>
      <c r="K393" s="3">
        <v>10191</v>
      </c>
      <c r="L393" s="3">
        <v>1</v>
      </c>
      <c r="M393" s="3">
        <v>1668.0160000000001</v>
      </c>
    </row>
    <row r="394" spans="1:13" ht="14.25" customHeight="1" x14ac:dyDescent="0.2">
      <c r="A394" s="3" t="s">
        <v>594</v>
      </c>
      <c r="B394" s="3" t="s">
        <v>24</v>
      </c>
      <c r="C394" s="3" t="s">
        <v>29</v>
      </c>
      <c r="D394" s="3" t="s">
        <v>43</v>
      </c>
      <c r="E394" s="3" t="s">
        <v>595</v>
      </c>
      <c r="F394" s="3" t="s">
        <v>22</v>
      </c>
      <c r="G394" s="3" t="s">
        <v>163</v>
      </c>
      <c r="H394" s="3">
        <v>12001</v>
      </c>
      <c r="I394" s="3">
        <v>4</v>
      </c>
      <c r="J394" s="3">
        <v>7173</v>
      </c>
      <c r="K394" s="3">
        <v>11432</v>
      </c>
      <c r="L394" s="3">
        <v>2</v>
      </c>
      <c r="M394" s="3">
        <v>1659.9327129999999</v>
      </c>
    </row>
    <row r="395" spans="1:13" ht="14.25" customHeight="1" x14ac:dyDescent="0.2">
      <c r="A395" s="3" t="s">
        <v>596</v>
      </c>
      <c r="B395" s="3" t="s">
        <v>24</v>
      </c>
      <c r="C395" s="3" t="s">
        <v>29</v>
      </c>
      <c r="D395" s="3" t="s">
        <v>401</v>
      </c>
      <c r="E395" s="3" t="s">
        <v>597</v>
      </c>
      <c r="F395" s="3" t="s">
        <v>27</v>
      </c>
      <c r="G395" s="3" t="s">
        <v>114</v>
      </c>
      <c r="H395" s="3">
        <v>38070</v>
      </c>
      <c r="I395" s="3">
        <v>4</v>
      </c>
      <c r="J395" s="3">
        <v>15253</v>
      </c>
      <c r="K395" s="3">
        <v>35453</v>
      </c>
      <c r="L395" s="3">
        <v>1</v>
      </c>
      <c r="M395" s="3">
        <v>1653.510777</v>
      </c>
    </row>
    <row r="396" spans="1:13" ht="14.25" customHeight="1" x14ac:dyDescent="0.2">
      <c r="A396" s="3" t="s">
        <v>598</v>
      </c>
      <c r="B396" s="3" t="s">
        <v>14</v>
      </c>
      <c r="C396" s="3" t="s">
        <v>29</v>
      </c>
      <c r="D396" s="3" t="s">
        <v>86</v>
      </c>
      <c r="E396" s="3" t="s">
        <v>191</v>
      </c>
      <c r="F396" s="3" t="s">
        <v>27</v>
      </c>
      <c r="G396" s="3" t="s">
        <v>19</v>
      </c>
      <c r="H396" s="3">
        <v>52582</v>
      </c>
      <c r="I396" s="3">
        <v>4</v>
      </c>
      <c r="J396" s="3">
        <v>22065</v>
      </c>
      <c r="K396" s="3">
        <v>46126</v>
      </c>
      <c r="L396" s="3">
        <v>14</v>
      </c>
      <c r="M396" s="3">
        <v>1631.741712</v>
      </c>
    </row>
    <row r="397" spans="1:13" ht="14.25" customHeight="1" x14ac:dyDescent="0.2">
      <c r="A397" s="3" t="s">
        <v>599</v>
      </c>
      <c r="B397" s="3" t="s">
        <v>24</v>
      </c>
      <c r="C397" s="3" t="s">
        <v>15</v>
      </c>
      <c r="D397" s="3" t="s">
        <v>70</v>
      </c>
      <c r="E397" s="3" t="s">
        <v>600</v>
      </c>
      <c r="F397" s="3" t="s">
        <v>27</v>
      </c>
      <c r="G397" s="3" t="s">
        <v>114</v>
      </c>
      <c r="H397" s="3">
        <v>16354</v>
      </c>
      <c r="I397" s="3">
        <v>4</v>
      </c>
      <c r="J397" s="3">
        <v>8061</v>
      </c>
      <c r="K397" s="3">
        <v>15667</v>
      </c>
      <c r="L397" s="3">
        <v>1</v>
      </c>
      <c r="M397" s="3">
        <v>1610.3199770000001</v>
      </c>
    </row>
    <row r="398" spans="1:13" ht="14.25" customHeight="1" x14ac:dyDescent="0.2">
      <c r="A398" s="3" t="s">
        <v>601</v>
      </c>
      <c r="B398" s="3" t="s">
        <v>24</v>
      </c>
      <c r="C398" s="3" t="s">
        <v>32</v>
      </c>
      <c r="D398" s="3" t="s">
        <v>60</v>
      </c>
      <c r="E398" s="3" t="s">
        <v>301</v>
      </c>
      <c r="F398" s="3" t="s">
        <v>22</v>
      </c>
      <c r="G398" s="3" t="s">
        <v>163</v>
      </c>
      <c r="H398" s="3">
        <v>17645</v>
      </c>
      <c r="I398" s="3">
        <v>4</v>
      </c>
      <c r="J398" s="3">
        <v>9673</v>
      </c>
      <c r="K398" s="3">
        <v>15088</v>
      </c>
      <c r="L398" s="3">
        <v>15</v>
      </c>
      <c r="M398" s="3">
        <v>1591.772246</v>
      </c>
    </row>
    <row r="399" spans="1:13" ht="14.25" customHeight="1" x14ac:dyDescent="0.2">
      <c r="A399" s="3" t="s">
        <v>602</v>
      </c>
      <c r="B399" s="3" t="s">
        <v>14</v>
      </c>
      <c r="C399" s="3" t="s">
        <v>35</v>
      </c>
      <c r="D399" s="3" t="s">
        <v>16</v>
      </c>
      <c r="E399" s="3" t="s">
        <v>159</v>
      </c>
      <c r="F399" s="3" t="s">
        <v>27</v>
      </c>
      <c r="G399" s="3" t="s">
        <v>19</v>
      </c>
      <c r="H399" s="3">
        <v>33069</v>
      </c>
      <c r="I399" s="3">
        <v>4</v>
      </c>
      <c r="J399" s="3">
        <v>17744</v>
      </c>
      <c r="K399" s="3">
        <v>31192</v>
      </c>
      <c r="L399" s="3">
        <v>1</v>
      </c>
      <c r="M399" s="3">
        <v>1543.3106110000001</v>
      </c>
    </row>
    <row r="400" spans="1:13" ht="14.25" customHeight="1" x14ac:dyDescent="0.2">
      <c r="A400" s="3" t="s">
        <v>603</v>
      </c>
      <c r="B400" s="3" t="s">
        <v>24</v>
      </c>
      <c r="C400" s="3" t="s">
        <v>29</v>
      </c>
      <c r="D400" s="3" t="s">
        <v>70</v>
      </c>
      <c r="E400" s="3" t="s">
        <v>347</v>
      </c>
      <c r="F400" s="3" t="s">
        <v>27</v>
      </c>
      <c r="G400" s="3" t="s">
        <v>19</v>
      </c>
      <c r="H400" s="3">
        <v>14763</v>
      </c>
      <c r="I400" s="3">
        <v>4</v>
      </c>
      <c r="J400" s="3">
        <v>8955</v>
      </c>
      <c r="K400" s="3">
        <v>13829</v>
      </c>
      <c r="L400" s="3">
        <v>1</v>
      </c>
      <c r="M400" s="3">
        <v>1531.9268850000001</v>
      </c>
    </row>
    <row r="401" spans="1:13" ht="14.25" customHeight="1" x14ac:dyDescent="0.2">
      <c r="A401" s="3" t="s">
        <v>604</v>
      </c>
      <c r="B401" s="3" t="s">
        <v>14</v>
      </c>
      <c r="C401" s="3" t="s">
        <v>32</v>
      </c>
      <c r="D401" s="3" t="s">
        <v>66</v>
      </c>
      <c r="E401" s="3" t="s">
        <v>46</v>
      </c>
      <c r="F401" s="3" t="s">
        <v>38</v>
      </c>
      <c r="G401" s="3" t="s">
        <v>19</v>
      </c>
      <c r="H401" s="3">
        <v>8278</v>
      </c>
      <c r="I401" s="3">
        <v>4</v>
      </c>
      <c r="J401" s="3">
        <v>6758</v>
      </c>
      <c r="K401" s="3">
        <v>7537</v>
      </c>
      <c r="L401" s="3">
        <v>1</v>
      </c>
      <c r="M401" s="3">
        <v>1526.296619</v>
      </c>
    </row>
    <row r="402" spans="1:13" ht="14.25" customHeight="1" x14ac:dyDescent="0.2">
      <c r="A402" s="3" t="s">
        <v>605</v>
      </c>
      <c r="B402" s="3" t="s">
        <v>14</v>
      </c>
      <c r="C402" s="3" t="s">
        <v>32</v>
      </c>
      <c r="D402" s="3" t="s">
        <v>25</v>
      </c>
      <c r="E402" s="3" t="s">
        <v>606</v>
      </c>
      <c r="F402" s="3" t="s">
        <v>50</v>
      </c>
      <c r="G402" s="3" t="s">
        <v>19</v>
      </c>
      <c r="H402" s="3">
        <v>16791</v>
      </c>
      <c r="I402" s="3">
        <v>4</v>
      </c>
      <c r="J402" s="3">
        <v>11402</v>
      </c>
      <c r="K402" s="3">
        <v>14231</v>
      </c>
      <c r="L402" s="3">
        <v>3</v>
      </c>
      <c r="M402" s="3">
        <v>1522.5122719999999</v>
      </c>
    </row>
    <row r="403" spans="1:13" ht="14.25" customHeight="1" x14ac:dyDescent="0.2">
      <c r="A403" s="3" t="s">
        <v>607</v>
      </c>
      <c r="B403" s="3" t="s">
        <v>24</v>
      </c>
      <c r="C403" s="3" t="s">
        <v>32</v>
      </c>
      <c r="D403" s="3" t="s">
        <v>25</v>
      </c>
      <c r="E403" s="3" t="s">
        <v>396</v>
      </c>
      <c r="F403" s="3" t="s">
        <v>22</v>
      </c>
      <c r="G403" s="3" t="s">
        <v>114</v>
      </c>
      <c r="H403" s="3">
        <v>69757</v>
      </c>
      <c r="I403" s="3">
        <v>4</v>
      </c>
      <c r="J403" s="3">
        <v>41258</v>
      </c>
      <c r="K403" s="3">
        <v>65374</v>
      </c>
      <c r="L403" s="3">
        <v>24</v>
      </c>
      <c r="M403" s="3">
        <v>1510.6153200000001</v>
      </c>
    </row>
    <row r="404" spans="1:13" ht="14.25" customHeight="1" x14ac:dyDescent="0.2">
      <c r="A404" s="3" t="s">
        <v>608</v>
      </c>
      <c r="B404" s="3" t="s">
        <v>24</v>
      </c>
      <c r="C404" s="3" t="s">
        <v>15</v>
      </c>
      <c r="D404" s="3" t="s">
        <v>45</v>
      </c>
      <c r="E404" s="3" t="s">
        <v>119</v>
      </c>
      <c r="F404" s="3" t="s">
        <v>27</v>
      </c>
      <c r="G404" s="3" t="s">
        <v>114</v>
      </c>
      <c r="H404" s="3">
        <v>21531</v>
      </c>
      <c r="I404" s="3">
        <v>4</v>
      </c>
      <c r="J404" s="3">
        <v>15593</v>
      </c>
      <c r="K404" s="3">
        <v>18617</v>
      </c>
      <c r="L404" s="3">
        <v>6</v>
      </c>
      <c r="M404" s="3">
        <v>1470.9719250000001</v>
      </c>
    </row>
    <row r="405" spans="1:13" ht="14.25" customHeight="1" x14ac:dyDescent="0.2">
      <c r="A405" s="3" t="s">
        <v>609</v>
      </c>
      <c r="B405" s="3" t="s">
        <v>14</v>
      </c>
      <c r="C405" s="3" t="s">
        <v>29</v>
      </c>
      <c r="D405" s="3" t="s">
        <v>43</v>
      </c>
      <c r="E405" s="3" t="s">
        <v>610</v>
      </c>
      <c r="F405" s="3" t="s">
        <v>27</v>
      </c>
      <c r="G405" s="3" t="s">
        <v>19</v>
      </c>
      <c r="H405" s="3">
        <v>2472</v>
      </c>
      <c r="I405" s="3">
        <v>3</v>
      </c>
      <c r="J405" s="3">
        <v>1328</v>
      </c>
      <c r="K405" s="3">
        <v>2123</v>
      </c>
      <c r="L405" s="3">
        <v>3</v>
      </c>
      <c r="M405" s="3">
        <v>7247.492217</v>
      </c>
    </row>
    <row r="406" spans="1:13" ht="14.25" customHeight="1" x14ac:dyDescent="0.2">
      <c r="A406" s="3" t="s">
        <v>611</v>
      </c>
      <c r="B406" s="3" t="s">
        <v>14</v>
      </c>
      <c r="C406" s="3" t="s">
        <v>29</v>
      </c>
      <c r="D406" s="3" t="s">
        <v>16</v>
      </c>
      <c r="E406" s="3" t="s">
        <v>191</v>
      </c>
      <c r="F406" s="3" t="s">
        <v>38</v>
      </c>
      <c r="G406" s="3" t="s">
        <v>19</v>
      </c>
      <c r="H406" s="3">
        <v>76049</v>
      </c>
      <c r="I406" s="3">
        <v>3</v>
      </c>
      <c r="J406" s="3">
        <v>34921</v>
      </c>
      <c r="K406" s="3">
        <v>69138</v>
      </c>
      <c r="L406" s="3">
        <v>4</v>
      </c>
      <c r="M406" s="3">
        <v>6942.8004579999997</v>
      </c>
    </row>
    <row r="407" spans="1:13" ht="14.25" customHeight="1" x14ac:dyDescent="0.2">
      <c r="A407" s="3" t="s">
        <v>612</v>
      </c>
      <c r="B407" s="3" t="s">
        <v>68</v>
      </c>
      <c r="C407" s="3" t="s">
        <v>32</v>
      </c>
      <c r="D407" s="3" t="s">
        <v>25</v>
      </c>
      <c r="E407" s="3" t="s">
        <v>517</v>
      </c>
      <c r="F407" s="3" t="s">
        <v>27</v>
      </c>
      <c r="G407" s="3" t="s">
        <v>19</v>
      </c>
      <c r="H407" s="3">
        <v>7822</v>
      </c>
      <c r="I407" s="3">
        <v>3</v>
      </c>
      <c r="J407" s="3">
        <v>3786</v>
      </c>
      <c r="K407" s="3">
        <v>7232</v>
      </c>
      <c r="L407" s="3">
        <v>13</v>
      </c>
      <c r="M407" s="3">
        <v>6781.8216469999998</v>
      </c>
    </row>
    <row r="408" spans="1:13" ht="14.25" customHeight="1" x14ac:dyDescent="0.2">
      <c r="A408" s="3" t="s">
        <v>613</v>
      </c>
      <c r="B408" s="3" t="s">
        <v>24</v>
      </c>
      <c r="C408" s="3" t="s">
        <v>15</v>
      </c>
      <c r="D408" s="3" t="s">
        <v>25</v>
      </c>
      <c r="E408" s="3" t="s">
        <v>136</v>
      </c>
      <c r="F408" s="3" t="s">
        <v>41</v>
      </c>
      <c r="G408" s="3" t="s">
        <v>163</v>
      </c>
      <c r="H408" s="3">
        <v>26558</v>
      </c>
      <c r="I408" s="3">
        <v>3</v>
      </c>
      <c r="J408" s="3">
        <v>15761</v>
      </c>
      <c r="K408" s="3">
        <v>23532</v>
      </c>
      <c r="L408" s="3">
        <v>14</v>
      </c>
      <c r="M408" s="3">
        <v>6751.5589810000001</v>
      </c>
    </row>
    <row r="409" spans="1:13" ht="14.25" customHeight="1" x14ac:dyDescent="0.2">
      <c r="A409" s="3" t="s">
        <v>614</v>
      </c>
      <c r="B409" s="3" t="s">
        <v>14</v>
      </c>
      <c r="C409" s="3" t="s">
        <v>15</v>
      </c>
      <c r="D409" s="3" t="s">
        <v>43</v>
      </c>
      <c r="E409" s="3" t="s">
        <v>157</v>
      </c>
      <c r="F409" s="3" t="s">
        <v>38</v>
      </c>
      <c r="G409" s="3" t="s">
        <v>19</v>
      </c>
      <c r="H409" s="3">
        <v>18401</v>
      </c>
      <c r="I409" s="3">
        <v>3</v>
      </c>
      <c r="J409" s="3">
        <v>11051</v>
      </c>
      <c r="K409" s="3">
        <v>17202</v>
      </c>
      <c r="L409" s="3">
        <v>1</v>
      </c>
      <c r="M409" s="3">
        <v>6571.4915520000004</v>
      </c>
    </row>
    <row r="410" spans="1:13" ht="14.25" customHeight="1" x14ac:dyDescent="0.2">
      <c r="A410" s="3" t="s">
        <v>615</v>
      </c>
      <c r="B410" s="3" t="s">
        <v>24</v>
      </c>
      <c r="C410" s="3" t="s">
        <v>32</v>
      </c>
      <c r="D410" s="3" t="s">
        <v>16</v>
      </c>
      <c r="E410" s="3" t="s">
        <v>396</v>
      </c>
      <c r="F410" s="3" t="s">
        <v>22</v>
      </c>
      <c r="G410" s="3" t="s">
        <v>114</v>
      </c>
      <c r="H410" s="3">
        <v>45711</v>
      </c>
      <c r="I410" s="3">
        <v>3</v>
      </c>
      <c r="J410" s="3">
        <v>23052</v>
      </c>
      <c r="K410" s="3">
        <v>42375</v>
      </c>
      <c r="L410" s="3">
        <v>11</v>
      </c>
      <c r="M410" s="3">
        <v>6417.8761690000001</v>
      </c>
    </row>
    <row r="411" spans="1:13" ht="14.25" customHeight="1" x14ac:dyDescent="0.2">
      <c r="A411" s="3" t="s">
        <v>616</v>
      </c>
      <c r="B411" s="3" t="s">
        <v>24</v>
      </c>
      <c r="C411" s="3" t="s">
        <v>15</v>
      </c>
      <c r="D411" s="3" t="s">
        <v>43</v>
      </c>
      <c r="E411" s="3" t="s">
        <v>579</v>
      </c>
      <c r="F411" s="3" t="s">
        <v>64</v>
      </c>
      <c r="G411" s="3" t="s">
        <v>114</v>
      </c>
      <c r="H411" s="3">
        <v>3052</v>
      </c>
      <c r="I411" s="3">
        <v>3</v>
      </c>
      <c r="J411" s="3">
        <v>1715</v>
      </c>
      <c r="K411" s="3">
        <v>2761</v>
      </c>
      <c r="L411" s="3">
        <v>11</v>
      </c>
      <c r="M411" s="3">
        <v>6417.830508</v>
      </c>
    </row>
    <row r="412" spans="1:13" ht="14.25" customHeight="1" x14ac:dyDescent="0.2">
      <c r="A412" s="3" t="s">
        <v>617</v>
      </c>
      <c r="B412" s="3" t="s">
        <v>24</v>
      </c>
      <c r="C412" s="3" t="s">
        <v>15</v>
      </c>
      <c r="D412" s="3" t="s">
        <v>84</v>
      </c>
      <c r="E412" s="3" t="s">
        <v>618</v>
      </c>
      <c r="F412" s="3" t="s">
        <v>27</v>
      </c>
      <c r="G412" s="3" t="s">
        <v>19</v>
      </c>
      <c r="H412" s="3">
        <v>7789</v>
      </c>
      <c r="I412" s="3">
        <v>3</v>
      </c>
      <c r="J412" s="3">
        <v>4655</v>
      </c>
      <c r="K412" s="3">
        <v>7434</v>
      </c>
      <c r="L412" s="3">
        <v>1</v>
      </c>
      <c r="M412" s="3">
        <v>6396.8687630000004</v>
      </c>
    </row>
    <row r="413" spans="1:13" ht="14.25" customHeight="1" x14ac:dyDescent="0.2">
      <c r="A413" s="3" t="s">
        <v>619</v>
      </c>
      <c r="B413" s="3" t="s">
        <v>24</v>
      </c>
      <c r="C413" s="3" t="s">
        <v>35</v>
      </c>
      <c r="D413" s="3" t="s">
        <v>25</v>
      </c>
      <c r="E413" s="3" t="s">
        <v>620</v>
      </c>
      <c r="F413" s="3" t="s">
        <v>27</v>
      </c>
      <c r="G413" s="3" t="s">
        <v>114</v>
      </c>
      <c r="H413" s="3">
        <v>2800</v>
      </c>
      <c r="I413" s="3">
        <v>3</v>
      </c>
      <c r="J413" s="3">
        <v>190</v>
      </c>
      <c r="K413" s="3">
        <v>864</v>
      </c>
      <c r="L413" s="3">
        <v>11</v>
      </c>
      <c r="M413" s="3">
        <v>6351.0588799999996</v>
      </c>
    </row>
    <row r="414" spans="1:13" ht="14.25" customHeight="1" x14ac:dyDescent="0.2">
      <c r="A414" s="3" t="s">
        <v>621</v>
      </c>
      <c r="B414" s="3" t="s">
        <v>24</v>
      </c>
      <c r="C414" s="3" t="s">
        <v>35</v>
      </c>
      <c r="D414" s="3" t="s">
        <v>25</v>
      </c>
      <c r="E414" s="3" t="s">
        <v>79</v>
      </c>
      <c r="F414" s="3" t="s">
        <v>27</v>
      </c>
      <c r="G414" s="3" t="s">
        <v>19</v>
      </c>
      <c r="H414" s="3">
        <v>182114</v>
      </c>
      <c r="I414" s="3">
        <v>3</v>
      </c>
      <c r="J414" s="3">
        <v>14477</v>
      </c>
      <c r="K414" s="3">
        <v>139167</v>
      </c>
      <c r="L414" s="3">
        <v>29</v>
      </c>
      <c r="M414" s="3">
        <v>6307.9007510000001</v>
      </c>
    </row>
    <row r="415" spans="1:13" ht="14.25" customHeight="1" x14ac:dyDescent="0.2">
      <c r="A415" s="3" t="s">
        <v>622</v>
      </c>
      <c r="B415" s="3" t="s">
        <v>24</v>
      </c>
      <c r="C415" s="3" t="s">
        <v>35</v>
      </c>
      <c r="D415" s="3" t="s">
        <v>21</v>
      </c>
      <c r="E415" s="3" t="s">
        <v>623</v>
      </c>
      <c r="F415" s="3" t="s">
        <v>22</v>
      </c>
      <c r="G415" s="3" t="s">
        <v>19</v>
      </c>
      <c r="H415" s="3">
        <v>12092</v>
      </c>
      <c r="I415" s="3">
        <v>3</v>
      </c>
      <c r="J415" s="3">
        <v>2042</v>
      </c>
      <c r="K415" s="3">
        <v>10315</v>
      </c>
      <c r="L415" s="3">
        <v>8</v>
      </c>
      <c r="M415" s="3">
        <v>6245.1347930000002</v>
      </c>
    </row>
    <row r="416" spans="1:13" ht="14.25" customHeight="1" x14ac:dyDescent="0.2">
      <c r="A416" s="3" t="s">
        <v>624</v>
      </c>
      <c r="B416" s="3" t="s">
        <v>24</v>
      </c>
      <c r="C416" s="3" t="s">
        <v>32</v>
      </c>
      <c r="D416" s="3" t="s">
        <v>25</v>
      </c>
      <c r="E416" s="3" t="s">
        <v>111</v>
      </c>
      <c r="F416" s="3" t="s">
        <v>38</v>
      </c>
      <c r="G416" s="3" t="s">
        <v>163</v>
      </c>
      <c r="H416" s="3">
        <v>23156</v>
      </c>
      <c r="I416" s="3">
        <v>3</v>
      </c>
      <c r="J416" s="3">
        <v>4468</v>
      </c>
      <c r="K416" s="3">
        <v>18821</v>
      </c>
      <c r="L416" s="3">
        <v>15</v>
      </c>
      <c r="M416" s="3">
        <v>6173.4128899999996</v>
      </c>
    </row>
    <row r="417" spans="1:13" ht="14.25" customHeight="1" x14ac:dyDescent="0.2">
      <c r="A417" s="3" t="s">
        <v>625</v>
      </c>
      <c r="B417" s="3" t="s">
        <v>24</v>
      </c>
      <c r="C417" s="3" t="s">
        <v>35</v>
      </c>
      <c r="D417" s="3" t="s">
        <v>205</v>
      </c>
      <c r="E417" s="3" t="s">
        <v>626</v>
      </c>
      <c r="F417" s="3" t="s">
        <v>27</v>
      </c>
      <c r="G417" s="3" t="s">
        <v>19</v>
      </c>
      <c r="H417" s="3">
        <v>1164</v>
      </c>
      <c r="I417" s="3">
        <v>3</v>
      </c>
      <c r="J417" s="3">
        <v>824</v>
      </c>
      <c r="K417" s="3">
        <v>1112</v>
      </c>
      <c r="L417" s="3">
        <v>3</v>
      </c>
      <c r="M417" s="3">
        <v>6115.663579</v>
      </c>
    </row>
    <row r="418" spans="1:13" ht="14.25" customHeight="1" x14ac:dyDescent="0.2">
      <c r="A418" s="3" t="s">
        <v>627</v>
      </c>
      <c r="B418" s="3" t="s">
        <v>24</v>
      </c>
      <c r="C418" s="3" t="s">
        <v>29</v>
      </c>
      <c r="D418" s="3" t="s">
        <v>25</v>
      </c>
      <c r="E418" s="3" t="s">
        <v>250</v>
      </c>
      <c r="F418" s="3" t="s">
        <v>64</v>
      </c>
      <c r="G418" s="3" t="s">
        <v>114</v>
      </c>
      <c r="H418" s="3">
        <v>16978</v>
      </c>
      <c r="I418" s="3">
        <v>3</v>
      </c>
      <c r="J418" s="3">
        <v>8367</v>
      </c>
      <c r="K418" s="3">
        <v>15731</v>
      </c>
      <c r="L418" s="3">
        <v>1</v>
      </c>
      <c r="M418" s="3">
        <v>5886.0711460000002</v>
      </c>
    </row>
    <row r="419" spans="1:13" ht="14.25" customHeight="1" x14ac:dyDescent="0.2">
      <c r="A419" s="3" t="s">
        <v>628</v>
      </c>
      <c r="B419" s="3" t="s">
        <v>14</v>
      </c>
      <c r="C419" s="3" t="s">
        <v>32</v>
      </c>
      <c r="D419" s="3" t="s">
        <v>532</v>
      </c>
      <c r="E419" s="3" t="s">
        <v>406</v>
      </c>
      <c r="F419" s="3" t="s">
        <v>38</v>
      </c>
      <c r="G419" s="3" t="s">
        <v>19</v>
      </c>
      <c r="H419" s="3">
        <v>252170</v>
      </c>
      <c r="I419" s="3">
        <v>3</v>
      </c>
      <c r="J419" s="3">
        <v>9248</v>
      </c>
      <c r="K419" s="3">
        <v>14192</v>
      </c>
      <c r="L419" s="3">
        <v>1</v>
      </c>
      <c r="M419" s="3">
        <v>5874.0047800000002</v>
      </c>
    </row>
    <row r="420" spans="1:13" ht="14.25" customHeight="1" x14ac:dyDescent="0.2">
      <c r="A420" s="3" t="s">
        <v>629</v>
      </c>
      <c r="B420" s="3" t="s">
        <v>14</v>
      </c>
      <c r="C420" s="3" t="s">
        <v>15</v>
      </c>
      <c r="D420" s="3" t="s">
        <v>398</v>
      </c>
      <c r="E420" s="3" t="s">
        <v>630</v>
      </c>
      <c r="F420" s="3" t="s">
        <v>18</v>
      </c>
      <c r="G420" s="3" t="s">
        <v>19</v>
      </c>
      <c r="H420" s="3">
        <v>3070</v>
      </c>
      <c r="I420" s="3">
        <v>3</v>
      </c>
      <c r="J420" s="3">
        <v>1747</v>
      </c>
      <c r="K420" s="3">
        <v>2911</v>
      </c>
      <c r="L420" s="3">
        <v>2</v>
      </c>
      <c r="M420" s="3">
        <v>5766.6148549999998</v>
      </c>
    </row>
    <row r="421" spans="1:13" ht="14.25" customHeight="1" x14ac:dyDescent="0.2">
      <c r="A421" s="3" t="s">
        <v>631</v>
      </c>
      <c r="B421" s="3" t="s">
        <v>68</v>
      </c>
      <c r="C421" s="3" t="s">
        <v>15</v>
      </c>
      <c r="D421" s="3" t="s">
        <v>66</v>
      </c>
      <c r="E421" s="3" t="s">
        <v>632</v>
      </c>
      <c r="F421" s="3" t="s">
        <v>27</v>
      </c>
      <c r="G421" s="3" t="s">
        <v>19</v>
      </c>
      <c r="H421" s="3">
        <v>10906</v>
      </c>
      <c r="I421" s="3">
        <v>3</v>
      </c>
      <c r="J421" s="3">
        <v>4735</v>
      </c>
      <c r="K421" s="3">
        <v>6390</v>
      </c>
      <c r="L421" s="3">
        <v>3</v>
      </c>
      <c r="M421" s="3">
        <v>5694.2709400000003</v>
      </c>
    </row>
    <row r="422" spans="1:13" ht="14.25" customHeight="1" x14ac:dyDescent="0.2">
      <c r="A422" s="3" t="s">
        <v>633</v>
      </c>
      <c r="B422" s="3" t="s">
        <v>24</v>
      </c>
      <c r="C422" s="3" t="s">
        <v>29</v>
      </c>
      <c r="D422" s="3" t="s">
        <v>205</v>
      </c>
      <c r="E422" s="3" t="s">
        <v>37</v>
      </c>
      <c r="F422" s="3" t="s">
        <v>76</v>
      </c>
      <c r="G422" s="3" t="s">
        <v>19</v>
      </c>
      <c r="H422" s="3">
        <v>14224</v>
      </c>
      <c r="I422" s="3">
        <v>3</v>
      </c>
      <c r="J422" s="3">
        <v>2549</v>
      </c>
      <c r="K422" s="3">
        <v>11974</v>
      </c>
      <c r="L422" s="3">
        <v>1</v>
      </c>
      <c r="M422" s="3">
        <v>5637.3034969999999</v>
      </c>
    </row>
    <row r="423" spans="1:13" ht="14.25" customHeight="1" x14ac:dyDescent="0.2">
      <c r="A423" s="3" t="s">
        <v>634</v>
      </c>
      <c r="B423" s="3" t="s">
        <v>68</v>
      </c>
      <c r="C423" s="3" t="s">
        <v>35</v>
      </c>
      <c r="D423" s="3" t="s">
        <v>66</v>
      </c>
      <c r="E423" s="3" t="s">
        <v>635</v>
      </c>
      <c r="F423" s="3" t="s">
        <v>41</v>
      </c>
      <c r="G423" s="3" t="s">
        <v>19</v>
      </c>
      <c r="H423" s="3">
        <v>46190</v>
      </c>
      <c r="I423" s="3">
        <v>3</v>
      </c>
      <c r="J423" s="3">
        <v>8618</v>
      </c>
      <c r="K423" s="3">
        <v>41618</v>
      </c>
      <c r="L423" s="3">
        <v>1</v>
      </c>
      <c r="M423" s="3">
        <v>5464.1098169999996</v>
      </c>
    </row>
    <row r="424" spans="1:13" ht="14.25" customHeight="1" x14ac:dyDescent="0.2">
      <c r="A424" s="3" t="s">
        <v>636</v>
      </c>
      <c r="B424" s="3" t="s">
        <v>24</v>
      </c>
      <c r="C424" s="3" t="s">
        <v>29</v>
      </c>
      <c r="D424" s="3" t="s">
        <v>66</v>
      </c>
      <c r="E424" s="3" t="s">
        <v>637</v>
      </c>
      <c r="F424" s="3" t="s">
        <v>27</v>
      </c>
      <c r="G424" s="3" t="s">
        <v>19</v>
      </c>
      <c r="H424" s="3">
        <v>11672</v>
      </c>
      <c r="I424" s="3">
        <v>3</v>
      </c>
      <c r="J424" s="3">
        <v>7619</v>
      </c>
      <c r="K424" s="3">
        <v>9999</v>
      </c>
      <c r="L424" s="3">
        <v>1</v>
      </c>
      <c r="M424" s="3">
        <v>5284.2770399999999</v>
      </c>
    </row>
    <row r="425" spans="1:13" ht="14.25" customHeight="1" x14ac:dyDescent="0.2">
      <c r="A425" s="3" t="s">
        <v>638</v>
      </c>
      <c r="B425" s="3" t="s">
        <v>14</v>
      </c>
      <c r="C425" s="3" t="s">
        <v>35</v>
      </c>
      <c r="D425" s="3" t="s">
        <v>216</v>
      </c>
      <c r="E425" s="3" t="s">
        <v>639</v>
      </c>
      <c r="F425" s="3" t="s">
        <v>41</v>
      </c>
      <c r="G425" s="3" t="s">
        <v>19</v>
      </c>
      <c r="H425" s="3">
        <v>5370</v>
      </c>
      <c r="I425" s="3">
        <v>3</v>
      </c>
      <c r="J425" s="3">
        <v>4585</v>
      </c>
      <c r="K425" s="3">
        <v>5139</v>
      </c>
      <c r="L425" s="3">
        <v>3</v>
      </c>
      <c r="M425" s="3">
        <v>5217.893204</v>
      </c>
    </row>
    <row r="426" spans="1:13" ht="14.25" customHeight="1" x14ac:dyDescent="0.2">
      <c r="A426" s="3" t="s">
        <v>640</v>
      </c>
      <c r="B426" s="3" t="s">
        <v>24</v>
      </c>
      <c r="C426" s="3" t="s">
        <v>29</v>
      </c>
      <c r="D426" s="3" t="s">
        <v>70</v>
      </c>
      <c r="E426" s="3" t="s">
        <v>641</v>
      </c>
      <c r="F426" s="3" t="s">
        <v>64</v>
      </c>
      <c r="G426" s="3" t="s">
        <v>19</v>
      </c>
      <c r="H426" s="3">
        <v>14398</v>
      </c>
      <c r="I426" s="3">
        <v>3</v>
      </c>
      <c r="J426" s="3">
        <v>2807</v>
      </c>
      <c r="K426" s="3">
        <v>13393</v>
      </c>
      <c r="L426" s="3">
        <v>1</v>
      </c>
      <c r="M426" s="3">
        <v>5154.6445549999999</v>
      </c>
    </row>
    <row r="427" spans="1:13" ht="14.25" customHeight="1" x14ac:dyDescent="0.2">
      <c r="A427" s="3" t="s">
        <v>642</v>
      </c>
      <c r="B427" s="3" t="s">
        <v>14</v>
      </c>
      <c r="C427" s="3" t="s">
        <v>35</v>
      </c>
      <c r="D427" s="3" t="s">
        <v>121</v>
      </c>
      <c r="E427" s="3" t="s">
        <v>643</v>
      </c>
      <c r="F427" s="3" t="s">
        <v>18</v>
      </c>
      <c r="G427" s="3" t="s">
        <v>19</v>
      </c>
      <c r="H427" s="3">
        <v>7095</v>
      </c>
      <c r="I427" s="3">
        <v>3</v>
      </c>
      <c r="J427" s="3">
        <v>3832</v>
      </c>
      <c r="K427" s="3">
        <v>6344</v>
      </c>
      <c r="L427" s="3">
        <v>1</v>
      </c>
      <c r="M427" s="3">
        <v>5144.8120399999998</v>
      </c>
    </row>
    <row r="428" spans="1:13" ht="14.25" customHeight="1" x14ac:dyDescent="0.2">
      <c r="A428" s="3" t="s">
        <v>644</v>
      </c>
      <c r="B428" s="3" t="s">
        <v>14</v>
      </c>
      <c r="C428" s="3" t="s">
        <v>15</v>
      </c>
      <c r="D428" s="3" t="s">
        <v>25</v>
      </c>
      <c r="E428" s="3" t="s">
        <v>645</v>
      </c>
      <c r="F428" s="3" t="s">
        <v>27</v>
      </c>
      <c r="G428" s="3" t="s">
        <v>19</v>
      </c>
      <c r="H428" s="3">
        <v>18516</v>
      </c>
      <c r="I428" s="3">
        <v>3</v>
      </c>
      <c r="J428" s="3">
        <v>8191</v>
      </c>
      <c r="K428" s="3">
        <v>13641</v>
      </c>
      <c r="L428" s="3">
        <v>9</v>
      </c>
      <c r="M428" s="3">
        <v>5087.5617149999998</v>
      </c>
    </row>
    <row r="429" spans="1:13" ht="14.25" customHeight="1" x14ac:dyDescent="0.2">
      <c r="A429" s="3" t="s">
        <v>646</v>
      </c>
      <c r="B429" s="3" t="s">
        <v>14</v>
      </c>
      <c r="C429" s="3" t="s">
        <v>32</v>
      </c>
      <c r="D429" s="3" t="s">
        <v>43</v>
      </c>
      <c r="E429" s="3" t="s">
        <v>63</v>
      </c>
      <c r="F429" s="3" t="s">
        <v>41</v>
      </c>
      <c r="G429" s="3" t="s">
        <v>19</v>
      </c>
      <c r="H429" s="3">
        <v>9060</v>
      </c>
      <c r="I429" s="3">
        <v>3</v>
      </c>
      <c r="J429" s="3">
        <v>5190</v>
      </c>
      <c r="K429" s="3">
        <v>8621</v>
      </c>
      <c r="L429" s="3">
        <v>14</v>
      </c>
      <c r="M429" s="3">
        <v>4934.8515630000002</v>
      </c>
    </row>
    <row r="430" spans="1:13" ht="14.25" customHeight="1" x14ac:dyDescent="0.2">
      <c r="A430" s="3" t="s">
        <v>647</v>
      </c>
      <c r="B430" s="3" t="s">
        <v>14</v>
      </c>
      <c r="C430" s="3" t="s">
        <v>15</v>
      </c>
      <c r="D430" s="3" t="s">
        <v>16</v>
      </c>
      <c r="E430" s="3" t="s">
        <v>523</v>
      </c>
      <c r="F430" s="3" t="s">
        <v>38</v>
      </c>
      <c r="G430" s="3" t="s">
        <v>19</v>
      </c>
      <c r="H430" s="3">
        <v>26304</v>
      </c>
      <c r="I430" s="3">
        <v>3</v>
      </c>
      <c r="J430" s="3">
        <v>12354</v>
      </c>
      <c r="K430" s="3">
        <v>17500</v>
      </c>
      <c r="L430" s="3">
        <v>11</v>
      </c>
      <c r="M430" s="3">
        <v>4727.8139160000001</v>
      </c>
    </row>
    <row r="431" spans="1:13" ht="14.25" customHeight="1" x14ac:dyDescent="0.2">
      <c r="A431" s="3" t="s">
        <v>648</v>
      </c>
      <c r="B431" s="3" t="s">
        <v>14</v>
      </c>
      <c r="C431" s="3" t="s">
        <v>29</v>
      </c>
      <c r="D431" s="3" t="s">
        <v>70</v>
      </c>
      <c r="E431" s="3" t="s">
        <v>649</v>
      </c>
      <c r="F431" s="3" t="s">
        <v>22</v>
      </c>
      <c r="G431" s="3" t="s">
        <v>19</v>
      </c>
      <c r="H431" s="3">
        <v>10835</v>
      </c>
      <c r="I431" s="3">
        <v>3</v>
      </c>
      <c r="J431" s="3">
        <v>2888</v>
      </c>
      <c r="K431" s="3">
        <v>10487</v>
      </c>
      <c r="L431" s="3">
        <v>3</v>
      </c>
      <c r="M431" s="3">
        <v>4704.2499559999997</v>
      </c>
    </row>
    <row r="432" spans="1:13" ht="14.25" customHeight="1" x14ac:dyDescent="0.2">
      <c r="A432" s="3" t="s">
        <v>650</v>
      </c>
      <c r="B432" s="3" t="s">
        <v>14</v>
      </c>
      <c r="C432" s="3" t="s">
        <v>35</v>
      </c>
      <c r="D432" s="3" t="s">
        <v>651</v>
      </c>
      <c r="E432" s="3" t="s">
        <v>606</v>
      </c>
      <c r="F432" s="3" t="s">
        <v>38</v>
      </c>
      <c r="G432" s="3" t="s">
        <v>19</v>
      </c>
      <c r="H432" s="3">
        <v>9319</v>
      </c>
      <c r="I432" s="3">
        <v>3</v>
      </c>
      <c r="J432" s="3">
        <v>6193</v>
      </c>
      <c r="K432" s="3">
        <v>8682</v>
      </c>
      <c r="L432" s="3">
        <v>12</v>
      </c>
      <c r="M432" s="3">
        <v>4594.6040030000004</v>
      </c>
    </row>
    <row r="433" spans="1:13" ht="14.25" customHeight="1" x14ac:dyDescent="0.2">
      <c r="A433" s="3" t="s">
        <v>652</v>
      </c>
      <c r="B433" s="3" t="s">
        <v>14</v>
      </c>
      <c r="C433" s="3" t="s">
        <v>29</v>
      </c>
      <c r="D433" s="3" t="s">
        <v>45</v>
      </c>
      <c r="E433" s="3" t="s">
        <v>653</v>
      </c>
      <c r="F433" s="3" t="s">
        <v>323</v>
      </c>
      <c r="G433" s="3" t="s">
        <v>19</v>
      </c>
      <c r="H433" s="3">
        <v>10386</v>
      </c>
      <c r="I433" s="3">
        <v>3</v>
      </c>
      <c r="J433" s="3">
        <v>5876</v>
      </c>
      <c r="K433" s="3">
        <v>10048</v>
      </c>
      <c r="L433" s="3">
        <v>19</v>
      </c>
      <c r="M433" s="3">
        <v>4439.8380639999996</v>
      </c>
    </row>
    <row r="434" spans="1:13" ht="14.25" customHeight="1" x14ac:dyDescent="0.2">
      <c r="A434" s="3" t="s">
        <v>654</v>
      </c>
      <c r="B434" s="3" t="s">
        <v>14</v>
      </c>
      <c r="C434" s="3" t="s">
        <v>15</v>
      </c>
      <c r="D434" s="3" t="s">
        <v>16</v>
      </c>
      <c r="E434" s="3" t="s">
        <v>655</v>
      </c>
      <c r="F434" s="3" t="s">
        <v>58</v>
      </c>
      <c r="G434" s="3" t="s">
        <v>19</v>
      </c>
      <c r="H434" s="3">
        <v>18022</v>
      </c>
      <c r="I434" s="3">
        <v>3</v>
      </c>
      <c r="J434" s="3">
        <v>10618</v>
      </c>
      <c r="K434" s="3">
        <v>16643</v>
      </c>
      <c r="L434" s="3">
        <v>15</v>
      </c>
      <c r="M434" s="3">
        <v>4051.1587490000002</v>
      </c>
    </row>
    <row r="435" spans="1:13" ht="14.25" customHeight="1" x14ac:dyDescent="0.2">
      <c r="A435" s="3" t="s">
        <v>656</v>
      </c>
      <c r="B435" s="3" t="s">
        <v>14</v>
      </c>
      <c r="C435" s="3" t="s">
        <v>29</v>
      </c>
      <c r="D435" s="3" t="s">
        <v>16</v>
      </c>
      <c r="E435" s="3" t="s">
        <v>657</v>
      </c>
      <c r="F435" s="3" t="s">
        <v>33</v>
      </c>
      <c r="G435" s="3" t="s">
        <v>19</v>
      </c>
      <c r="H435" s="3">
        <v>21482</v>
      </c>
      <c r="I435" s="3">
        <v>3</v>
      </c>
      <c r="J435" s="3">
        <v>10473</v>
      </c>
      <c r="K435" s="3">
        <v>19679</v>
      </c>
      <c r="L435" s="3">
        <v>3</v>
      </c>
      <c r="M435" s="3">
        <v>3563.098841</v>
      </c>
    </row>
    <row r="436" spans="1:13" ht="14.25" customHeight="1" x14ac:dyDescent="0.2">
      <c r="A436" s="3" t="s">
        <v>658</v>
      </c>
      <c r="B436" s="3" t="s">
        <v>14</v>
      </c>
      <c r="C436" s="3" t="s">
        <v>35</v>
      </c>
      <c r="D436" s="3" t="s">
        <v>70</v>
      </c>
      <c r="E436" s="3" t="s">
        <v>659</v>
      </c>
      <c r="F436" s="3" t="s">
        <v>27</v>
      </c>
      <c r="G436" s="3" t="s">
        <v>19</v>
      </c>
      <c r="H436" s="3">
        <v>29107</v>
      </c>
      <c r="I436" s="3">
        <v>3</v>
      </c>
      <c r="J436" s="3">
        <v>4047</v>
      </c>
      <c r="K436" s="3">
        <v>27357</v>
      </c>
      <c r="L436" s="3">
        <v>3</v>
      </c>
      <c r="M436" s="3">
        <v>3339.454322</v>
      </c>
    </row>
    <row r="437" spans="1:13" ht="14.25" customHeight="1" x14ac:dyDescent="0.2">
      <c r="A437" s="3" t="s">
        <v>660</v>
      </c>
      <c r="B437" s="3" t="s">
        <v>24</v>
      </c>
      <c r="C437" s="3" t="s">
        <v>32</v>
      </c>
      <c r="D437" s="3" t="s">
        <v>205</v>
      </c>
      <c r="E437" s="3" t="s">
        <v>142</v>
      </c>
      <c r="F437" s="3" t="s">
        <v>38</v>
      </c>
      <c r="G437" s="3" t="s">
        <v>19</v>
      </c>
      <c r="H437" s="3">
        <v>10389</v>
      </c>
      <c r="I437" s="3">
        <v>3</v>
      </c>
      <c r="J437" s="3">
        <v>8161</v>
      </c>
      <c r="K437" s="3">
        <v>9951</v>
      </c>
      <c r="L437" s="3">
        <v>1</v>
      </c>
      <c r="M437" s="3">
        <v>2582.4938470000002</v>
      </c>
    </row>
    <row r="438" spans="1:13" ht="14.25" customHeight="1" x14ac:dyDescent="0.2">
      <c r="A438" s="3" t="s">
        <v>661</v>
      </c>
      <c r="B438" s="3" t="s">
        <v>14</v>
      </c>
      <c r="C438" s="3" t="s">
        <v>29</v>
      </c>
      <c r="D438" s="3" t="s">
        <v>25</v>
      </c>
      <c r="E438" s="3" t="s">
        <v>662</v>
      </c>
      <c r="F438" s="3" t="s">
        <v>27</v>
      </c>
      <c r="G438" s="3" t="s">
        <v>19</v>
      </c>
      <c r="H438" s="3">
        <v>10191</v>
      </c>
      <c r="I438" s="3">
        <v>3</v>
      </c>
      <c r="J438" s="3">
        <v>1243</v>
      </c>
      <c r="K438" s="3">
        <v>8897</v>
      </c>
      <c r="L438" s="3">
        <v>1</v>
      </c>
      <c r="M438" s="3">
        <v>2365.9143720000002</v>
      </c>
    </row>
    <row r="439" spans="1:13" ht="14.25" customHeight="1" x14ac:dyDescent="0.2">
      <c r="A439" s="3" t="s">
        <v>663</v>
      </c>
      <c r="B439" s="3" t="s">
        <v>24</v>
      </c>
      <c r="C439" s="3" t="s">
        <v>29</v>
      </c>
      <c r="D439" s="3" t="s">
        <v>45</v>
      </c>
      <c r="E439" s="3" t="s">
        <v>269</v>
      </c>
      <c r="F439" s="3" t="s">
        <v>27</v>
      </c>
      <c r="G439" s="3" t="s">
        <v>114</v>
      </c>
      <c r="H439" s="3">
        <v>16142</v>
      </c>
      <c r="I439" s="3">
        <v>3</v>
      </c>
      <c r="J439" s="3">
        <v>7064</v>
      </c>
      <c r="K439" s="3">
        <v>15433</v>
      </c>
      <c r="L439" s="3">
        <v>1</v>
      </c>
      <c r="M439" s="3">
        <v>2209.6509569999998</v>
      </c>
    </row>
    <row r="440" spans="1:13" ht="14.25" customHeight="1" x14ac:dyDescent="0.2">
      <c r="A440" s="3" t="s">
        <v>664</v>
      </c>
      <c r="B440" s="3" t="s">
        <v>24</v>
      </c>
      <c r="C440" s="3" t="s">
        <v>35</v>
      </c>
      <c r="D440" s="3" t="s">
        <v>16</v>
      </c>
      <c r="E440" s="3" t="s">
        <v>431</v>
      </c>
      <c r="F440" s="3" t="s">
        <v>38</v>
      </c>
      <c r="G440" s="3" t="s">
        <v>19</v>
      </c>
      <c r="H440" s="3">
        <v>11343</v>
      </c>
      <c r="I440" s="3">
        <v>3</v>
      </c>
      <c r="J440" s="3">
        <v>5900</v>
      </c>
      <c r="K440" s="3">
        <v>10175</v>
      </c>
      <c r="L440" s="3">
        <v>1</v>
      </c>
      <c r="M440" s="3">
        <v>2178.1537750000002</v>
      </c>
    </row>
    <row r="441" spans="1:13" ht="14.25" customHeight="1" x14ac:dyDescent="0.2">
      <c r="A441" s="3" t="s">
        <v>665</v>
      </c>
      <c r="B441" s="3" t="s">
        <v>14</v>
      </c>
      <c r="C441" s="3" t="s">
        <v>15</v>
      </c>
      <c r="D441" s="3" t="s">
        <v>86</v>
      </c>
      <c r="E441" s="3" t="s">
        <v>659</v>
      </c>
      <c r="F441" s="3" t="s">
        <v>38</v>
      </c>
      <c r="G441" s="3" t="s">
        <v>19</v>
      </c>
      <c r="H441" s="3">
        <v>12451</v>
      </c>
      <c r="I441" s="3">
        <v>3</v>
      </c>
      <c r="J441" s="3">
        <v>2987</v>
      </c>
      <c r="K441" s="3">
        <v>11295</v>
      </c>
      <c r="L441" s="3">
        <v>1</v>
      </c>
      <c r="M441" s="3">
        <v>2127.323828</v>
      </c>
    </row>
    <row r="442" spans="1:13" ht="14.25" customHeight="1" x14ac:dyDescent="0.2">
      <c r="A442" s="3" t="s">
        <v>666</v>
      </c>
      <c r="B442" s="3" t="s">
        <v>24</v>
      </c>
      <c r="C442" s="3" t="s">
        <v>15</v>
      </c>
      <c r="D442" s="3" t="s">
        <v>45</v>
      </c>
      <c r="E442" s="3" t="s">
        <v>119</v>
      </c>
      <c r="F442" s="3" t="s">
        <v>27</v>
      </c>
      <c r="G442" s="3" t="s">
        <v>114</v>
      </c>
      <c r="H442" s="3">
        <v>64892</v>
      </c>
      <c r="I442" s="3">
        <v>3</v>
      </c>
      <c r="J442" s="3">
        <v>34731</v>
      </c>
      <c r="K442" s="3">
        <v>59369</v>
      </c>
      <c r="L442" s="3">
        <v>24</v>
      </c>
      <c r="M442" s="3">
        <v>2096.2855490000002</v>
      </c>
    </row>
    <row r="443" spans="1:13" ht="14.25" customHeight="1" x14ac:dyDescent="0.2">
      <c r="A443" s="3" t="s">
        <v>667</v>
      </c>
      <c r="B443" s="3" t="s">
        <v>14</v>
      </c>
      <c r="C443" s="3" t="s">
        <v>35</v>
      </c>
      <c r="D443" s="3" t="s">
        <v>25</v>
      </c>
      <c r="E443" s="3" t="s">
        <v>72</v>
      </c>
      <c r="F443" s="3" t="s">
        <v>27</v>
      </c>
      <c r="G443" s="3" t="s">
        <v>19</v>
      </c>
      <c r="H443" s="3">
        <v>102884</v>
      </c>
      <c r="I443" s="3">
        <v>3</v>
      </c>
      <c r="J443" s="3">
        <v>42841</v>
      </c>
      <c r="K443" s="3">
        <v>96539</v>
      </c>
      <c r="L443" s="3">
        <v>6</v>
      </c>
      <c r="M443" s="3">
        <v>2015.4483310000001</v>
      </c>
    </row>
    <row r="444" spans="1:13" ht="14.25" customHeight="1" x14ac:dyDescent="0.2">
      <c r="A444" s="3" t="s">
        <v>668</v>
      </c>
      <c r="B444" s="3" t="s">
        <v>14</v>
      </c>
      <c r="C444" s="3" t="s">
        <v>29</v>
      </c>
      <c r="D444" s="3" t="s">
        <v>78</v>
      </c>
      <c r="E444" s="3" t="s">
        <v>250</v>
      </c>
      <c r="F444" s="3" t="s">
        <v>22</v>
      </c>
      <c r="G444" s="3" t="s">
        <v>19</v>
      </c>
      <c r="H444" s="3">
        <v>43666</v>
      </c>
      <c r="I444" s="3">
        <v>3</v>
      </c>
      <c r="J444" s="3">
        <v>18513</v>
      </c>
      <c r="K444" s="3">
        <v>40506</v>
      </c>
      <c r="L444" s="3">
        <v>18</v>
      </c>
      <c r="M444" s="3">
        <v>1980.393834</v>
      </c>
    </row>
    <row r="445" spans="1:13" ht="14.25" customHeight="1" x14ac:dyDescent="0.2">
      <c r="A445" s="3" t="s">
        <v>669</v>
      </c>
      <c r="B445" s="3" t="s">
        <v>14</v>
      </c>
      <c r="C445" s="3" t="s">
        <v>35</v>
      </c>
      <c r="D445" s="3" t="s">
        <v>66</v>
      </c>
      <c r="E445" s="3" t="s">
        <v>670</v>
      </c>
      <c r="F445" s="3" t="s">
        <v>22</v>
      </c>
      <c r="G445" s="3" t="s">
        <v>19</v>
      </c>
      <c r="H445" s="3">
        <v>14379</v>
      </c>
      <c r="I445" s="3">
        <v>3</v>
      </c>
      <c r="J445" s="3">
        <v>6272</v>
      </c>
      <c r="K445" s="3">
        <v>11886</v>
      </c>
      <c r="L445" s="3">
        <v>18</v>
      </c>
      <c r="M445" s="3">
        <v>1973.5622330000001</v>
      </c>
    </row>
    <row r="446" spans="1:13" ht="14.25" customHeight="1" x14ac:dyDescent="0.2">
      <c r="A446" s="3" t="s">
        <v>671</v>
      </c>
      <c r="B446" s="3" t="s">
        <v>14</v>
      </c>
      <c r="C446" s="3" t="s">
        <v>15</v>
      </c>
      <c r="D446" s="3" t="s">
        <v>43</v>
      </c>
      <c r="E446" s="3" t="s">
        <v>672</v>
      </c>
      <c r="F446" s="3" t="s">
        <v>18</v>
      </c>
      <c r="G446" s="3" t="s">
        <v>19</v>
      </c>
      <c r="H446" s="3">
        <v>11561</v>
      </c>
      <c r="I446" s="3">
        <v>3</v>
      </c>
      <c r="J446" s="3">
        <v>4063</v>
      </c>
      <c r="K446" s="3">
        <v>9941</v>
      </c>
      <c r="L446" s="3">
        <v>2</v>
      </c>
      <c r="M446" s="3">
        <v>1911.931953</v>
      </c>
    </row>
    <row r="447" spans="1:13" ht="14.25" customHeight="1" x14ac:dyDescent="0.2">
      <c r="A447" s="3" t="s">
        <v>673</v>
      </c>
      <c r="B447" s="3" t="s">
        <v>14</v>
      </c>
      <c r="C447" s="3" t="s">
        <v>15</v>
      </c>
      <c r="D447" s="3" t="s">
        <v>25</v>
      </c>
      <c r="E447" s="3" t="s">
        <v>57</v>
      </c>
      <c r="F447" s="3" t="s">
        <v>18</v>
      </c>
      <c r="G447" s="3" t="s">
        <v>19</v>
      </c>
      <c r="H447" s="3">
        <v>37227</v>
      </c>
      <c r="I447" s="3">
        <v>3</v>
      </c>
      <c r="J447" s="3">
        <v>13542</v>
      </c>
      <c r="K447" s="3">
        <v>32456</v>
      </c>
      <c r="L447" s="3">
        <v>1</v>
      </c>
      <c r="M447" s="3">
        <v>1901.094691</v>
      </c>
    </row>
    <row r="448" spans="1:13" ht="14.25" customHeight="1" x14ac:dyDescent="0.2">
      <c r="A448" s="3" t="s">
        <v>674</v>
      </c>
      <c r="B448" s="3" t="s">
        <v>14</v>
      </c>
      <c r="C448" s="3" t="s">
        <v>32</v>
      </c>
      <c r="D448" s="3" t="s">
        <v>45</v>
      </c>
      <c r="E448" s="3" t="s">
        <v>396</v>
      </c>
      <c r="F448" s="3" t="s">
        <v>287</v>
      </c>
      <c r="G448" s="3" t="s">
        <v>19</v>
      </c>
      <c r="H448" s="3">
        <v>66554</v>
      </c>
      <c r="I448" s="3">
        <v>3</v>
      </c>
      <c r="J448" s="3">
        <v>39206</v>
      </c>
      <c r="K448" s="3">
        <v>62109</v>
      </c>
      <c r="L448" s="3">
        <v>6</v>
      </c>
      <c r="M448" s="3">
        <v>1890.885935</v>
      </c>
    </row>
    <row r="449" spans="1:13" ht="14.25" customHeight="1" x14ac:dyDescent="0.2">
      <c r="A449" s="3" t="s">
        <v>675</v>
      </c>
      <c r="B449" s="3" t="s">
        <v>24</v>
      </c>
      <c r="C449" s="3" t="s">
        <v>32</v>
      </c>
      <c r="D449" s="3" t="s">
        <v>16</v>
      </c>
      <c r="E449" s="3" t="s">
        <v>676</v>
      </c>
      <c r="F449" s="3" t="s">
        <v>27</v>
      </c>
      <c r="G449" s="3" t="s">
        <v>19</v>
      </c>
      <c r="H449" s="3">
        <v>10942</v>
      </c>
      <c r="I449" s="3">
        <v>3</v>
      </c>
      <c r="J449" s="3">
        <v>4578</v>
      </c>
      <c r="K449" s="3">
        <v>9155</v>
      </c>
      <c r="L449" s="3">
        <v>1</v>
      </c>
      <c r="M449" s="3">
        <v>1595.752624</v>
      </c>
    </row>
    <row r="450" spans="1:13" ht="14.25" customHeight="1" x14ac:dyDescent="0.2">
      <c r="A450" s="3" t="s">
        <v>677</v>
      </c>
      <c r="B450" s="3" t="s">
        <v>14</v>
      </c>
      <c r="C450" s="3" t="s">
        <v>15</v>
      </c>
      <c r="D450" s="3" t="s">
        <v>16</v>
      </c>
      <c r="E450" s="3" t="s">
        <v>250</v>
      </c>
      <c r="F450" s="3" t="s">
        <v>22</v>
      </c>
      <c r="G450" s="3" t="s">
        <v>19</v>
      </c>
      <c r="H450" s="3">
        <v>15318</v>
      </c>
      <c r="I450" s="3">
        <v>3</v>
      </c>
      <c r="J450" s="3">
        <v>5928</v>
      </c>
      <c r="K450" s="3">
        <v>13298</v>
      </c>
      <c r="L450" s="3">
        <v>19</v>
      </c>
      <c r="M450" s="3">
        <v>1570.29739</v>
      </c>
    </row>
    <row r="451" spans="1:13" ht="14.25" customHeight="1" x14ac:dyDescent="0.2">
      <c r="A451" s="3" t="s">
        <v>678</v>
      </c>
      <c r="B451" s="3" t="s">
        <v>24</v>
      </c>
      <c r="C451" s="3" t="s">
        <v>32</v>
      </c>
      <c r="D451" s="3" t="s">
        <v>84</v>
      </c>
      <c r="E451" s="3" t="s">
        <v>57</v>
      </c>
      <c r="F451" s="3" t="s">
        <v>22</v>
      </c>
      <c r="G451" s="3" t="s">
        <v>114</v>
      </c>
      <c r="H451" s="3">
        <v>59296</v>
      </c>
      <c r="I451" s="3">
        <v>3</v>
      </c>
      <c r="J451" s="3">
        <v>25482</v>
      </c>
      <c r="K451" s="3">
        <v>54149</v>
      </c>
      <c r="L451" s="3">
        <v>2</v>
      </c>
      <c r="M451" s="3">
        <v>1568.7152590000001</v>
      </c>
    </row>
    <row r="452" spans="1:13" ht="14.25" customHeight="1" x14ac:dyDescent="0.2">
      <c r="A452" s="3" t="s">
        <v>679</v>
      </c>
      <c r="B452" s="3" t="s">
        <v>24</v>
      </c>
      <c r="C452" s="3" t="s">
        <v>35</v>
      </c>
      <c r="D452" s="3" t="s">
        <v>205</v>
      </c>
      <c r="E452" s="3" t="s">
        <v>57</v>
      </c>
      <c r="F452" s="3" t="s">
        <v>22</v>
      </c>
      <c r="G452" s="3" t="s">
        <v>19</v>
      </c>
      <c r="H452" s="3">
        <v>85965</v>
      </c>
      <c r="I452" s="3">
        <v>3</v>
      </c>
      <c r="J452" s="3">
        <v>33865</v>
      </c>
      <c r="K452" s="3">
        <v>78662</v>
      </c>
      <c r="L452" s="3">
        <v>3</v>
      </c>
      <c r="M452" s="3">
        <v>1555.5348120000001</v>
      </c>
    </row>
    <row r="453" spans="1:13" ht="14.25" customHeight="1" x14ac:dyDescent="0.2">
      <c r="A453" s="3" t="s">
        <v>680</v>
      </c>
      <c r="B453" s="3" t="s">
        <v>24</v>
      </c>
      <c r="C453" s="3" t="s">
        <v>32</v>
      </c>
      <c r="D453" s="3" t="s">
        <v>205</v>
      </c>
      <c r="E453" s="3" t="s">
        <v>681</v>
      </c>
      <c r="F453" s="3" t="s">
        <v>22</v>
      </c>
      <c r="G453" s="3" t="s">
        <v>163</v>
      </c>
      <c r="H453" s="3">
        <v>17228</v>
      </c>
      <c r="I453" s="3">
        <v>3</v>
      </c>
      <c r="J453" s="3">
        <v>11116</v>
      </c>
      <c r="K453" s="3">
        <v>16044</v>
      </c>
      <c r="L453" s="3">
        <v>1</v>
      </c>
      <c r="M453" s="3">
        <v>1547.513459</v>
      </c>
    </row>
    <row r="454" spans="1:13" ht="14.25" customHeight="1" x14ac:dyDescent="0.2">
      <c r="A454" s="3" t="s">
        <v>682</v>
      </c>
      <c r="B454" s="3" t="s">
        <v>24</v>
      </c>
      <c r="C454" s="3" t="s">
        <v>15</v>
      </c>
      <c r="D454" s="3" t="s">
        <v>45</v>
      </c>
      <c r="E454" s="3" t="s">
        <v>48</v>
      </c>
      <c r="F454" s="3" t="s">
        <v>64</v>
      </c>
      <c r="G454" s="3" t="s">
        <v>19</v>
      </c>
      <c r="H454" s="3">
        <v>19464</v>
      </c>
      <c r="I454" s="3">
        <v>3</v>
      </c>
      <c r="J454" s="3">
        <v>11814</v>
      </c>
      <c r="K454" s="3">
        <v>17040</v>
      </c>
      <c r="L454" s="3">
        <v>9</v>
      </c>
      <c r="M454" s="3">
        <v>1540.4693500000001</v>
      </c>
    </row>
    <row r="455" spans="1:13" ht="14.25" customHeight="1" x14ac:dyDescent="0.2">
      <c r="A455" s="3" t="s">
        <v>683</v>
      </c>
      <c r="B455" s="3" t="s">
        <v>14</v>
      </c>
      <c r="C455" s="3" t="s">
        <v>32</v>
      </c>
      <c r="D455" s="3" t="s">
        <v>16</v>
      </c>
      <c r="E455" s="3" t="s">
        <v>684</v>
      </c>
      <c r="F455" s="3" t="s">
        <v>76</v>
      </c>
      <c r="G455" s="3" t="s">
        <v>19</v>
      </c>
      <c r="H455" s="3">
        <v>6755</v>
      </c>
      <c r="I455" s="3">
        <v>3</v>
      </c>
      <c r="J455" s="3">
        <v>4653</v>
      </c>
      <c r="K455" s="3">
        <v>6354</v>
      </c>
      <c r="L455" s="3">
        <v>2</v>
      </c>
      <c r="M455" s="3">
        <v>1527.802445</v>
      </c>
    </row>
    <row r="456" spans="1:13" ht="14.25" customHeight="1" x14ac:dyDescent="0.2">
      <c r="A456" s="3" t="s">
        <v>685</v>
      </c>
      <c r="B456" s="3" t="s">
        <v>14</v>
      </c>
      <c r="C456" s="3" t="s">
        <v>15</v>
      </c>
      <c r="D456" s="3" t="s">
        <v>43</v>
      </c>
      <c r="E456" s="3" t="s">
        <v>48</v>
      </c>
      <c r="F456" s="3" t="s">
        <v>41</v>
      </c>
      <c r="G456" s="3" t="s">
        <v>19</v>
      </c>
      <c r="H456" s="3">
        <v>50838</v>
      </c>
      <c r="I456" s="3">
        <v>3</v>
      </c>
      <c r="J456" s="3">
        <v>23274</v>
      </c>
      <c r="K456" s="3">
        <v>35934</v>
      </c>
      <c r="L456" s="3">
        <v>11</v>
      </c>
      <c r="M456" s="3">
        <v>1521.372273</v>
      </c>
    </row>
    <row r="457" spans="1:13" ht="14.25" customHeight="1" x14ac:dyDescent="0.2">
      <c r="A457" s="3" t="s">
        <v>686</v>
      </c>
      <c r="B457" s="3" t="s">
        <v>24</v>
      </c>
      <c r="C457" s="3" t="s">
        <v>35</v>
      </c>
      <c r="D457" s="3" t="s">
        <v>70</v>
      </c>
      <c r="E457" s="3" t="s">
        <v>687</v>
      </c>
      <c r="F457" s="3" t="s">
        <v>58</v>
      </c>
      <c r="G457" s="3" t="s">
        <v>114</v>
      </c>
      <c r="H457" s="3">
        <v>37076</v>
      </c>
      <c r="I457" s="3">
        <v>3</v>
      </c>
      <c r="J457" s="3">
        <v>9246</v>
      </c>
      <c r="K457" s="3">
        <v>22565</v>
      </c>
      <c r="L457" s="3">
        <v>1</v>
      </c>
      <c r="M457" s="3">
        <v>1487.9960779999999</v>
      </c>
    </row>
    <row r="458" spans="1:13" ht="14.25" customHeight="1" x14ac:dyDescent="0.2">
      <c r="A458" s="3" t="s">
        <v>688</v>
      </c>
      <c r="B458" s="3" t="s">
        <v>68</v>
      </c>
      <c r="C458" s="3" t="s">
        <v>35</v>
      </c>
      <c r="D458" s="3" t="s">
        <v>205</v>
      </c>
      <c r="E458" s="3" t="s">
        <v>689</v>
      </c>
      <c r="F458" s="3" t="s">
        <v>41</v>
      </c>
      <c r="G458" s="3" t="s">
        <v>19</v>
      </c>
      <c r="H458" s="3">
        <v>8862</v>
      </c>
      <c r="I458" s="3">
        <v>3</v>
      </c>
      <c r="J458" s="3">
        <v>1359</v>
      </c>
      <c r="K458" s="3">
        <v>7114</v>
      </c>
      <c r="L458" s="3">
        <v>1</v>
      </c>
      <c r="M458" s="3">
        <v>1481.9451570000001</v>
      </c>
    </row>
    <row r="459" spans="1:13" ht="14.25" customHeight="1" x14ac:dyDescent="0.2">
      <c r="A459" s="3" t="s">
        <v>690</v>
      </c>
      <c r="B459" s="3" t="s">
        <v>24</v>
      </c>
      <c r="C459" s="3" t="s">
        <v>29</v>
      </c>
      <c r="D459" s="3" t="s">
        <v>25</v>
      </c>
      <c r="E459" s="3" t="s">
        <v>691</v>
      </c>
      <c r="F459" s="3" t="s">
        <v>64</v>
      </c>
      <c r="G459" s="3" t="s">
        <v>114</v>
      </c>
      <c r="H459" s="3">
        <v>3610</v>
      </c>
      <c r="I459" s="3">
        <v>3</v>
      </c>
      <c r="J459" s="3">
        <v>1551</v>
      </c>
      <c r="K459" s="3">
        <v>3517</v>
      </c>
      <c r="L459" s="3">
        <v>6</v>
      </c>
      <c r="M459" s="3">
        <v>1473.7549429999999</v>
      </c>
    </row>
    <row r="460" spans="1:13" ht="14.25" customHeight="1" x14ac:dyDescent="0.2">
      <c r="A460" s="3" t="s">
        <v>692</v>
      </c>
      <c r="B460" s="3" t="s">
        <v>24</v>
      </c>
      <c r="C460" s="3" t="s">
        <v>29</v>
      </c>
      <c r="D460" s="3" t="s">
        <v>70</v>
      </c>
      <c r="E460" s="3" t="s">
        <v>48</v>
      </c>
      <c r="F460" s="3" t="s">
        <v>27</v>
      </c>
      <c r="G460" s="3" t="s">
        <v>114</v>
      </c>
      <c r="H460" s="3">
        <v>32436</v>
      </c>
      <c r="I460" s="3">
        <v>3</v>
      </c>
      <c r="J460" s="3">
        <v>17531</v>
      </c>
      <c r="K460" s="3">
        <v>28429</v>
      </c>
      <c r="L460" s="3">
        <v>6</v>
      </c>
      <c r="M460" s="3">
        <v>1470.670167</v>
      </c>
    </row>
    <row r="461" spans="1:13" ht="14.25" customHeight="1" x14ac:dyDescent="0.2">
      <c r="A461" s="3" t="s">
        <v>693</v>
      </c>
      <c r="B461" s="3" t="s">
        <v>24</v>
      </c>
      <c r="C461" s="3" t="s">
        <v>29</v>
      </c>
      <c r="D461" s="3" t="s">
        <v>70</v>
      </c>
      <c r="E461" s="3" t="s">
        <v>694</v>
      </c>
      <c r="F461" s="3" t="s">
        <v>27</v>
      </c>
      <c r="G461" s="3" t="s">
        <v>19</v>
      </c>
      <c r="H461" s="3">
        <v>13464</v>
      </c>
      <c r="I461" s="3">
        <v>3</v>
      </c>
      <c r="J461" s="3">
        <v>1698</v>
      </c>
      <c r="K461" s="3">
        <v>11234</v>
      </c>
      <c r="L461" s="3">
        <v>1</v>
      </c>
      <c r="M461" s="3">
        <v>1466.285104</v>
      </c>
    </row>
    <row r="462" spans="1:13" ht="14.25" customHeight="1" x14ac:dyDescent="0.2">
      <c r="A462" s="3" t="s">
        <v>695</v>
      </c>
      <c r="B462" s="3" t="s">
        <v>14</v>
      </c>
      <c r="C462" s="3" t="s">
        <v>35</v>
      </c>
      <c r="D462" s="3" t="s">
        <v>91</v>
      </c>
      <c r="E462" s="3" t="s">
        <v>696</v>
      </c>
      <c r="F462" s="3" t="s">
        <v>27</v>
      </c>
      <c r="G462" s="3" t="s">
        <v>19</v>
      </c>
      <c r="H462" s="3">
        <v>12161</v>
      </c>
      <c r="I462" s="3">
        <v>2</v>
      </c>
      <c r="J462" s="3">
        <v>6284</v>
      </c>
      <c r="K462" s="3">
        <v>10919</v>
      </c>
      <c r="L462" s="3">
        <v>1</v>
      </c>
      <c r="M462" s="3">
        <v>7273.2659880000001</v>
      </c>
    </row>
    <row r="463" spans="1:13" ht="14.25" customHeight="1" x14ac:dyDescent="0.2">
      <c r="A463" s="3" t="s">
        <v>697</v>
      </c>
      <c r="B463" s="3" t="s">
        <v>24</v>
      </c>
      <c r="C463" s="3" t="s">
        <v>32</v>
      </c>
      <c r="D463" s="3" t="s">
        <v>25</v>
      </c>
      <c r="E463" s="3" t="s">
        <v>191</v>
      </c>
      <c r="F463" s="3" t="s">
        <v>27</v>
      </c>
      <c r="G463" s="3" t="s">
        <v>114</v>
      </c>
      <c r="H463" s="3">
        <v>27394</v>
      </c>
      <c r="I463" s="3">
        <v>2</v>
      </c>
      <c r="J463" s="3">
        <v>16144</v>
      </c>
      <c r="K463" s="3">
        <v>24752</v>
      </c>
      <c r="L463" s="3">
        <v>78</v>
      </c>
      <c r="M463" s="3">
        <v>7264.5876099999996</v>
      </c>
    </row>
    <row r="464" spans="1:13" ht="14.25" customHeight="1" x14ac:dyDescent="0.2">
      <c r="A464" s="3" t="s">
        <v>698</v>
      </c>
      <c r="B464" s="3" t="s">
        <v>24</v>
      </c>
      <c r="C464" s="3" t="s">
        <v>32</v>
      </c>
      <c r="D464" s="3" t="s">
        <v>43</v>
      </c>
      <c r="E464" s="3" t="s">
        <v>699</v>
      </c>
      <c r="F464" s="3" t="s">
        <v>27</v>
      </c>
      <c r="G464" s="3" t="s">
        <v>19</v>
      </c>
      <c r="H464" s="3">
        <v>11476</v>
      </c>
      <c r="I464" s="3">
        <v>2</v>
      </c>
      <c r="J464" s="3">
        <v>4963</v>
      </c>
      <c r="K464" s="3">
        <v>10991</v>
      </c>
      <c r="L464" s="3">
        <v>1</v>
      </c>
      <c r="M464" s="3">
        <v>7227.4173490000003</v>
      </c>
    </row>
    <row r="465" spans="1:13" ht="14.25" customHeight="1" x14ac:dyDescent="0.2">
      <c r="A465" s="3" t="s">
        <v>700</v>
      </c>
      <c r="B465" s="3" t="s">
        <v>14</v>
      </c>
      <c r="C465" s="3" t="s">
        <v>29</v>
      </c>
      <c r="D465" s="3" t="s">
        <v>45</v>
      </c>
      <c r="E465" s="3" t="s">
        <v>191</v>
      </c>
      <c r="F465" s="3" t="s">
        <v>27</v>
      </c>
      <c r="G465" s="3" t="s">
        <v>19</v>
      </c>
      <c r="H465" s="3">
        <v>22690</v>
      </c>
      <c r="I465" s="3">
        <v>2</v>
      </c>
      <c r="J465" s="3">
        <v>10212</v>
      </c>
      <c r="K465" s="3">
        <v>19934</v>
      </c>
      <c r="L465" s="3">
        <v>11</v>
      </c>
      <c r="M465" s="3">
        <v>7210.686506</v>
      </c>
    </row>
    <row r="466" spans="1:13" ht="14.25" customHeight="1" x14ac:dyDescent="0.2">
      <c r="A466" s="3" t="s">
        <v>701</v>
      </c>
      <c r="B466" s="3" t="s">
        <v>14</v>
      </c>
      <c r="C466" s="3" t="s">
        <v>32</v>
      </c>
      <c r="D466" s="3" t="s">
        <v>86</v>
      </c>
      <c r="E466" s="3" t="s">
        <v>702</v>
      </c>
      <c r="F466" s="3" t="s">
        <v>76</v>
      </c>
      <c r="G466" s="3" t="s">
        <v>19</v>
      </c>
      <c r="H466" s="3">
        <v>18136</v>
      </c>
      <c r="I466" s="3">
        <v>2</v>
      </c>
      <c r="J466" s="3">
        <v>10842</v>
      </c>
      <c r="K466" s="3">
        <v>14953</v>
      </c>
      <c r="L466" s="3">
        <v>5</v>
      </c>
      <c r="M466" s="3">
        <v>6860.3595969999997</v>
      </c>
    </row>
    <row r="467" spans="1:13" ht="14.25" customHeight="1" x14ac:dyDescent="0.2">
      <c r="A467" s="3" t="s">
        <v>703</v>
      </c>
      <c r="B467" s="3" t="s">
        <v>14</v>
      </c>
      <c r="C467" s="3" t="s">
        <v>32</v>
      </c>
      <c r="D467" s="3" t="s">
        <v>21</v>
      </c>
      <c r="E467" s="3" t="s">
        <v>704</v>
      </c>
      <c r="F467" s="3" t="s">
        <v>27</v>
      </c>
      <c r="G467" s="3" t="s">
        <v>19</v>
      </c>
      <c r="H467" s="3">
        <v>26820</v>
      </c>
      <c r="I467" s="3">
        <v>2</v>
      </c>
      <c r="J467" s="3">
        <v>13553</v>
      </c>
      <c r="K467" s="3">
        <v>21192</v>
      </c>
      <c r="L467" s="3">
        <v>2</v>
      </c>
      <c r="M467" s="3">
        <v>6745.1034399999999</v>
      </c>
    </row>
    <row r="468" spans="1:13" ht="14.25" customHeight="1" x14ac:dyDescent="0.2">
      <c r="A468" s="3" t="s">
        <v>705</v>
      </c>
      <c r="B468" s="3" t="s">
        <v>14</v>
      </c>
      <c r="C468" s="3" t="s">
        <v>15</v>
      </c>
      <c r="D468" s="3" t="s">
        <v>228</v>
      </c>
      <c r="E468" s="3" t="s">
        <v>706</v>
      </c>
      <c r="F468" s="3" t="s">
        <v>22</v>
      </c>
      <c r="G468" s="3" t="s">
        <v>19</v>
      </c>
      <c r="H468" s="3">
        <v>26784</v>
      </c>
      <c r="I468" s="3">
        <v>2</v>
      </c>
      <c r="J468" s="3">
        <v>12708</v>
      </c>
      <c r="K468" s="3">
        <v>22261</v>
      </c>
      <c r="L468" s="3">
        <v>2</v>
      </c>
      <c r="M468" s="3">
        <v>6643.1616469999999</v>
      </c>
    </row>
    <row r="469" spans="1:13" ht="14.25" customHeight="1" x14ac:dyDescent="0.2">
      <c r="A469" s="3" t="s">
        <v>707</v>
      </c>
      <c r="B469" s="3" t="s">
        <v>24</v>
      </c>
      <c r="C469" s="3" t="s">
        <v>15</v>
      </c>
      <c r="D469" s="3" t="s">
        <v>70</v>
      </c>
      <c r="E469" s="3" t="s">
        <v>111</v>
      </c>
      <c r="F469" s="3" t="s">
        <v>27</v>
      </c>
      <c r="G469" s="3" t="s">
        <v>19</v>
      </c>
      <c r="H469" s="3">
        <v>7862</v>
      </c>
      <c r="I469" s="3">
        <v>2</v>
      </c>
      <c r="J469" s="3">
        <v>2152</v>
      </c>
      <c r="K469" s="3">
        <v>6039</v>
      </c>
      <c r="L469" s="3">
        <v>1</v>
      </c>
      <c r="M469" s="3">
        <v>6506.4336869999997</v>
      </c>
    </row>
    <row r="470" spans="1:13" ht="14.25" customHeight="1" x14ac:dyDescent="0.2">
      <c r="A470" s="3" t="s">
        <v>708</v>
      </c>
      <c r="B470" s="3" t="s">
        <v>68</v>
      </c>
      <c r="C470" s="3" t="s">
        <v>15</v>
      </c>
      <c r="D470" s="3" t="s">
        <v>16</v>
      </c>
      <c r="E470" s="3" t="s">
        <v>269</v>
      </c>
      <c r="F470" s="3" t="s">
        <v>41</v>
      </c>
      <c r="G470" s="3" t="s">
        <v>19</v>
      </c>
      <c r="H470" s="3">
        <v>11789</v>
      </c>
      <c r="I470" s="3">
        <v>2</v>
      </c>
      <c r="J470" s="3">
        <v>6187</v>
      </c>
      <c r="K470" s="3">
        <v>10028</v>
      </c>
      <c r="L470" s="3">
        <v>1</v>
      </c>
      <c r="M470" s="3">
        <v>6505.5264559999996</v>
      </c>
    </row>
    <row r="471" spans="1:13" ht="14.25" customHeight="1" x14ac:dyDescent="0.2">
      <c r="A471" s="3" t="s">
        <v>709</v>
      </c>
      <c r="B471" s="3" t="s">
        <v>14</v>
      </c>
      <c r="C471" s="3" t="s">
        <v>35</v>
      </c>
      <c r="D471" s="3" t="s">
        <v>84</v>
      </c>
      <c r="E471" s="3" t="s">
        <v>40</v>
      </c>
      <c r="F471" s="3" t="s">
        <v>27</v>
      </c>
      <c r="G471" s="3" t="s">
        <v>19</v>
      </c>
      <c r="H471" s="3">
        <v>26270</v>
      </c>
      <c r="I471" s="3">
        <v>2</v>
      </c>
      <c r="J471" s="3">
        <v>12813</v>
      </c>
      <c r="K471" s="3">
        <v>21893</v>
      </c>
      <c r="L471" s="3">
        <v>10</v>
      </c>
      <c r="M471" s="3">
        <v>6417.2645640000001</v>
      </c>
    </row>
    <row r="472" spans="1:13" ht="14.25" customHeight="1" x14ac:dyDescent="0.2">
      <c r="A472" s="3" t="s">
        <v>710</v>
      </c>
      <c r="B472" s="3" t="s">
        <v>14</v>
      </c>
      <c r="C472" s="3" t="s">
        <v>15</v>
      </c>
      <c r="D472" s="3" t="s">
        <v>364</v>
      </c>
      <c r="E472" s="3" t="s">
        <v>711</v>
      </c>
      <c r="F472" s="3" t="s">
        <v>27</v>
      </c>
      <c r="G472" s="3" t="s">
        <v>19</v>
      </c>
      <c r="H472" s="3">
        <v>2489</v>
      </c>
      <c r="I472" s="3">
        <v>2</v>
      </c>
      <c r="J472" s="3">
        <v>1556</v>
      </c>
      <c r="K472" s="3">
        <v>2453</v>
      </c>
      <c r="L472" s="3">
        <v>2</v>
      </c>
      <c r="M472" s="3">
        <v>6354.0547740000002</v>
      </c>
    </row>
    <row r="473" spans="1:13" ht="14.25" customHeight="1" x14ac:dyDescent="0.2">
      <c r="A473" s="3" t="s">
        <v>712</v>
      </c>
      <c r="B473" s="3" t="s">
        <v>68</v>
      </c>
      <c r="C473" s="3" t="s">
        <v>29</v>
      </c>
      <c r="D473" s="3" t="s">
        <v>45</v>
      </c>
      <c r="E473" s="3" t="s">
        <v>520</v>
      </c>
      <c r="F473" s="3" t="s">
        <v>27</v>
      </c>
      <c r="G473" s="3" t="s">
        <v>19</v>
      </c>
      <c r="H473" s="3">
        <v>14137</v>
      </c>
      <c r="I473" s="3">
        <v>2</v>
      </c>
      <c r="J473" s="3">
        <v>9300</v>
      </c>
      <c r="K473" s="3">
        <v>13110</v>
      </c>
      <c r="L473" s="3">
        <v>8</v>
      </c>
      <c r="M473" s="3">
        <v>6345.4603379999999</v>
      </c>
    </row>
    <row r="474" spans="1:13" ht="14.25" customHeight="1" x14ac:dyDescent="0.2">
      <c r="A474" s="3" t="s">
        <v>713</v>
      </c>
      <c r="B474" s="3" t="s">
        <v>24</v>
      </c>
      <c r="C474" s="3" t="s">
        <v>29</v>
      </c>
      <c r="D474" s="3" t="s">
        <v>66</v>
      </c>
      <c r="E474" s="3" t="s">
        <v>341</v>
      </c>
      <c r="F474" s="3" t="s">
        <v>27</v>
      </c>
      <c r="G474" s="3" t="s">
        <v>19</v>
      </c>
      <c r="H474" s="3">
        <v>8097</v>
      </c>
      <c r="I474" s="3">
        <v>2</v>
      </c>
      <c r="J474" s="3">
        <v>4942</v>
      </c>
      <c r="K474" s="3">
        <v>6868</v>
      </c>
      <c r="L474" s="3">
        <v>1</v>
      </c>
      <c r="M474" s="3">
        <v>6177.4645449999998</v>
      </c>
    </row>
    <row r="475" spans="1:13" ht="14.25" customHeight="1" x14ac:dyDescent="0.2">
      <c r="A475" s="3" t="s">
        <v>714</v>
      </c>
      <c r="B475" s="3" t="s">
        <v>14</v>
      </c>
      <c r="C475" s="3" t="s">
        <v>15</v>
      </c>
      <c r="D475" s="3" t="s">
        <v>16</v>
      </c>
      <c r="E475" s="3" t="s">
        <v>715</v>
      </c>
      <c r="F475" s="3" t="s">
        <v>27</v>
      </c>
      <c r="G475" s="3" t="s">
        <v>19</v>
      </c>
      <c r="H475" s="3">
        <v>7806</v>
      </c>
      <c r="I475" s="3">
        <v>2</v>
      </c>
      <c r="J475" s="3">
        <v>3150</v>
      </c>
      <c r="K475" s="3">
        <v>7247</v>
      </c>
      <c r="L475" s="3">
        <v>1</v>
      </c>
      <c r="M475" s="3">
        <v>6162.3208329999998</v>
      </c>
    </row>
    <row r="476" spans="1:13" ht="14.25" customHeight="1" x14ac:dyDescent="0.2">
      <c r="A476" s="3" t="s">
        <v>716</v>
      </c>
      <c r="B476" s="3" t="s">
        <v>24</v>
      </c>
      <c r="C476" s="3" t="s">
        <v>15</v>
      </c>
      <c r="D476" s="3" t="s">
        <v>43</v>
      </c>
      <c r="E476" s="3" t="s">
        <v>717</v>
      </c>
      <c r="F476" s="3" t="s">
        <v>27</v>
      </c>
      <c r="G476" s="3" t="s">
        <v>163</v>
      </c>
      <c r="H476" s="3">
        <v>10524</v>
      </c>
      <c r="I476" s="3">
        <v>2</v>
      </c>
      <c r="J476" s="3">
        <v>7601</v>
      </c>
      <c r="K476" s="3">
        <v>10242</v>
      </c>
      <c r="L476" s="3">
        <v>15</v>
      </c>
      <c r="M476" s="3">
        <v>6136.1339019999996</v>
      </c>
    </row>
    <row r="477" spans="1:13" ht="14.25" customHeight="1" x14ac:dyDescent="0.2">
      <c r="A477" s="3" t="s">
        <v>718</v>
      </c>
      <c r="B477" s="3" t="s">
        <v>14</v>
      </c>
      <c r="C477" s="3" t="s">
        <v>29</v>
      </c>
      <c r="D477" s="3" t="s">
        <v>60</v>
      </c>
      <c r="E477" s="3" t="s">
        <v>329</v>
      </c>
      <c r="F477" s="3" t="s">
        <v>27</v>
      </c>
      <c r="G477" s="3" t="s">
        <v>19</v>
      </c>
      <c r="H477" s="3">
        <v>29251</v>
      </c>
      <c r="I477" s="3">
        <v>2</v>
      </c>
      <c r="J477" s="3">
        <v>25060</v>
      </c>
      <c r="K477" s="3">
        <v>28038</v>
      </c>
      <c r="L477" s="3">
        <v>5</v>
      </c>
      <c r="M477" s="3">
        <v>5994.7468339999996</v>
      </c>
    </row>
    <row r="478" spans="1:13" ht="14.25" customHeight="1" x14ac:dyDescent="0.2">
      <c r="A478" s="3" t="s">
        <v>719</v>
      </c>
      <c r="B478" s="3" t="s">
        <v>14</v>
      </c>
      <c r="C478" s="3" t="s">
        <v>32</v>
      </c>
      <c r="D478" s="3" t="s">
        <v>343</v>
      </c>
      <c r="E478" s="3" t="s">
        <v>159</v>
      </c>
      <c r="F478" s="3" t="s">
        <v>22</v>
      </c>
      <c r="G478" s="3" t="s">
        <v>19</v>
      </c>
      <c r="H478" s="3">
        <v>8204</v>
      </c>
      <c r="I478" s="3">
        <v>2</v>
      </c>
      <c r="J478" s="3">
        <v>1348</v>
      </c>
      <c r="K478" s="3">
        <v>7832</v>
      </c>
      <c r="L478" s="3">
        <v>1</v>
      </c>
      <c r="M478" s="3">
        <v>5973.3798919999999</v>
      </c>
    </row>
    <row r="479" spans="1:13" ht="14.25" customHeight="1" x14ac:dyDescent="0.2">
      <c r="A479" s="3" t="s">
        <v>720</v>
      </c>
      <c r="B479" s="3" t="s">
        <v>24</v>
      </c>
      <c r="C479" s="3" t="s">
        <v>29</v>
      </c>
      <c r="D479" s="3" t="s">
        <v>21</v>
      </c>
      <c r="E479" s="3" t="s">
        <v>554</v>
      </c>
      <c r="F479" s="3" t="s">
        <v>22</v>
      </c>
      <c r="G479" s="3" t="s">
        <v>19</v>
      </c>
      <c r="H479" s="3">
        <v>43057</v>
      </c>
      <c r="I479" s="3">
        <v>2</v>
      </c>
      <c r="J479" s="3">
        <v>23767</v>
      </c>
      <c r="K479" s="3">
        <v>41484</v>
      </c>
      <c r="L479" s="3">
        <v>4</v>
      </c>
      <c r="M479" s="3">
        <v>5884.9313940000002</v>
      </c>
    </row>
    <row r="480" spans="1:13" ht="14.25" customHeight="1" x14ac:dyDescent="0.2">
      <c r="A480" s="3" t="s">
        <v>721</v>
      </c>
      <c r="B480" s="3" t="s">
        <v>24</v>
      </c>
      <c r="C480" s="3" t="s">
        <v>35</v>
      </c>
      <c r="D480" s="3" t="s">
        <v>70</v>
      </c>
      <c r="E480" s="3" t="s">
        <v>191</v>
      </c>
      <c r="F480" s="3" t="s">
        <v>27</v>
      </c>
      <c r="G480" s="3" t="s">
        <v>114</v>
      </c>
      <c r="H480" s="3">
        <v>127090</v>
      </c>
      <c r="I480" s="3">
        <v>2</v>
      </c>
      <c r="J480" s="3">
        <v>30178</v>
      </c>
      <c r="K480" s="3">
        <v>113438</v>
      </c>
      <c r="L480" s="3">
        <v>24</v>
      </c>
      <c r="M480" s="3">
        <v>5808.9112539999996</v>
      </c>
    </row>
    <row r="481" spans="1:13" ht="14.25" customHeight="1" x14ac:dyDescent="0.2">
      <c r="A481" s="3" t="s">
        <v>722</v>
      </c>
      <c r="B481" s="3" t="s">
        <v>24</v>
      </c>
      <c r="C481" s="3" t="s">
        <v>15</v>
      </c>
      <c r="D481" s="3" t="s">
        <v>343</v>
      </c>
      <c r="E481" s="3" t="s">
        <v>347</v>
      </c>
      <c r="F481" s="3" t="s">
        <v>27</v>
      </c>
      <c r="G481" s="3" t="s">
        <v>163</v>
      </c>
      <c r="H481" s="3">
        <v>21599</v>
      </c>
      <c r="I481" s="3">
        <v>2</v>
      </c>
      <c r="J481" s="3">
        <v>13600</v>
      </c>
      <c r="K481" s="3">
        <v>20256</v>
      </c>
      <c r="L481" s="3">
        <v>2</v>
      </c>
      <c r="M481" s="3">
        <v>5551.3874150000001</v>
      </c>
    </row>
    <row r="482" spans="1:13" ht="14.25" customHeight="1" x14ac:dyDescent="0.2">
      <c r="A482" s="3" t="s">
        <v>723</v>
      </c>
      <c r="B482" s="3" t="s">
        <v>24</v>
      </c>
      <c r="C482" s="3" t="s">
        <v>15</v>
      </c>
      <c r="D482" s="3" t="s">
        <v>16</v>
      </c>
      <c r="E482" s="3" t="s">
        <v>724</v>
      </c>
      <c r="F482" s="3" t="s">
        <v>27</v>
      </c>
      <c r="G482" s="3" t="s">
        <v>19</v>
      </c>
      <c r="H482" s="3">
        <v>6522</v>
      </c>
      <c r="I482" s="3">
        <v>2</v>
      </c>
      <c r="J482" s="3">
        <v>2244</v>
      </c>
      <c r="K482" s="3">
        <v>5913</v>
      </c>
      <c r="L482" s="3">
        <v>6</v>
      </c>
      <c r="M482" s="3">
        <v>5347.9622410000002</v>
      </c>
    </row>
    <row r="483" spans="1:13" ht="14.25" customHeight="1" x14ac:dyDescent="0.2">
      <c r="A483" s="3" t="s">
        <v>725</v>
      </c>
      <c r="B483" s="3" t="s">
        <v>14</v>
      </c>
      <c r="C483" s="3" t="s">
        <v>15</v>
      </c>
      <c r="D483" s="3" t="s">
        <v>86</v>
      </c>
      <c r="E483" s="3" t="s">
        <v>726</v>
      </c>
      <c r="F483" s="3" t="s">
        <v>27</v>
      </c>
      <c r="G483" s="3" t="s">
        <v>19</v>
      </c>
      <c r="H483" s="3">
        <v>2305</v>
      </c>
      <c r="I483" s="3">
        <v>2</v>
      </c>
      <c r="J483" s="3">
        <v>1207</v>
      </c>
      <c r="K483" s="3">
        <v>2148</v>
      </c>
      <c r="L483" s="3">
        <v>5</v>
      </c>
      <c r="M483" s="3">
        <v>5095.6007829999999</v>
      </c>
    </row>
    <row r="484" spans="1:13" ht="14.25" customHeight="1" x14ac:dyDescent="0.2">
      <c r="A484" s="3" t="s">
        <v>727</v>
      </c>
      <c r="B484" s="3" t="s">
        <v>14</v>
      </c>
      <c r="C484" s="3" t="s">
        <v>35</v>
      </c>
      <c r="D484" s="3" t="s">
        <v>447</v>
      </c>
      <c r="E484" s="3" t="s">
        <v>728</v>
      </c>
      <c r="F484" s="3" t="s">
        <v>18</v>
      </c>
      <c r="G484" s="3" t="s">
        <v>19</v>
      </c>
      <c r="H484" s="3">
        <v>7530</v>
      </c>
      <c r="I484" s="3">
        <v>2</v>
      </c>
      <c r="J484" s="3">
        <v>5468</v>
      </c>
      <c r="K484" s="3">
        <v>7298</v>
      </c>
      <c r="L484" s="3">
        <v>3</v>
      </c>
      <c r="M484" s="3">
        <v>5038.7140669999999</v>
      </c>
    </row>
    <row r="485" spans="1:13" ht="14.25" customHeight="1" x14ac:dyDescent="0.2">
      <c r="A485" s="3" t="s">
        <v>729</v>
      </c>
      <c r="B485" s="3" t="s">
        <v>24</v>
      </c>
      <c r="C485" s="3" t="s">
        <v>15</v>
      </c>
      <c r="D485" s="3" t="s">
        <v>205</v>
      </c>
      <c r="E485" s="3" t="s">
        <v>57</v>
      </c>
      <c r="F485" s="3" t="s">
        <v>27</v>
      </c>
      <c r="G485" s="3" t="s">
        <v>114</v>
      </c>
      <c r="H485" s="3">
        <v>84460</v>
      </c>
      <c r="I485" s="3">
        <v>2</v>
      </c>
      <c r="J485" s="3">
        <v>13169</v>
      </c>
      <c r="K485" s="3">
        <v>26688</v>
      </c>
      <c r="L485" s="3">
        <v>1</v>
      </c>
      <c r="M485" s="3">
        <v>4279.230955</v>
      </c>
    </row>
    <row r="486" spans="1:13" ht="14.25" customHeight="1" x14ac:dyDescent="0.2">
      <c r="A486" s="3" t="s">
        <v>730</v>
      </c>
      <c r="B486" s="3" t="s">
        <v>14</v>
      </c>
      <c r="C486" s="3" t="s">
        <v>29</v>
      </c>
      <c r="D486" s="3" t="s">
        <v>174</v>
      </c>
      <c r="E486" s="3" t="s">
        <v>731</v>
      </c>
      <c r="F486" s="3" t="s">
        <v>415</v>
      </c>
      <c r="G486" s="3" t="s">
        <v>19</v>
      </c>
      <c r="H486" s="3">
        <v>2241</v>
      </c>
      <c r="I486" s="3">
        <v>2</v>
      </c>
      <c r="J486" s="3">
        <v>530</v>
      </c>
      <c r="K486" s="3">
        <v>2019</v>
      </c>
      <c r="L486" s="3">
        <v>2</v>
      </c>
      <c r="M486" s="3">
        <v>3703.1631280000001</v>
      </c>
    </row>
    <row r="487" spans="1:13" ht="14.25" customHeight="1" x14ac:dyDescent="0.2">
      <c r="A487" s="3" t="s">
        <v>732</v>
      </c>
      <c r="B487" s="3" t="s">
        <v>14</v>
      </c>
      <c r="C487" s="3" t="s">
        <v>15</v>
      </c>
      <c r="D487" s="3" t="s">
        <v>66</v>
      </c>
      <c r="E487" s="3" t="s">
        <v>733</v>
      </c>
      <c r="F487" s="3" t="s">
        <v>41</v>
      </c>
      <c r="G487" s="3" t="s">
        <v>19</v>
      </c>
      <c r="H487" s="3">
        <v>7206</v>
      </c>
      <c r="I487" s="3">
        <v>2</v>
      </c>
      <c r="J487" s="3">
        <v>3358</v>
      </c>
      <c r="K487" s="3">
        <v>6473</v>
      </c>
      <c r="L487" s="3">
        <v>1</v>
      </c>
      <c r="M487" s="3">
        <v>3458.5879049999999</v>
      </c>
    </row>
    <row r="488" spans="1:13" ht="14.25" customHeight="1" x14ac:dyDescent="0.2">
      <c r="A488" s="3" t="s">
        <v>734</v>
      </c>
      <c r="B488" s="3" t="s">
        <v>14</v>
      </c>
      <c r="C488" s="3" t="s">
        <v>32</v>
      </c>
      <c r="D488" s="3" t="s">
        <v>78</v>
      </c>
      <c r="E488" s="3" t="s">
        <v>735</v>
      </c>
      <c r="F488" s="3" t="s">
        <v>27</v>
      </c>
      <c r="G488" s="3" t="s">
        <v>19</v>
      </c>
      <c r="H488" s="3">
        <v>2236</v>
      </c>
      <c r="I488" s="3">
        <v>2</v>
      </c>
      <c r="J488" s="3">
        <v>1562</v>
      </c>
      <c r="K488" s="3">
        <v>2076</v>
      </c>
      <c r="L488" s="3">
        <v>2</v>
      </c>
      <c r="M488" s="3">
        <v>3332.7514510000001</v>
      </c>
    </row>
    <row r="489" spans="1:13" ht="14.25" customHeight="1" x14ac:dyDescent="0.2">
      <c r="A489" s="3" t="s">
        <v>736</v>
      </c>
      <c r="B489" s="3" t="s">
        <v>24</v>
      </c>
      <c r="C489" s="3" t="s">
        <v>29</v>
      </c>
      <c r="D489" s="3" t="s">
        <v>70</v>
      </c>
      <c r="E489" s="3" t="s">
        <v>737</v>
      </c>
      <c r="F489" s="3" t="s">
        <v>27</v>
      </c>
      <c r="G489" s="3" t="s">
        <v>114</v>
      </c>
      <c r="H489" s="3">
        <v>27473</v>
      </c>
      <c r="I489" s="3">
        <v>2</v>
      </c>
      <c r="J489" s="3">
        <v>11306</v>
      </c>
      <c r="K489" s="3">
        <v>20625</v>
      </c>
      <c r="L489" s="3">
        <v>2</v>
      </c>
      <c r="M489" s="3">
        <v>2922.286102</v>
      </c>
    </row>
    <row r="490" spans="1:13" ht="14.25" customHeight="1" x14ac:dyDescent="0.2">
      <c r="A490" s="3" t="s">
        <v>738</v>
      </c>
      <c r="B490" s="3" t="s">
        <v>14</v>
      </c>
      <c r="C490" s="3" t="s">
        <v>32</v>
      </c>
      <c r="D490" s="3" t="s">
        <v>343</v>
      </c>
      <c r="E490" s="3" t="s">
        <v>543</v>
      </c>
      <c r="F490" s="3" t="s">
        <v>41</v>
      </c>
      <c r="G490" s="3" t="s">
        <v>19</v>
      </c>
      <c r="H490" s="3">
        <v>14181</v>
      </c>
      <c r="I490" s="3">
        <v>2</v>
      </c>
      <c r="J490" s="3">
        <v>7106</v>
      </c>
      <c r="K490" s="3">
        <v>13189</v>
      </c>
      <c r="L490" s="3">
        <v>17</v>
      </c>
      <c r="M490" s="3">
        <v>2912.4671560000002</v>
      </c>
    </row>
    <row r="491" spans="1:13" ht="14.25" customHeight="1" x14ac:dyDescent="0.2">
      <c r="A491" s="3" t="s">
        <v>739</v>
      </c>
      <c r="B491" s="3" t="s">
        <v>14</v>
      </c>
      <c r="C491" s="3" t="s">
        <v>15</v>
      </c>
      <c r="D491" s="3" t="s">
        <v>86</v>
      </c>
      <c r="E491" s="3" t="s">
        <v>740</v>
      </c>
      <c r="F491" s="3" t="s">
        <v>64</v>
      </c>
      <c r="G491" s="3" t="s">
        <v>19</v>
      </c>
      <c r="H491" s="3">
        <v>13293</v>
      </c>
      <c r="I491" s="3">
        <v>2</v>
      </c>
      <c r="J491" s="3">
        <v>9054</v>
      </c>
      <c r="K491" s="3">
        <v>12676</v>
      </c>
      <c r="L491" s="3">
        <v>1</v>
      </c>
      <c r="M491" s="3">
        <v>2901.2095089999998</v>
      </c>
    </row>
    <row r="492" spans="1:13" ht="14.25" customHeight="1" x14ac:dyDescent="0.2">
      <c r="A492" s="3" t="s">
        <v>741</v>
      </c>
      <c r="B492" s="3" t="s">
        <v>14</v>
      </c>
      <c r="C492" s="3" t="s">
        <v>32</v>
      </c>
      <c r="D492" s="3" t="s">
        <v>16</v>
      </c>
      <c r="E492" s="3" t="s">
        <v>48</v>
      </c>
      <c r="F492" s="3" t="s">
        <v>41</v>
      </c>
      <c r="G492" s="3" t="s">
        <v>19</v>
      </c>
      <c r="H492" s="3">
        <v>65257</v>
      </c>
      <c r="I492" s="3">
        <v>2</v>
      </c>
      <c r="J492" s="3">
        <v>12749</v>
      </c>
      <c r="K492" s="3">
        <v>19274</v>
      </c>
      <c r="L492" s="3">
        <v>1</v>
      </c>
      <c r="M492" s="3">
        <v>2468.1358369999998</v>
      </c>
    </row>
    <row r="493" spans="1:13" ht="14.25" customHeight="1" x14ac:dyDescent="0.2">
      <c r="A493" s="3" t="s">
        <v>742</v>
      </c>
      <c r="B493" s="3" t="s">
        <v>14</v>
      </c>
      <c r="C493" s="3" t="s">
        <v>35</v>
      </c>
      <c r="D493" s="3" t="s">
        <v>78</v>
      </c>
      <c r="E493" s="3" t="s">
        <v>48</v>
      </c>
      <c r="F493" s="3" t="s">
        <v>27</v>
      </c>
      <c r="G493" s="3" t="s">
        <v>19</v>
      </c>
      <c r="H493" s="3">
        <v>31003</v>
      </c>
      <c r="I493" s="3">
        <v>2</v>
      </c>
      <c r="J493" s="3">
        <v>12591</v>
      </c>
      <c r="K493" s="3">
        <v>22656</v>
      </c>
      <c r="L493" s="3">
        <v>3</v>
      </c>
      <c r="M493" s="3">
        <v>2294.0037779999998</v>
      </c>
    </row>
    <row r="494" spans="1:13" ht="14.25" customHeight="1" x14ac:dyDescent="0.2">
      <c r="A494" s="3" t="s">
        <v>743</v>
      </c>
      <c r="B494" s="3" t="s">
        <v>14</v>
      </c>
      <c r="C494" s="3" t="s">
        <v>29</v>
      </c>
      <c r="D494" s="3" t="s">
        <v>70</v>
      </c>
      <c r="E494" s="3" t="s">
        <v>191</v>
      </c>
      <c r="F494" s="3" t="s">
        <v>287</v>
      </c>
      <c r="G494" s="3" t="s">
        <v>19</v>
      </c>
      <c r="H494" s="3">
        <v>51056</v>
      </c>
      <c r="I494" s="3">
        <v>2</v>
      </c>
      <c r="J494" s="3">
        <v>24672</v>
      </c>
      <c r="K494" s="3">
        <v>45563</v>
      </c>
      <c r="L494" s="3">
        <v>2</v>
      </c>
      <c r="M494" s="3">
        <v>2215.6318449999999</v>
      </c>
    </row>
    <row r="495" spans="1:13" ht="14.25" customHeight="1" x14ac:dyDescent="0.2">
      <c r="A495" s="3" t="s">
        <v>744</v>
      </c>
      <c r="B495" s="3" t="s">
        <v>68</v>
      </c>
      <c r="C495" s="3" t="s">
        <v>15</v>
      </c>
      <c r="D495" s="3" t="s">
        <v>86</v>
      </c>
      <c r="E495" s="3" t="s">
        <v>579</v>
      </c>
      <c r="F495" s="3" t="s">
        <v>58</v>
      </c>
      <c r="G495" s="3" t="s">
        <v>19</v>
      </c>
      <c r="H495" s="3">
        <v>5433</v>
      </c>
      <c r="I495" s="3">
        <v>2</v>
      </c>
      <c r="J495" s="3">
        <v>3634</v>
      </c>
      <c r="K495" s="3">
        <v>4742</v>
      </c>
      <c r="L495" s="3">
        <v>4</v>
      </c>
      <c r="M495" s="3">
        <v>2211.9697799999999</v>
      </c>
    </row>
    <row r="496" spans="1:13" ht="14.25" customHeight="1" x14ac:dyDescent="0.2">
      <c r="A496" s="3" t="s">
        <v>745</v>
      </c>
      <c r="B496" s="3" t="s">
        <v>24</v>
      </c>
      <c r="C496" s="3" t="s">
        <v>29</v>
      </c>
      <c r="D496" s="3" t="s">
        <v>86</v>
      </c>
      <c r="E496" s="3" t="s">
        <v>478</v>
      </c>
      <c r="F496" s="3" t="s">
        <v>38</v>
      </c>
      <c r="G496" s="3" t="s">
        <v>19</v>
      </c>
      <c r="H496" s="3">
        <v>8545</v>
      </c>
      <c r="I496" s="3">
        <v>2</v>
      </c>
      <c r="J496" s="3">
        <v>3454</v>
      </c>
      <c r="K496" s="3">
        <v>5510</v>
      </c>
      <c r="L496" s="3">
        <v>1</v>
      </c>
      <c r="M496" s="3">
        <v>2181.2479490000001</v>
      </c>
    </row>
    <row r="497" spans="1:13" ht="14.25" customHeight="1" x14ac:dyDescent="0.2">
      <c r="A497" s="3" t="s">
        <v>746</v>
      </c>
      <c r="B497" s="3" t="s">
        <v>14</v>
      </c>
      <c r="C497" s="3" t="s">
        <v>29</v>
      </c>
      <c r="D497" s="3" t="s">
        <v>21</v>
      </c>
      <c r="E497" s="3" t="s">
        <v>747</v>
      </c>
      <c r="F497" s="3" t="s">
        <v>41</v>
      </c>
      <c r="G497" s="3" t="s">
        <v>19</v>
      </c>
      <c r="H497" s="3">
        <v>2057</v>
      </c>
      <c r="I497" s="3">
        <v>2</v>
      </c>
      <c r="J497" s="3">
        <v>897</v>
      </c>
      <c r="K497" s="3">
        <v>1834</v>
      </c>
      <c r="L497" s="3">
        <v>14</v>
      </c>
      <c r="M497" s="3">
        <v>2088.2029419999999</v>
      </c>
    </row>
    <row r="498" spans="1:13" ht="14.25" customHeight="1" x14ac:dyDescent="0.2">
      <c r="A498" s="3" t="s">
        <v>748</v>
      </c>
      <c r="B498" s="3" t="s">
        <v>24</v>
      </c>
      <c r="C498" s="3" t="s">
        <v>32</v>
      </c>
      <c r="D498" s="3" t="s">
        <v>66</v>
      </c>
      <c r="E498" s="3" t="s">
        <v>749</v>
      </c>
      <c r="F498" s="3" t="s">
        <v>33</v>
      </c>
      <c r="G498" s="3" t="s">
        <v>114</v>
      </c>
      <c r="H498" s="3">
        <v>31813</v>
      </c>
      <c r="I498" s="3">
        <v>2</v>
      </c>
      <c r="J498" s="3">
        <v>14149</v>
      </c>
      <c r="K498" s="3">
        <v>21281</v>
      </c>
      <c r="L498" s="3">
        <v>13</v>
      </c>
      <c r="M498" s="3">
        <v>2060.9938820000002</v>
      </c>
    </row>
    <row r="499" spans="1:13" ht="14.25" customHeight="1" x14ac:dyDescent="0.2">
      <c r="A499" s="3" t="s">
        <v>750</v>
      </c>
      <c r="B499" s="3" t="s">
        <v>14</v>
      </c>
      <c r="C499" s="3" t="s">
        <v>29</v>
      </c>
      <c r="D499" s="3" t="s">
        <v>43</v>
      </c>
      <c r="E499" s="3" t="s">
        <v>751</v>
      </c>
      <c r="F499" s="3" t="s">
        <v>27</v>
      </c>
      <c r="G499" s="3" t="s">
        <v>19</v>
      </c>
      <c r="H499" s="3">
        <v>3853</v>
      </c>
      <c r="I499" s="3">
        <v>2</v>
      </c>
      <c r="J499" s="3">
        <v>2526</v>
      </c>
      <c r="K499" s="3">
        <v>3549</v>
      </c>
      <c r="L499" s="3">
        <v>13</v>
      </c>
      <c r="M499" s="3">
        <v>1914.38751</v>
      </c>
    </row>
    <row r="500" spans="1:13" ht="14.25" customHeight="1" x14ac:dyDescent="0.2">
      <c r="A500" s="3" t="s">
        <v>752</v>
      </c>
      <c r="B500" s="3" t="s">
        <v>24</v>
      </c>
      <c r="C500" s="3" t="s">
        <v>32</v>
      </c>
      <c r="D500" s="3" t="s">
        <v>205</v>
      </c>
      <c r="E500" s="3" t="s">
        <v>753</v>
      </c>
      <c r="F500" s="3" t="s">
        <v>22</v>
      </c>
      <c r="G500" s="3" t="s">
        <v>19</v>
      </c>
      <c r="H500" s="3">
        <v>15277</v>
      </c>
      <c r="I500" s="3">
        <v>2</v>
      </c>
      <c r="J500" s="3">
        <v>3089</v>
      </c>
      <c r="K500" s="3">
        <v>13644</v>
      </c>
      <c r="L500" s="3">
        <v>1</v>
      </c>
      <c r="M500" s="3">
        <v>1904.5643459999999</v>
      </c>
    </row>
    <row r="501" spans="1:13" ht="14.25" customHeight="1" x14ac:dyDescent="0.2">
      <c r="A501" s="3" t="s">
        <v>754</v>
      </c>
      <c r="B501" s="3" t="s">
        <v>24</v>
      </c>
      <c r="C501" s="3" t="s">
        <v>35</v>
      </c>
      <c r="D501" s="3" t="s">
        <v>25</v>
      </c>
      <c r="E501" s="3" t="s">
        <v>347</v>
      </c>
      <c r="F501" s="3" t="s">
        <v>38</v>
      </c>
      <c r="G501" s="3" t="s">
        <v>114</v>
      </c>
      <c r="H501" s="3">
        <v>35335</v>
      </c>
      <c r="I501" s="3">
        <v>2</v>
      </c>
      <c r="J501" s="3">
        <v>22566</v>
      </c>
      <c r="K501" s="3">
        <v>30685</v>
      </c>
      <c r="L501" s="3">
        <v>15</v>
      </c>
      <c r="M501" s="3">
        <v>1866.3474699999999</v>
      </c>
    </row>
    <row r="502" spans="1:13" ht="14.25" customHeight="1" x14ac:dyDescent="0.2">
      <c r="A502" s="3" t="s">
        <v>755</v>
      </c>
      <c r="B502" s="3" t="s">
        <v>14</v>
      </c>
      <c r="C502" s="3" t="s">
        <v>35</v>
      </c>
      <c r="D502" s="3" t="s">
        <v>25</v>
      </c>
      <c r="E502" s="3" t="s">
        <v>756</v>
      </c>
      <c r="F502" s="3" t="s">
        <v>27</v>
      </c>
      <c r="G502" s="3" t="s">
        <v>19</v>
      </c>
      <c r="H502" s="3">
        <v>15322</v>
      </c>
      <c r="I502" s="3">
        <v>2</v>
      </c>
      <c r="J502" s="3">
        <v>6416</v>
      </c>
      <c r="K502" s="3">
        <v>14049</v>
      </c>
      <c r="L502" s="3">
        <v>1</v>
      </c>
      <c r="M502" s="3">
        <v>1850.464205</v>
      </c>
    </row>
    <row r="503" spans="1:13" ht="14.25" customHeight="1" x14ac:dyDescent="0.2">
      <c r="A503" s="3" t="s">
        <v>757</v>
      </c>
      <c r="B503" s="3" t="s">
        <v>14</v>
      </c>
      <c r="C503" s="3" t="s">
        <v>15</v>
      </c>
      <c r="D503" s="3" t="s">
        <v>364</v>
      </c>
      <c r="E503" s="3" t="s">
        <v>96</v>
      </c>
      <c r="F503" s="3" t="s">
        <v>22</v>
      </c>
      <c r="G503" s="3" t="s">
        <v>19</v>
      </c>
      <c r="H503" s="3">
        <v>19549</v>
      </c>
      <c r="I503" s="3">
        <v>2</v>
      </c>
      <c r="J503" s="3">
        <v>6187</v>
      </c>
      <c r="K503" s="3">
        <v>17166</v>
      </c>
      <c r="L503" s="3">
        <v>2</v>
      </c>
      <c r="M503" s="3">
        <v>1844.9869209999999</v>
      </c>
    </row>
    <row r="504" spans="1:13" ht="14.25" customHeight="1" x14ac:dyDescent="0.2">
      <c r="A504" s="3" t="s">
        <v>758</v>
      </c>
      <c r="B504" s="3" t="s">
        <v>24</v>
      </c>
      <c r="C504" s="3" t="s">
        <v>15</v>
      </c>
      <c r="D504" s="3" t="s">
        <v>43</v>
      </c>
      <c r="E504" s="3" t="s">
        <v>63</v>
      </c>
      <c r="F504" s="3" t="s">
        <v>27</v>
      </c>
      <c r="G504" s="3" t="s">
        <v>19</v>
      </c>
      <c r="H504" s="3">
        <v>88499</v>
      </c>
      <c r="I504" s="3">
        <v>2</v>
      </c>
      <c r="J504" s="3">
        <v>18950</v>
      </c>
      <c r="K504" s="3">
        <v>71458</v>
      </c>
      <c r="L504" s="3">
        <v>5</v>
      </c>
      <c r="M504" s="3">
        <v>1803.1398119999999</v>
      </c>
    </row>
    <row r="505" spans="1:13" ht="14.25" customHeight="1" x14ac:dyDescent="0.2">
      <c r="A505" s="3" t="s">
        <v>759</v>
      </c>
      <c r="B505" s="3" t="s">
        <v>14</v>
      </c>
      <c r="C505" s="3" t="s">
        <v>29</v>
      </c>
      <c r="D505" s="3" t="s">
        <v>16</v>
      </c>
      <c r="E505" s="3" t="s">
        <v>760</v>
      </c>
      <c r="F505" s="3" t="s">
        <v>27</v>
      </c>
      <c r="G505" s="3" t="s">
        <v>19</v>
      </c>
      <c r="H505" s="3">
        <v>6648</v>
      </c>
      <c r="I505" s="3">
        <v>2</v>
      </c>
      <c r="J505" s="3">
        <v>2148</v>
      </c>
      <c r="K505" s="3">
        <v>6178</v>
      </c>
      <c r="L505" s="3">
        <v>2</v>
      </c>
      <c r="M505" s="3">
        <v>1787.934186</v>
      </c>
    </row>
    <row r="506" spans="1:13" ht="14.25" customHeight="1" x14ac:dyDescent="0.2">
      <c r="A506" s="3" t="s">
        <v>761</v>
      </c>
      <c r="B506" s="3" t="s">
        <v>68</v>
      </c>
      <c r="C506" s="3" t="s">
        <v>29</v>
      </c>
      <c r="D506" s="3" t="s">
        <v>91</v>
      </c>
      <c r="E506" s="3" t="s">
        <v>762</v>
      </c>
      <c r="F506" s="3" t="s">
        <v>41</v>
      </c>
      <c r="G506" s="3" t="s">
        <v>19</v>
      </c>
      <c r="H506" s="3">
        <v>13608</v>
      </c>
      <c r="I506" s="3">
        <v>2</v>
      </c>
      <c r="J506" s="3">
        <v>2714</v>
      </c>
      <c r="K506" s="3">
        <v>9332</v>
      </c>
      <c r="L506" s="3">
        <v>1</v>
      </c>
      <c r="M506" s="3">
        <v>1762.663235</v>
      </c>
    </row>
    <row r="507" spans="1:13" ht="14.25" customHeight="1" x14ac:dyDescent="0.2">
      <c r="A507" s="3" t="s">
        <v>763</v>
      </c>
      <c r="B507" s="3" t="s">
        <v>14</v>
      </c>
      <c r="C507" s="3" t="s">
        <v>29</v>
      </c>
      <c r="D507" s="3" t="s">
        <v>45</v>
      </c>
      <c r="E507" s="3" t="s">
        <v>764</v>
      </c>
      <c r="F507" s="3" t="s">
        <v>27</v>
      </c>
      <c r="G507" s="3" t="s">
        <v>19</v>
      </c>
      <c r="H507" s="3">
        <v>10779</v>
      </c>
      <c r="I507" s="3">
        <v>2</v>
      </c>
      <c r="J507" s="3">
        <v>6420</v>
      </c>
      <c r="K507" s="3">
        <v>10287</v>
      </c>
      <c r="L507" s="3">
        <v>1</v>
      </c>
      <c r="M507" s="3">
        <v>1759.704833</v>
      </c>
    </row>
    <row r="508" spans="1:13" ht="14.25" customHeight="1" x14ac:dyDescent="0.2">
      <c r="A508" s="3" t="s">
        <v>765</v>
      </c>
      <c r="B508" s="3" t="s">
        <v>68</v>
      </c>
      <c r="C508" s="3" t="s">
        <v>15</v>
      </c>
      <c r="D508" s="3" t="s">
        <v>16</v>
      </c>
      <c r="E508" s="3" t="s">
        <v>597</v>
      </c>
      <c r="F508" s="3" t="s">
        <v>64</v>
      </c>
      <c r="G508" s="3" t="s">
        <v>19</v>
      </c>
      <c r="H508" s="3">
        <v>72117</v>
      </c>
      <c r="I508" s="3">
        <v>2</v>
      </c>
      <c r="J508" s="3">
        <v>9807</v>
      </c>
      <c r="K508" s="3">
        <v>68568</v>
      </c>
      <c r="L508" s="3">
        <v>16</v>
      </c>
      <c r="M508" s="3">
        <v>1702.3172059999999</v>
      </c>
    </row>
    <row r="509" spans="1:13" ht="14.25" customHeight="1" x14ac:dyDescent="0.2">
      <c r="A509" s="3" t="s">
        <v>766</v>
      </c>
      <c r="B509" s="3" t="s">
        <v>14</v>
      </c>
      <c r="C509" s="3" t="s">
        <v>15</v>
      </c>
      <c r="D509" s="3" t="s">
        <v>304</v>
      </c>
      <c r="E509" s="3" t="s">
        <v>767</v>
      </c>
      <c r="F509" s="3" t="s">
        <v>33</v>
      </c>
      <c r="G509" s="3" t="s">
        <v>19</v>
      </c>
      <c r="H509" s="3">
        <v>9078</v>
      </c>
      <c r="I509" s="3">
        <v>2</v>
      </c>
      <c r="J509" s="3">
        <v>4051</v>
      </c>
      <c r="K509" s="3">
        <v>6215</v>
      </c>
      <c r="L509" s="3">
        <v>1</v>
      </c>
      <c r="M509" s="3">
        <v>1700.795736</v>
      </c>
    </row>
    <row r="510" spans="1:13" ht="14.25" customHeight="1" x14ac:dyDescent="0.2">
      <c r="A510" s="3" t="s">
        <v>768</v>
      </c>
      <c r="B510" s="3" t="s">
        <v>24</v>
      </c>
      <c r="C510" s="3" t="s">
        <v>15</v>
      </c>
      <c r="D510" s="3" t="s">
        <v>25</v>
      </c>
      <c r="E510" s="3" t="s">
        <v>769</v>
      </c>
      <c r="F510" s="3" t="s">
        <v>18</v>
      </c>
      <c r="G510" s="3" t="s">
        <v>19</v>
      </c>
      <c r="H510" s="3">
        <v>11296</v>
      </c>
      <c r="I510" s="3">
        <v>2</v>
      </c>
      <c r="J510" s="3">
        <v>6822</v>
      </c>
      <c r="K510" s="3">
        <v>9274</v>
      </c>
      <c r="L510" s="3">
        <v>1</v>
      </c>
      <c r="M510" s="3">
        <v>1682.338499</v>
      </c>
    </row>
    <row r="511" spans="1:13" ht="14.25" customHeight="1" x14ac:dyDescent="0.2">
      <c r="A511" s="3" t="s">
        <v>770</v>
      </c>
      <c r="B511" s="3" t="s">
        <v>14</v>
      </c>
      <c r="C511" s="3" t="s">
        <v>35</v>
      </c>
      <c r="D511" s="3" t="s">
        <v>16</v>
      </c>
      <c r="E511" s="3" t="s">
        <v>159</v>
      </c>
      <c r="F511" s="3" t="s">
        <v>27</v>
      </c>
      <c r="G511" s="3" t="s">
        <v>19</v>
      </c>
      <c r="H511" s="3">
        <v>20899</v>
      </c>
      <c r="I511" s="3">
        <v>2</v>
      </c>
      <c r="J511" s="3">
        <v>11394</v>
      </c>
      <c r="K511" s="3">
        <v>19576</v>
      </c>
      <c r="L511" s="3">
        <v>19</v>
      </c>
      <c r="M511" s="3">
        <v>1649.459852</v>
      </c>
    </row>
    <row r="512" spans="1:13" ht="14.25" customHeight="1" x14ac:dyDescent="0.2">
      <c r="A512" s="3" t="s">
        <v>771</v>
      </c>
      <c r="B512" s="3" t="s">
        <v>68</v>
      </c>
      <c r="C512" s="3" t="s">
        <v>29</v>
      </c>
      <c r="D512" s="3" t="s">
        <v>532</v>
      </c>
      <c r="E512" s="3" t="s">
        <v>772</v>
      </c>
      <c r="F512" s="3" t="s">
        <v>27</v>
      </c>
      <c r="G512" s="3" t="s">
        <v>19</v>
      </c>
      <c r="H512" s="3">
        <v>7394</v>
      </c>
      <c r="I512" s="3">
        <v>2</v>
      </c>
      <c r="J512" s="3">
        <v>3441</v>
      </c>
      <c r="K512" s="3">
        <v>6663</v>
      </c>
      <c r="L512" s="3">
        <v>1</v>
      </c>
      <c r="M512" s="3">
        <v>1624.840774</v>
      </c>
    </row>
    <row r="513" spans="1:13" ht="14.25" customHeight="1" x14ac:dyDescent="0.2">
      <c r="A513" s="3" t="s">
        <v>773</v>
      </c>
      <c r="B513" s="3" t="s">
        <v>24</v>
      </c>
      <c r="C513" s="3" t="s">
        <v>29</v>
      </c>
      <c r="D513" s="3" t="s">
        <v>165</v>
      </c>
      <c r="E513" s="3" t="s">
        <v>159</v>
      </c>
      <c r="F513" s="3" t="s">
        <v>27</v>
      </c>
      <c r="G513" s="3" t="s">
        <v>114</v>
      </c>
      <c r="H513" s="3">
        <v>22800</v>
      </c>
      <c r="I513" s="3">
        <v>2</v>
      </c>
      <c r="J513" s="3">
        <v>8298</v>
      </c>
      <c r="K513" s="3">
        <v>21161</v>
      </c>
      <c r="L513" s="3">
        <v>24</v>
      </c>
      <c r="M513" s="3">
        <v>1620.1655000000001</v>
      </c>
    </row>
    <row r="514" spans="1:13" ht="14.25" customHeight="1" x14ac:dyDescent="0.2">
      <c r="A514" s="3" t="s">
        <v>774</v>
      </c>
      <c r="B514" s="3" t="s">
        <v>14</v>
      </c>
      <c r="C514" s="3" t="s">
        <v>15</v>
      </c>
      <c r="D514" s="3" t="s">
        <v>16</v>
      </c>
      <c r="E514" s="3" t="s">
        <v>79</v>
      </c>
      <c r="F514" s="3" t="s">
        <v>27</v>
      </c>
      <c r="G514" s="3" t="s">
        <v>19</v>
      </c>
      <c r="H514" s="3">
        <v>78433</v>
      </c>
      <c r="I514" s="3">
        <v>2</v>
      </c>
      <c r="J514" s="3">
        <v>24067</v>
      </c>
      <c r="K514" s="3">
        <v>58308</v>
      </c>
      <c r="L514" s="3">
        <v>16</v>
      </c>
      <c r="M514" s="3">
        <v>1612.5493269999999</v>
      </c>
    </row>
    <row r="515" spans="1:13" ht="14.25" customHeight="1" x14ac:dyDescent="0.2">
      <c r="A515" s="3" t="s">
        <v>775</v>
      </c>
      <c r="B515" s="3" t="s">
        <v>14</v>
      </c>
      <c r="C515" s="3" t="s">
        <v>15</v>
      </c>
      <c r="D515" s="3" t="s">
        <v>66</v>
      </c>
      <c r="E515" s="3" t="s">
        <v>772</v>
      </c>
      <c r="F515" s="3" t="s">
        <v>27</v>
      </c>
      <c r="G515" s="3" t="s">
        <v>19</v>
      </c>
      <c r="H515" s="3">
        <v>22259</v>
      </c>
      <c r="I515" s="3">
        <v>2</v>
      </c>
      <c r="J515" s="3">
        <v>12405</v>
      </c>
      <c r="K515" s="3">
        <v>17609</v>
      </c>
      <c r="L515" s="3">
        <v>14</v>
      </c>
      <c r="M515" s="3">
        <v>1611.340211</v>
      </c>
    </row>
    <row r="516" spans="1:13" ht="14.25" customHeight="1" x14ac:dyDescent="0.2">
      <c r="A516" s="3" t="s">
        <v>776</v>
      </c>
      <c r="B516" s="3" t="s">
        <v>68</v>
      </c>
      <c r="C516" s="3" t="s">
        <v>32</v>
      </c>
      <c r="D516" s="3" t="s">
        <v>43</v>
      </c>
      <c r="E516" s="3" t="s">
        <v>777</v>
      </c>
      <c r="F516" s="3" t="s">
        <v>27</v>
      </c>
      <c r="G516" s="3" t="s">
        <v>19</v>
      </c>
      <c r="H516" s="3">
        <v>20537</v>
      </c>
      <c r="I516" s="3">
        <v>2</v>
      </c>
      <c r="J516" s="3">
        <v>15587</v>
      </c>
      <c r="K516" s="3">
        <v>19288</v>
      </c>
      <c r="L516" s="3">
        <v>10</v>
      </c>
      <c r="M516" s="3">
        <v>1609.880674</v>
      </c>
    </row>
    <row r="517" spans="1:13" ht="14.25" customHeight="1" x14ac:dyDescent="0.2">
      <c r="A517" s="3" t="s">
        <v>778</v>
      </c>
      <c r="B517" s="3" t="s">
        <v>14</v>
      </c>
      <c r="C517" s="3" t="s">
        <v>32</v>
      </c>
      <c r="D517" s="3" t="s">
        <v>70</v>
      </c>
      <c r="E517" s="3" t="s">
        <v>779</v>
      </c>
      <c r="F517" s="3" t="s">
        <v>27</v>
      </c>
      <c r="G517" s="3" t="s">
        <v>19</v>
      </c>
      <c r="H517" s="3">
        <v>1293</v>
      </c>
      <c r="I517" s="3">
        <v>2</v>
      </c>
      <c r="J517" s="3">
        <v>951</v>
      </c>
      <c r="K517" s="3">
        <v>1162</v>
      </c>
      <c r="L517" s="3">
        <v>1</v>
      </c>
      <c r="M517" s="3">
        <v>1597.7823940000001</v>
      </c>
    </row>
    <row r="518" spans="1:13" ht="14.25" customHeight="1" x14ac:dyDescent="0.2">
      <c r="A518" s="3" t="s">
        <v>780</v>
      </c>
      <c r="B518" s="3" t="s">
        <v>24</v>
      </c>
      <c r="C518" s="3" t="s">
        <v>15</v>
      </c>
      <c r="D518" s="3" t="s">
        <v>43</v>
      </c>
      <c r="E518" s="3" t="s">
        <v>72</v>
      </c>
      <c r="F518" s="3" t="s">
        <v>22</v>
      </c>
      <c r="G518" s="3" t="s">
        <v>19</v>
      </c>
      <c r="H518" s="3">
        <v>77703</v>
      </c>
      <c r="I518" s="3">
        <v>2</v>
      </c>
      <c r="J518" s="3">
        <v>33478</v>
      </c>
      <c r="K518" s="3">
        <v>72874</v>
      </c>
      <c r="L518" s="3">
        <v>3</v>
      </c>
      <c r="M518" s="3">
        <v>1566.9124059999999</v>
      </c>
    </row>
    <row r="519" spans="1:13" ht="14.25" customHeight="1" x14ac:dyDescent="0.2">
      <c r="A519" s="3" t="s">
        <v>781</v>
      </c>
      <c r="B519" s="3" t="s">
        <v>14</v>
      </c>
      <c r="C519" s="3" t="s">
        <v>29</v>
      </c>
      <c r="D519" s="3" t="s">
        <v>78</v>
      </c>
      <c r="E519" s="3" t="s">
        <v>782</v>
      </c>
      <c r="F519" s="3" t="s">
        <v>287</v>
      </c>
      <c r="G519" s="3" t="s">
        <v>19</v>
      </c>
      <c r="H519" s="3">
        <v>7201</v>
      </c>
      <c r="I519" s="3">
        <v>2</v>
      </c>
      <c r="J519" s="3">
        <v>3116</v>
      </c>
      <c r="K519" s="3">
        <v>5788</v>
      </c>
      <c r="L519" s="3">
        <v>1</v>
      </c>
      <c r="M519" s="3">
        <v>1561.183147</v>
      </c>
    </row>
    <row r="520" spans="1:13" ht="14.25" customHeight="1" x14ac:dyDescent="0.2">
      <c r="A520" s="3" t="s">
        <v>783</v>
      </c>
      <c r="B520" s="3" t="s">
        <v>24</v>
      </c>
      <c r="C520" s="3" t="s">
        <v>32</v>
      </c>
      <c r="D520" s="3" t="s">
        <v>43</v>
      </c>
      <c r="E520" s="3" t="s">
        <v>554</v>
      </c>
      <c r="F520" s="3" t="s">
        <v>41</v>
      </c>
      <c r="G520" s="3" t="s">
        <v>19</v>
      </c>
      <c r="H520" s="3">
        <v>67752</v>
      </c>
      <c r="I520" s="3">
        <v>2</v>
      </c>
      <c r="J520" s="3">
        <v>47126</v>
      </c>
      <c r="K520" s="3">
        <v>65080</v>
      </c>
      <c r="L520" s="3">
        <v>3</v>
      </c>
      <c r="M520" s="3">
        <v>1557.0157300000001</v>
      </c>
    </row>
    <row r="521" spans="1:13" ht="14.25" customHeight="1" x14ac:dyDescent="0.2">
      <c r="A521" s="3" t="s">
        <v>784</v>
      </c>
      <c r="B521" s="3" t="s">
        <v>24</v>
      </c>
      <c r="C521" s="3" t="s">
        <v>32</v>
      </c>
      <c r="D521" s="3" t="s">
        <v>84</v>
      </c>
      <c r="E521" s="3" t="s">
        <v>785</v>
      </c>
      <c r="F521" s="3" t="s">
        <v>41</v>
      </c>
      <c r="G521" s="3" t="s">
        <v>19</v>
      </c>
      <c r="H521" s="3">
        <v>557</v>
      </c>
      <c r="I521" s="3">
        <v>2</v>
      </c>
      <c r="J521" s="3">
        <v>346</v>
      </c>
      <c r="K521" s="3">
        <v>533</v>
      </c>
      <c r="L521" s="3">
        <v>3</v>
      </c>
      <c r="M521" s="3">
        <v>1541.7017559999999</v>
      </c>
    </row>
    <row r="522" spans="1:13" ht="14.25" customHeight="1" x14ac:dyDescent="0.2">
      <c r="A522" s="3" t="s">
        <v>786</v>
      </c>
      <c r="B522" s="3" t="s">
        <v>14</v>
      </c>
      <c r="C522" s="3" t="s">
        <v>32</v>
      </c>
      <c r="D522" s="3" t="s">
        <v>43</v>
      </c>
      <c r="E522" s="3" t="s">
        <v>787</v>
      </c>
      <c r="F522" s="3" t="s">
        <v>22</v>
      </c>
      <c r="G522" s="3" t="s">
        <v>19</v>
      </c>
      <c r="H522" s="3">
        <v>13779</v>
      </c>
      <c r="I522" s="3">
        <v>2</v>
      </c>
      <c r="J522" s="3">
        <v>3482</v>
      </c>
      <c r="K522" s="3">
        <v>12487</v>
      </c>
      <c r="L522" s="3">
        <v>1</v>
      </c>
      <c r="M522" s="3">
        <v>1530.041892</v>
      </c>
    </row>
    <row r="523" spans="1:13" ht="14.25" customHeight="1" x14ac:dyDescent="0.2">
      <c r="A523" s="3" t="s">
        <v>788</v>
      </c>
      <c r="B523" s="3" t="s">
        <v>14</v>
      </c>
      <c r="C523" s="3" t="s">
        <v>32</v>
      </c>
      <c r="D523" s="3" t="s">
        <v>36</v>
      </c>
      <c r="E523" s="3" t="s">
        <v>57</v>
      </c>
      <c r="F523" s="3" t="s">
        <v>27</v>
      </c>
      <c r="G523" s="3" t="s">
        <v>19</v>
      </c>
      <c r="H523" s="3">
        <v>74516</v>
      </c>
      <c r="I523" s="3">
        <v>2</v>
      </c>
      <c r="J523" s="3">
        <v>23985</v>
      </c>
      <c r="K523" s="3">
        <v>63853</v>
      </c>
      <c r="L523" s="3">
        <v>24</v>
      </c>
      <c r="M523" s="3">
        <v>1523.783909</v>
      </c>
    </row>
    <row r="524" spans="1:13" ht="14.25" customHeight="1" x14ac:dyDescent="0.2">
      <c r="A524" s="3" t="s">
        <v>789</v>
      </c>
      <c r="B524" s="3" t="s">
        <v>24</v>
      </c>
      <c r="C524" s="3" t="s">
        <v>35</v>
      </c>
      <c r="D524" s="3" t="s">
        <v>66</v>
      </c>
      <c r="E524" s="3" t="s">
        <v>790</v>
      </c>
      <c r="F524" s="3" t="s">
        <v>27</v>
      </c>
      <c r="G524" s="3" t="s">
        <v>114</v>
      </c>
      <c r="H524" s="3">
        <v>22501</v>
      </c>
      <c r="I524" s="3">
        <v>2</v>
      </c>
      <c r="J524" s="3">
        <v>13003</v>
      </c>
      <c r="K524" s="3">
        <v>21286</v>
      </c>
      <c r="L524" s="3">
        <v>1</v>
      </c>
      <c r="M524" s="3">
        <v>1522.517949</v>
      </c>
    </row>
    <row r="525" spans="1:13" ht="14.25" customHeight="1" x14ac:dyDescent="0.2">
      <c r="A525" s="3" t="s">
        <v>791</v>
      </c>
      <c r="B525" s="3" t="s">
        <v>68</v>
      </c>
      <c r="C525" s="3" t="s">
        <v>29</v>
      </c>
      <c r="D525" s="3" t="s">
        <v>70</v>
      </c>
      <c r="E525" s="3" t="s">
        <v>250</v>
      </c>
      <c r="F525" s="3" t="s">
        <v>22</v>
      </c>
      <c r="G525" s="3" t="s">
        <v>19</v>
      </c>
      <c r="H525" s="3">
        <v>10819</v>
      </c>
      <c r="I525" s="3">
        <v>2</v>
      </c>
      <c r="J525" s="3">
        <v>4168</v>
      </c>
      <c r="K525" s="3">
        <v>9768</v>
      </c>
      <c r="L525" s="3">
        <v>1</v>
      </c>
      <c r="M525" s="3">
        <v>1504.3292140000001</v>
      </c>
    </row>
    <row r="526" spans="1:13" ht="14.25" customHeight="1" x14ac:dyDescent="0.2">
      <c r="A526" s="3" t="s">
        <v>792</v>
      </c>
      <c r="B526" s="3" t="s">
        <v>24</v>
      </c>
      <c r="C526" s="3" t="s">
        <v>15</v>
      </c>
      <c r="D526" s="3" t="s">
        <v>503</v>
      </c>
      <c r="E526" s="3" t="s">
        <v>772</v>
      </c>
      <c r="F526" s="3" t="s">
        <v>33</v>
      </c>
      <c r="G526" s="3" t="s">
        <v>114</v>
      </c>
      <c r="H526" s="3">
        <v>21143</v>
      </c>
      <c r="I526" s="3">
        <v>2</v>
      </c>
      <c r="J526" s="3">
        <v>3798</v>
      </c>
      <c r="K526" s="3">
        <v>19588</v>
      </c>
      <c r="L526" s="3">
        <v>2</v>
      </c>
      <c r="M526" s="3">
        <v>1500.41822</v>
      </c>
    </row>
    <row r="527" spans="1:13" ht="14.25" customHeight="1" x14ac:dyDescent="0.2">
      <c r="A527" s="3" t="s">
        <v>793</v>
      </c>
      <c r="B527" s="3" t="s">
        <v>24</v>
      </c>
      <c r="C527" s="3" t="s">
        <v>15</v>
      </c>
      <c r="D527" s="3" t="s">
        <v>174</v>
      </c>
      <c r="E527" s="3" t="s">
        <v>546</v>
      </c>
      <c r="F527" s="3" t="s">
        <v>33</v>
      </c>
      <c r="G527" s="3" t="s">
        <v>19</v>
      </c>
      <c r="H527" s="3">
        <v>11062</v>
      </c>
      <c r="I527" s="3">
        <v>2</v>
      </c>
      <c r="J527" s="3">
        <v>6539</v>
      </c>
      <c r="K527" s="3">
        <v>9391</v>
      </c>
      <c r="L527" s="3">
        <v>1</v>
      </c>
      <c r="M527" s="3">
        <v>1500.09932</v>
      </c>
    </row>
    <row r="528" spans="1:13" ht="14.25" customHeight="1" x14ac:dyDescent="0.2">
      <c r="A528" s="3" t="s">
        <v>794</v>
      </c>
      <c r="B528" s="3" t="s">
        <v>24</v>
      </c>
      <c r="C528" s="3" t="s">
        <v>29</v>
      </c>
      <c r="D528" s="3" t="s">
        <v>21</v>
      </c>
      <c r="E528" s="3" t="s">
        <v>149</v>
      </c>
      <c r="F528" s="3" t="s">
        <v>41</v>
      </c>
      <c r="G528" s="3" t="s">
        <v>114</v>
      </c>
      <c r="H528" s="3">
        <v>32173</v>
      </c>
      <c r="I528" s="3">
        <v>2</v>
      </c>
      <c r="J528" s="3">
        <v>24427</v>
      </c>
      <c r="K528" s="3">
        <v>30084</v>
      </c>
      <c r="L528" s="3">
        <v>11</v>
      </c>
      <c r="M528" s="3">
        <v>1498.2915399999999</v>
      </c>
    </row>
    <row r="529" spans="1:13" ht="14.25" customHeight="1" x14ac:dyDescent="0.2">
      <c r="A529" s="3" t="s">
        <v>795</v>
      </c>
      <c r="B529" s="3" t="s">
        <v>14</v>
      </c>
      <c r="C529" s="3" t="s">
        <v>15</v>
      </c>
      <c r="D529" s="3" t="s">
        <v>91</v>
      </c>
      <c r="E529" s="3" t="s">
        <v>796</v>
      </c>
      <c r="F529" s="3" t="s">
        <v>33</v>
      </c>
      <c r="G529" s="3" t="s">
        <v>19</v>
      </c>
      <c r="H529" s="3">
        <v>13713</v>
      </c>
      <c r="I529" s="3">
        <v>2</v>
      </c>
      <c r="J529" s="3">
        <v>8339</v>
      </c>
      <c r="K529" s="3">
        <v>13051</v>
      </c>
      <c r="L529" s="3">
        <v>4</v>
      </c>
      <c r="M529" s="3">
        <v>1490.0061969999999</v>
      </c>
    </row>
    <row r="530" spans="1:13" ht="14.25" customHeight="1" x14ac:dyDescent="0.2">
      <c r="A530" s="3" t="s">
        <v>797</v>
      </c>
      <c r="B530" s="3" t="s">
        <v>14</v>
      </c>
      <c r="C530" s="3" t="s">
        <v>29</v>
      </c>
      <c r="D530" s="3" t="s">
        <v>398</v>
      </c>
      <c r="E530" s="3" t="s">
        <v>798</v>
      </c>
      <c r="F530" s="3" t="s">
        <v>415</v>
      </c>
      <c r="G530" s="3" t="s">
        <v>19</v>
      </c>
      <c r="H530" s="3">
        <v>158</v>
      </c>
      <c r="I530" s="3">
        <v>2</v>
      </c>
      <c r="J530" s="3">
        <v>119</v>
      </c>
      <c r="K530" s="3">
        <v>147</v>
      </c>
      <c r="L530" s="3">
        <v>9</v>
      </c>
      <c r="M530" s="3">
        <v>1466.7293970000001</v>
      </c>
    </row>
    <row r="531" spans="1:13" ht="14.25" customHeight="1" x14ac:dyDescent="0.2">
      <c r="A531" s="3" t="s">
        <v>799</v>
      </c>
      <c r="B531" s="3" t="s">
        <v>24</v>
      </c>
      <c r="C531" s="3" t="s">
        <v>29</v>
      </c>
      <c r="D531" s="3" t="s">
        <v>16</v>
      </c>
      <c r="E531" s="3" t="s">
        <v>800</v>
      </c>
      <c r="F531" s="3" t="s">
        <v>27</v>
      </c>
      <c r="G531" s="3" t="s">
        <v>114</v>
      </c>
      <c r="H531" s="3">
        <v>145</v>
      </c>
      <c r="I531" s="3">
        <v>2</v>
      </c>
      <c r="J531" s="3">
        <v>81</v>
      </c>
      <c r="K531" s="3">
        <v>135</v>
      </c>
      <c r="L531" s="3">
        <v>2</v>
      </c>
      <c r="M531" s="3">
        <v>1458.9389659999999</v>
      </c>
    </row>
    <row r="532" spans="1:13" ht="14.25" customHeight="1" x14ac:dyDescent="0.2">
      <c r="A532" s="3" t="s">
        <v>801</v>
      </c>
      <c r="B532" s="3" t="s">
        <v>14</v>
      </c>
      <c r="C532" s="3" t="s">
        <v>32</v>
      </c>
      <c r="D532" s="3" t="s">
        <v>25</v>
      </c>
      <c r="E532" s="3" t="s">
        <v>802</v>
      </c>
      <c r="F532" s="3" t="s">
        <v>58</v>
      </c>
      <c r="G532" s="3" t="s">
        <v>19</v>
      </c>
      <c r="H532" s="3">
        <v>9920</v>
      </c>
      <c r="I532" s="3">
        <v>2</v>
      </c>
      <c r="J532" s="3">
        <v>6702</v>
      </c>
      <c r="K532" s="3">
        <v>9096</v>
      </c>
      <c r="L532" s="3">
        <v>10</v>
      </c>
      <c r="M532" s="3">
        <v>1453.11439</v>
      </c>
    </row>
    <row r="533" spans="1:13" ht="14.25" customHeight="1" x14ac:dyDescent="0.2">
      <c r="A533" s="3" t="s">
        <v>803</v>
      </c>
      <c r="B533" s="3" t="s">
        <v>24</v>
      </c>
      <c r="C533" s="3" t="s">
        <v>35</v>
      </c>
      <c r="D533" s="3" t="s">
        <v>43</v>
      </c>
      <c r="E533" s="3" t="s">
        <v>72</v>
      </c>
      <c r="F533" s="3" t="s">
        <v>41</v>
      </c>
      <c r="G533" s="3" t="s">
        <v>19</v>
      </c>
      <c r="H533" s="3">
        <v>13326</v>
      </c>
      <c r="I533" s="3">
        <v>2</v>
      </c>
      <c r="J533" s="3">
        <v>3568</v>
      </c>
      <c r="K533" s="3">
        <v>11388</v>
      </c>
      <c r="L533" s="3">
        <v>1</v>
      </c>
      <c r="M533" s="3">
        <v>1442.032183</v>
      </c>
    </row>
    <row r="534" spans="1:13" ht="14.25" customHeight="1" x14ac:dyDescent="0.2">
      <c r="A534" s="3" t="s">
        <v>804</v>
      </c>
      <c r="B534" s="3" t="s">
        <v>24</v>
      </c>
      <c r="C534" s="3" t="s">
        <v>15</v>
      </c>
      <c r="D534" s="3" t="s">
        <v>25</v>
      </c>
      <c r="E534" s="3" t="s">
        <v>805</v>
      </c>
      <c r="F534" s="3" t="s">
        <v>64</v>
      </c>
      <c r="G534" s="3" t="s">
        <v>19</v>
      </c>
      <c r="H534" s="3">
        <v>12710</v>
      </c>
      <c r="I534" s="3">
        <v>1</v>
      </c>
      <c r="J534" s="3">
        <v>8159</v>
      </c>
      <c r="K534" s="3">
        <v>11984</v>
      </c>
      <c r="L534" s="3">
        <v>11</v>
      </c>
      <c r="M534" s="3">
        <v>7851.3974779999999</v>
      </c>
    </row>
    <row r="535" spans="1:13" ht="14.25" customHeight="1" x14ac:dyDescent="0.2">
      <c r="A535" s="3" t="s">
        <v>806</v>
      </c>
      <c r="B535" s="3" t="s">
        <v>24</v>
      </c>
      <c r="C535" s="3" t="s">
        <v>15</v>
      </c>
      <c r="D535" s="3" t="s">
        <v>16</v>
      </c>
      <c r="E535" s="3" t="s">
        <v>459</v>
      </c>
      <c r="F535" s="3" t="s">
        <v>41</v>
      </c>
      <c r="G535" s="3" t="s">
        <v>19</v>
      </c>
      <c r="H535" s="3">
        <v>9362</v>
      </c>
      <c r="I535" s="3">
        <v>1</v>
      </c>
      <c r="J535" s="3">
        <v>5202</v>
      </c>
      <c r="K535" s="3">
        <v>8928</v>
      </c>
      <c r="L535" s="3">
        <v>1</v>
      </c>
      <c r="M535" s="3">
        <v>7312.492757</v>
      </c>
    </row>
    <row r="536" spans="1:13" ht="14.25" customHeight="1" x14ac:dyDescent="0.2">
      <c r="A536" s="3" t="s">
        <v>807</v>
      </c>
      <c r="B536" s="3" t="s">
        <v>14</v>
      </c>
      <c r="C536" s="3" t="s">
        <v>35</v>
      </c>
      <c r="D536" s="3" t="s">
        <v>21</v>
      </c>
      <c r="E536" s="3" t="s">
        <v>585</v>
      </c>
      <c r="F536" s="3" t="s">
        <v>27</v>
      </c>
      <c r="G536" s="3" t="s">
        <v>19</v>
      </c>
      <c r="H536" s="3">
        <v>2366</v>
      </c>
      <c r="I536" s="3">
        <v>1</v>
      </c>
      <c r="J536" s="3">
        <v>1648</v>
      </c>
      <c r="K536" s="3">
        <v>2207</v>
      </c>
      <c r="L536" s="3">
        <v>2</v>
      </c>
      <c r="M536" s="3">
        <v>7079.5175380000001</v>
      </c>
    </row>
    <row r="537" spans="1:13" ht="14.25" customHeight="1" x14ac:dyDescent="0.2">
      <c r="A537" s="3" t="s">
        <v>808</v>
      </c>
      <c r="B537" s="3" t="s">
        <v>14</v>
      </c>
      <c r="C537" s="3" t="s">
        <v>15</v>
      </c>
      <c r="D537" s="3" t="s">
        <v>66</v>
      </c>
      <c r="E537" s="3" t="s">
        <v>809</v>
      </c>
      <c r="F537" s="3" t="s">
        <v>33</v>
      </c>
      <c r="G537" s="3" t="s">
        <v>19</v>
      </c>
      <c r="H537" s="3">
        <v>14553</v>
      </c>
      <c r="I537" s="3">
        <v>1</v>
      </c>
      <c r="J537" s="3">
        <v>6119</v>
      </c>
      <c r="K537" s="3">
        <v>12505</v>
      </c>
      <c r="L537" s="3">
        <v>1</v>
      </c>
      <c r="M537" s="3">
        <v>6968.00047</v>
      </c>
    </row>
    <row r="538" spans="1:13" ht="14.25" customHeight="1" x14ac:dyDescent="0.2">
      <c r="A538" s="3" t="s">
        <v>810</v>
      </c>
      <c r="B538" s="3" t="s">
        <v>14</v>
      </c>
      <c r="C538" s="3" t="s">
        <v>32</v>
      </c>
      <c r="D538" s="3" t="s">
        <v>45</v>
      </c>
      <c r="E538" s="3" t="s">
        <v>159</v>
      </c>
      <c r="F538" s="3" t="s">
        <v>27</v>
      </c>
      <c r="G538" s="3" t="s">
        <v>19</v>
      </c>
      <c r="H538" s="3">
        <v>15326</v>
      </c>
      <c r="I538" s="3">
        <v>1</v>
      </c>
      <c r="J538" s="3">
        <v>7941</v>
      </c>
      <c r="K538" s="3">
        <v>14331</v>
      </c>
      <c r="L538" s="3">
        <v>8</v>
      </c>
      <c r="M538" s="3">
        <v>6943.5158240000001</v>
      </c>
    </row>
    <row r="539" spans="1:13" ht="14.25" customHeight="1" x14ac:dyDescent="0.2">
      <c r="A539" s="3" t="s">
        <v>811</v>
      </c>
      <c r="B539" s="3" t="s">
        <v>24</v>
      </c>
      <c r="C539" s="3" t="s">
        <v>15</v>
      </c>
      <c r="D539" s="3" t="s">
        <v>43</v>
      </c>
      <c r="E539" s="3" t="s">
        <v>597</v>
      </c>
      <c r="F539" s="3" t="s">
        <v>64</v>
      </c>
      <c r="G539" s="3" t="s">
        <v>19</v>
      </c>
      <c r="H539" s="3">
        <v>11607</v>
      </c>
      <c r="I539" s="3">
        <v>1</v>
      </c>
      <c r="J539" s="3">
        <v>5218</v>
      </c>
      <c r="K539" s="3">
        <v>10763</v>
      </c>
      <c r="L539" s="3">
        <v>1</v>
      </c>
      <c r="M539" s="3">
        <v>6909.7323180000003</v>
      </c>
    </row>
    <row r="540" spans="1:13" ht="14.25" customHeight="1" x14ac:dyDescent="0.2">
      <c r="A540" s="3" t="s">
        <v>812</v>
      </c>
      <c r="B540" s="3" t="s">
        <v>24</v>
      </c>
      <c r="C540" s="3" t="s">
        <v>15</v>
      </c>
      <c r="D540" s="3" t="s">
        <v>45</v>
      </c>
      <c r="E540" s="3" t="s">
        <v>769</v>
      </c>
      <c r="F540" s="3" t="s">
        <v>323</v>
      </c>
      <c r="G540" s="3" t="s">
        <v>163</v>
      </c>
      <c r="H540" s="3">
        <v>10066</v>
      </c>
      <c r="I540" s="3">
        <v>1</v>
      </c>
      <c r="J540" s="3">
        <v>6978</v>
      </c>
      <c r="K540" s="3">
        <v>9369</v>
      </c>
      <c r="L540" s="3">
        <v>19</v>
      </c>
      <c r="M540" s="3">
        <v>6879.5870969999996</v>
      </c>
    </row>
    <row r="541" spans="1:13" ht="14.25" customHeight="1" x14ac:dyDescent="0.2">
      <c r="A541" s="3" t="s">
        <v>813</v>
      </c>
      <c r="B541" s="3" t="s">
        <v>14</v>
      </c>
      <c r="C541" s="3" t="s">
        <v>29</v>
      </c>
      <c r="D541" s="3" t="s">
        <v>25</v>
      </c>
      <c r="E541" s="3" t="s">
        <v>814</v>
      </c>
      <c r="F541" s="3" t="s">
        <v>58</v>
      </c>
      <c r="G541" s="3" t="s">
        <v>19</v>
      </c>
      <c r="H541" s="3">
        <v>9867</v>
      </c>
      <c r="I541" s="3">
        <v>1</v>
      </c>
      <c r="J541" s="3">
        <v>6867</v>
      </c>
      <c r="K541" s="3">
        <v>9347</v>
      </c>
      <c r="L541" s="3">
        <v>18</v>
      </c>
      <c r="M541" s="3">
        <v>6839.5690860000004</v>
      </c>
    </row>
    <row r="542" spans="1:13" ht="14.25" customHeight="1" x14ac:dyDescent="0.2">
      <c r="A542" s="3" t="s">
        <v>815</v>
      </c>
      <c r="B542" s="3" t="s">
        <v>14</v>
      </c>
      <c r="C542" s="3" t="s">
        <v>29</v>
      </c>
      <c r="D542" s="3" t="s">
        <v>70</v>
      </c>
      <c r="E542" s="3" t="s">
        <v>684</v>
      </c>
      <c r="F542" s="3" t="s">
        <v>27</v>
      </c>
      <c r="G542" s="3" t="s">
        <v>19</v>
      </c>
      <c r="H542" s="3">
        <v>11511</v>
      </c>
      <c r="I542" s="3">
        <v>1</v>
      </c>
      <c r="J542" s="3">
        <v>8268</v>
      </c>
      <c r="K542" s="3">
        <v>11042</v>
      </c>
      <c r="L542" s="3">
        <v>1</v>
      </c>
      <c r="M542" s="3">
        <v>6815.7123250000004</v>
      </c>
    </row>
    <row r="543" spans="1:13" ht="14.25" customHeight="1" x14ac:dyDescent="0.2">
      <c r="A543" s="3" t="s">
        <v>816</v>
      </c>
      <c r="B543" s="3" t="s">
        <v>24</v>
      </c>
      <c r="C543" s="3" t="s">
        <v>15</v>
      </c>
      <c r="D543" s="3" t="s">
        <v>43</v>
      </c>
      <c r="E543" s="3" t="s">
        <v>762</v>
      </c>
      <c r="F543" s="3" t="s">
        <v>38</v>
      </c>
      <c r="G543" s="3" t="s">
        <v>19</v>
      </c>
      <c r="H543" s="3">
        <v>7151</v>
      </c>
      <c r="I543" s="3">
        <v>1</v>
      </c>
      <c r="J543" s="3">
        <v>3359</v>
      </c>
      <c r="K543" s="3">
        <v>6108</v>
      </c>
      <c r="L543" s="3">
        <v>1</v>
      </c>
      <c r="M543" s="3">
        <v>6806.266799</v>
      </c>
    </row>
    <row r="544" spans="1:13" ht="14.25" customHeight="1" x14ac:dyDescent="0.2">
      <c r="A544" s="3" t="s">
        <v>817</v>
      </c>
      <c r="B544" s="3" t="s">
        <v>68</v>
      </c>
      <c r="C544" s="3" t="s">
        <v>15</v>
      </c>
      <c r="D544" s="3" t="s">
        <v>43</v>
      </c>
      <c r="E544" s="3" t="s">
        <v>818</v>
      </c>
      <c r="F544" s="3" t="s">
        <v>41</v>
      </c>
      <c r="G544" s="3" t="s">
        <v>19</v>
      </c>
      <c r="H544" s="3">
        <v>10350</v>
      </c>
      <c r="I544" s="3">
        <v>1</v>
      </c>
      <c r="J544" s="3">
        <v>723</v>
      </c>
      <c r="K544" s="3">
        <v>8720</v>
      </c>
      <c r="L544" s="3">
        <v>19</v>
      </c>
      <c r="M544" s="3">
        <v>6774.202636</v>
      </c>
    </row>
    <row r="545" spans="1:13" ht="14.25" customHeight="1" x14ac:dyDescent="0.2">
      <c r="A545" s="3" t="s">
        <v>819</v>
      </c>
      <c r="B545" s="3" t="s">
        <v>14</v>
      </c>
      <c r="C545" s="3" t="s">
        <v>32</v>
      </c>
      <c r="D545" s="3" t="s">
        <v>25</v>
      </c>
      <c r="E545" s="3" t="s">
        <v>159</v>
      </c>
      <c r="F545" s="3" t="s">
        <v>27</v>
      </c>
      <c r="G545" s="3" t="s">
        <v>19</v>
      </c>
      <c r="H545" s="3">
        <v>18095</v>
      </c>
      <c r="I545" s="3">
        <v>1</v>
      </c>
      <c r="J545" s="3">
        <v>10021</v>
      </c>
      <c r="K545" s="3">
        <v>16755</v>
      </c>
      <c r="L545" s="3">
        <v>24</v>
      </c>
      <c r="M545" s="3">
        <v>6768.7587679999997</v>
      </c>
    </row>
    <row r="546" spans="1:13" ht="14.25" customHeight="1" x14ac:dyDescent="0.2">
      <c r="A546" s="3" t="s">
        <v>820</v>
      </c>
      <c r="B546" s="3" t="s">
        <v>14</v>
      </c>
      <c r="C546" s="3" t="s">
        <v>32</v>
      </c>
      <c r="D546" s="3" t="s">
        <v>25</v>
      </c>
      <c r="E546" s="3" t="s">
        <v>149</v>
      </c>
      <c r="F546" s="3" t="s">
        <v>27</v>
      </c>
      <c r="G546" s="3" t="s">
        <v>19</v>
      </c>
      <c r="H546" s="3">
        <v>7514</v>
      </c>
      <c r="I546" s="3">
        <v>1</v>
      </c>
      <c r="J546" s="3">
        <v>2646</v>
      </c>
      <c r="K546" s="3">
        <v>3373</v>
      </c>
      <c r="L546" s="3">
        <v>3</v>
      </c>
      <c r="M546" s="3">
        <v>6756.2951789999997</v>
      </c>
    </row>
    <row r="547" spans="1:13" ht="14.25" customHeight="1" x14ac:dyDescent="0.2">
      <c r="A547" s="3" t="s">
        <v>821</v>
      </c>
      <c r="B547" s="3" t="s">
        <v>24</v>
      </c>
      <c r="C547" s="3" t="s">
        <v>35</v>
      </c>
      <c r="D547" s="3" t="s">
        <v>66</v>
      </c>
      <c r="E547" s="3" t="s">
        <v>111</v>
      </c>
      <c r="F547" s="3" t="s">
        <v>22</v>
      </c>
      <c r="G547" s="3" t="s">
        <v>19</v>
      </c>
      <c r="H547" s="3">
        <v>23829</v>
      </c>
      <c r="I547" s="3">
        <v>1</v>
      </c>
      <c r="J547" s="3">
        <v>8326</v>
      </c>
      <c r="K547" s="3">
        <v>18812</v>
      </c>
      <c r="L547" s="3">
        <v>5</v>
      </c>
      <c r="M547" s="3">
        <v>6696.1908149999999</v>
      </c>
    </row>
    <row r="548" spans="1:13" ht="14.25" customHeight="1" x14ac:dyDescent="0.2">
      <c r="A548" s="3" t="s">
        <v>822</v>
      </c>
      <c r="B548" s="3" t="s">
        <v>68</v>
      </c>
      <c r="C548" s="3" t="s">
        <v>15</v>
      </c>
      <c r="D548" s="3" t="s">
        <v>70</v>
      </c>
      <c r="E548" s="3" t="s">
        <v>823</v>
      </c>
      <c r="F548" s="3" t="s">
        <v>27</v>
      </c>
      <c r="G548" s="3" t="s">
        <v>19</v>
      </c>
      <c r="H548" s="3">
        <v>9238</v>
      </c>
      <c r="I548" s="3">
        <v>1</v>
      </c>
      <c r="J548" s="3">
        <v>4626</v>
      </c>
      <c r="K548" s="3">
        <v>8264</v>
      </c>
      <c r="L548" s="3">
        <v>15</v>
      </c>
      <c r="M548" s="3">
        <v>6683.2254869999997</v>
      </c>
    </row>
    <row r="549" spans="1:13" ht="14.25" customHeight="1" x14ac:dyDescent="0.2">
      <c r="A549" s="3" t="s">
        <v>824</v>
      </c>
      <c r="B549" s="3" t="s">
        <v>24</v>
      </c>
      <c r="C549" s="3" t="s">
        <v>29</v>
      </c>
      <c r="D549" s="3" t="s">
        <v>25</v>
      </c>
      <c r="E549" s="3" t="s">
        <v>825</v>
      </c>
      <c r="F549" s="3" t="s">
        <v>22</v>
      </c>
      <c r="G549" s="3" t="s">
        <v>19</v>
      </c>
      <c r="H549" s="3">
        <v>6902</v>
      </c>
      <c r="I549" s="3">
        <v>1</v>
      </c>
      <c r="J549" s="3">
        <v>3884</v>
      </c>
      <c r="K549" s="3">
        <v>5793</v>
      </c>
      <c r="L549" s="3">
        <v>1</v>
      </c>
      <c r="M549" s="3">
        <v>6673.327432</v>
      </c>
    </row>
    <row r="550" spans="1:13" ht="14.25" customHeight="1" x14ac:dyDescent="0.2">
      <c r="A550" s="3" t="s">
        <v>826</v>
      </c>
      <c r="B550" s="3" t="s">
        <v>14</v>
      </c>
      <c r="C550" s="3" t="s">
        <v>29</v>
      </c>
      <c r="D550" s="3" t="s">
        <v>66</v>
      </c>
      <c r="E550" s="3" t="s">
        <v>501</v>
      </c>
      <c r="F550" s="3" t="s">
        <v>41</v>
      </c>
      <c r="G550" s="3" t="s">
        <v>19</v>
      </c>
      <c r="H550" s="3">
        <v>1455</v>
      </c>
      <c r="I550" s="3">
        <v>1</v>
      </c>
      <c r="J550" s="3">
        <v>713</v>
      </c>
      <c r="K550" s="3">
        <v>1355</v>
      </c>
      <c r="L550" s="3">
        <v>3</v>
      </c>
      <c r="M550" s="3">
        <v>6651.9811110000001</v>
      </c>
    </row>
    <row r="551" spans="1:13" ht="14.25" customHeight="1" x14ac:dyDescent="0.2">
      <c r="A551" s="3" t="s">
        <v>827</v>
      </c>
      <c r="B551" s="3" t="s">
        <v>14</v>
      </c>
      <c r="C551" s="3" t="s">
        <v>32</v>
      </c>
      <c r="D551" s="3" t="s">
        <v>25</v>
      </c>
      <c r="E551" s="3" t="s">
        <v>828</v>
      </c>
      <c r="F551" s="3" t="s">
        <v>41</v>
      </c>
      <c r="G551" s="3" t="s">
        <v>19</v>
      </c>
      <c r="H551" s="3">
        <v>310</v>
      </c>
      <c r="I551" s="3">
        <v>1</v>
      </c>
      <c r="J551" s="3">
        <v>24</v>
      </c>
      <c r="K551" s="3">
        <v>273</v>
      </c>
      <c r="L551" s="3">
        <v>2</v>
      </c>
      <c r="M551" s="3">
        <v>6552.7216410000001</v>
      </c>
    </row>
    <row r="552" spans="1:13" ht="14.25" customHeight="1" x14ac:dyDescent="0.2">
      <c r="A552" s="3" t="s">
        <v>829</v>
      </c>
      <c r="B552" s="3" t="s">
        <v>14</v>
      </c>
      <c r="C552" s="3" t="s">
        <v>15</v>
      </c>
      <c r="D552" s="3" t="s">
        <v>205</v>
      </c>
      <c r="E552" s="3" t="s">
        <v>231</v>
      </c>
      <c r="F552" s="3" t="s">
        <v>27</v>
      </c>
      <c r="G552" s="3" t="s">
        <v>19</v>
      </c>
      <c r="H552" s="3">
        <v>7248</v>
      </c>
      <c r="I552" s="3">
        <v>1</v>
      </c>
      <c r="J552" s="3">
        <v>3988</v>
      </c>
      <c r="K552" s="3">
        <v>6863</v>
      </c>
      <c r="L552" s="3">
        <v>7</v>
      </c>
      <c r="M552" s="3">
        <v>6548.0725650000004</v>
      </c>
    </row>
    <row r="553" spans="1:13" ht="14.25" customHeight="1" x14ac:dyDescent="0.2">
      <c r="A553" s="3" t="s">
        <v>830</v>
      </c>
      <c r="B553" s="3" t="s">
        <v>14</v>
      </c>
      <c r="C553" s="3" t="s">
        <v>29</v>
      </c>
      <c r="D553" s="3" t="s">
        <v>16</v>
      </c>
      <c r="E553" s="3" t="s">
        <v>831</v>
      </c>
      <c r="F553" s="3" t="s">
        <v>27</v>
      </c>
      <c r="G553" s="3" t="s">
        <v>19</v>
      </c>
      <c r="H553" s="3">
        <v>18081</v>
      </c>
      <c r="I553" s="3">
        <v>1</v>
      </c>
      <c r="J553" s="3">
        <v>4545</v>
      </c>
      <c r="K553" s="3">
        <v>15617</v>
      </c>
      <c r="L553" s="3">
        <v>5</v>
      </c>
      <c r="M553" s="3">
        <v>6522.6375260000004</v>
      </c>
    </row>
    <row r="554" spans="1:13" ht="14.25" customHeight="1" x14ac:dyDescent="0.2">
      <c r="A554" s="3" t="s">
        <v>832</v>
      </c>
      <c r="B554" s="3" t="s">
        <v>14</v>
      </c>
      <c r="C554" s="3" t="s">
        <v>29</v>
      </c>
      <c r="D554" s="3" t="s">
        <v>70</v>
      </c>
      <c r="E554" s="3" t="s">
        <v>635</v>
      </c>
      <c r="F554" s="3" t="s">
        <v>64</v>
      </c>
      <c r="G554" s="3" t="s">
        <v>19</v>
      </c>
      <c r="H554" s="3">
        <v>47360</v>
      </c>
      <c r="I554" s="3">
        <v>1</v>
      </c>
      <c r="J554" s="3">
        <v>8047</v>
      </c>
      <c r="K554" s="3">
        <v>33641</v>
      </c>
      <c r="L554" s="3">
        <v>2</v>
      </c>
      <c r="M554" s="3">
        <v>6502.2749329999997</v>
      </c>
    </row>
    <row r="555" spans="1:13" ht="14.25" customHeight="1" x14ac:dyDescent="0.2">
      <c r="A555" s="3" t="s">
        <v>833</v>
      </c>
      <c r="B555" s="3" t="s">
        <v>14</v>
      </c>
      <c r="C555" s="3" t="s">
        <v>32</v>
      </c>
      <c r="D555" s="3" t="s">
        <v>86</v>
      </c>
      <c r="E555" s="3" t="s">
        <v>681</v>
      </c>
      <c r="F555" s="3" t="s">
        <v>27</v>
      </c>
      <c r="G555" s="3" t="s">
        <v>19</v>
      </c>
      <c r="H555" s="3">
        <v>7687</v>
      </c>
      <c r="I555" s="3">
        <v>1</v>
      </c>
      <c r="J555" s="3">
        <v>5311</v>
      </c>
      <c r="K555" s="3">
        <v>7266</v>
      </c>
      <c r="L555" s="3">
        <v>6</v>
      </c>
      <c r="M555" s="3">
        <v>6486.8539090000004</v>
      </c>
    </row>
    <row r="556" spans="1:13" ht="14.25" customHeight="1" x14ac:dyDescent="0.2">
      <c r="A556" s="3" t="s">
        <v>834</v>
      </c>
      <c r="B556" s="3" t="s">
        <v>24</v>
      </c>
      <c r="C556" s="3" t="s">
        <v>29</v>
      </c>
      <c r="D556" s="3" t="s">
        <v>25</v>
      </c>
      <c r="E556" s="3" t="s">
        <v>543</v>
      </c>
      <c r="F556" s="3" t="s">
        <v>64</v>
      </c>
      <c r="G556" s="3" t="s">
        <v>163</v>
      </c>
      <c r="H556" s="3">
        <v>26212</v>
      </c>
      <c r="I556" s="3">
        <v>1</v>
      </c>
      <c r="J556" s="3">
        <v>12726</v>
      </c>
      <c r="K556" s="3">
        <v>24442</v>
      </c>
      <c r="L556" s="3">
        <v>11</v>
      </c>
      <c r="M556" s="3">
        <v>6452.9350100000001</v>
      </c>
    </row>
    <row r="557" spans="1:13" ht="14.25" customHeight="1" x14ac:dyDescent="0.2">
      <c r="A557" s="3" t="s">
        <v>835</v>
      </c>
      <c r="B557" s="3" t="s">
        <v>14</v>
      </c>
      <c r="C557" s="3" t="s">
        <v>35</v>
      </c>
      <c r="D557" s="3" t="s">
        <v>60</v>
      </c>
      <c r="E557" s="3" t="s">
        <v>392</v>
      </c>
      <c r="F557" s="3" t="s">
        <v>76</v>
      </c>
      <c r="G557" s="3" t="s">
        <v>19</v>
      </c>
      <c r="H557" s="3">
        <v>16644</v>
      </c>
      <c r="I557" s="3">
        <v>1</v>
      </c>
      <c r="J557" s="3">
        <v>5055</v>
      </c>
      <c r="K557" s="3">
        <v>15831</v>
      </c>
      <c r="L557" s="3">
        <v>5</v>
      </c>
      <c r="M557" s="3">
        <v>6386.4642320000003</v>
      </c>
    </row>
    <row r="558" spans="1:13" ht="14.25" customHeight="1" x14ac:dyDescent="0.2">
      <c r="A558" s="3" t="s">
        <v>836</v>
      </c>
      <c r="B558" s="3" t="s">
        <v>14</v>
      </c>
      <c r="C558" s="3" t="s">
        <v>32</v>
      </c>
      <c r="D558" s="3" t="s">
        <v>70</v>
      </c>
      <c r="E558" s="3" t="s">
        <v>52</v>
      </c>
      <c r="F558" s="3" t="s">
        <v>27</v>
      </c>
      <c r="G558" s="3" t="s">
        <v>19</v>
      </c>
      <c r="H558" s="3">
        <v>14038</v>
      </c>
      <c r="I558" s="3">
        <v>1</v>
      </c>
      <c r="J558" s="3">
        <v>1600</v>
      </c>
      <c r="K558" s="3">
        <v>11345</v>
      </c>
      <c r="L558" s="3">
        <v>8</v>
      </c>
      <c r="M558" s="3">
        <v>6368.8629129999999</v>
      </c>
    </row>
    <row r="559" spans="1:13" ht="14.25" customHeight="1" x14ac:dyDescent="0.2">
      <c r="A559" s="3" t="s">
        <v>837</v>
      </c>
      <c r="B559" s="3" t="s">
        <v>14</v>
      </c>
      <c r="C559" s="3" t="s">
        <v>35</v>
      </c>
      <c r="D559" s="3" t="s">
        <v>45</v>
      </c>
      <c r="E559" s="3" t="s">
        <v>79</v>
      </c>
      <c r="F559" s="3" t="s">
        <v>27</v>
      </c>
      <c r="G559" s="3" t="s">
        <v>19</v>
      </c>
      <c r="H559" s="3">
        <v>39844</v>
      </c>
      <c r="I559" s="3">
        <v>1</v>
      </c>
      <c r="J559" s="3">
        <v>11077</v>
      </c>
      <c r="K559" s="3">
        <v>30190</v>
      </c>
      <c r="L559" s="3">
        <v>6</v>
      </c>
      <c r="M559" s="3">
        <v>6367.8699290000004</v>
      </c>
    </row>
    <row r="560" spans="1:13" ht="14.25" customHeight="1" x14ac:dyDescent="0.2">
      <c r="A560" s="3" t="s">
        <v>838</v>
      </c>
      <c r="B560" s="3" t="s">
        <v>14</v>
      </c>
      <c r="C560" s="3" t="s">
        <v>15</v>
      </c>
      <c r="D560" s="3" t="s">
        <v>45</v>
      </c>
      <c r="E560" s="3" t="s">
        <v>199</v>
      </c>
      <c r="F560" s="3" t="s">
        <v>18</v>
      </c>
      <c r="G560" s="3" t="s">
        <v>19</v>
      </c>
      <c r="H560" s="3">
        <v>11919</v>
      </c>
      <c r="I560" s="3">
        <v>1</v>
      </c>
      <c r="J560" s="3">
        <v>8100</v>
      </c>
      <c r="K560" s="3">
        <v>11524</v>
      </c>
      <c r="L560" s="3">
        <v>1</v>
      </c>
      <c r="M560" s="3">
        <v>6350.916905</v>
      </c>
    </row>
    <row r="561" spans="1:13" ht="14.25" customHeight="1" x14ac:dyDescent="0.2">
      <c r="A561" s="3" t="s">
        <v>839</v>
      </c>
      <c r="B561" s="3" t="s">
        <v>14</v>
      </c>
      <c r="C561" s="3" t="s">
        <v>15</v>
      </c>
      <c r="D561" s="3" t="s">
        <v>74</v>
      </c>
      <c r="E561" s="3" t="s">
        <v>250</v>
      </c>
      <c r="F561" s="3" t="s">
        <v>64</v>
      </c>
      <c r="G561" s="3" t="s">
        <v>19</v>
      </c>
      <c r="H561" s="3">
        <v>42459</v>
      </c>
      <c r="I561" s="3">
        <v>1</v>
      </c>
      <c r="J561" s="3">
        <v>15187</v>
      </c>
      <c r="K561" s="3">
        <v>37408</v>
      </c>
      <c r="L561" s="3">
        <v>1</v>
      </c>
      <c r="M561" s="3">
        <v>6321.4916890000004</v>
      </c>
    </row>
    <row r="562" spans="1:13" ht="14.25" customHeight="1" x14ac:dyDescent="0.2">
      <c r="A562" s="3" t="s">
        <v>840</v>
      </c>
      <c r="B562" s="3" t="s">
        <v>24</v>
      </c>
      <c r="C562" s="3" t="s">
        <v>35</v>
      </c>
      <c r="D562" s="3" t="s">
        <v>16</v>
      </c>
      <c r="E562" s="3" t="s">
        <v>79</v>
      </c>
      <c r="F562" s="3" t="s">
        <v>81</v>
      </c>
      <c r="G562" s="3" t="s">
        <v>114</v>
      </c>
      <c r="H562" s="3">
        <v>96779</v>
      </c>
      <c r="I562" s="3">
        <v>1</v>
      </c>
      <c r="J562" s="3">
        <v>9831</v>
      </c>
      <c r="K562" s="3">
        <v>63640</v>
      </c>
      <c r="L562" s="3">
        <v>10</v>
      </c>
      <c r="M562" s="3">
        <v>6317.5107539999999</v>
      </c>
    </row>
    <row r="563" spans="1:13" ht="14.25" customHeight="1" x14ac:dyDescent="0.2">
      <c r="A563" s="3" t="s">
        <v>841</v>
      </c>
      <c r="B563" s="3" t="s">
        <v>68</v>
      </c>
      <c r="C563" s="3" t="s">
        <v>35</v>
      </c>
      <c r="D563" s="3" t="s">
        <v>86</v>
      </c>
      <c r="E563" s="3" t="s">
        <v>842</v>
      </c>
      <c r="F563" s="3" t="s">
        <v>27</v>
      </c>
      <c r="G563" s="3" t="s">
        <v>19</v>
      </c>
      <c r="H563" s="3">
        <v>2770</v>
      </c>
      <c r="I563" s="3">
        <v>1</v>
      </c>
      <c r="J563" s="3">
        <v>1427</v>
      </c>
      <c r="K563" s="3">
        <v>2612</v>
      </c>
      <c r="L563" s="3">
        <v>3</v>
      </c>
      <c r="M563" s="3">
        <v>6312.4127349999999</v>
      </c>
    </row>
    <row r="564" spans="1:13" ht="14.25" customHeight="1" x14ac:dyDescent="0.2">
      <c r="A564" s="3" t="s">
        <v>843</v>
      </c>
      <c r="B564" s="3" t="s">
        <v>24</v>
      </c>
      <c r="C564" s="3" t="s">
        <v>32</v>
      </c>
      <c r="D564" s="3" t="s">
        <v>78</v>
      </c>
      <c r="E564" s="3" t="s">
        <v>40</v>
      </c>
      <c r="F564" s="3" t="s">
        <v>22</v>
      </c>
      <c r="G564" s="3" t="s">
        <v>19</v>
      </c>
      <c r="H564" s="3">
        <v>12974</v>
      </c>
      <c r="I564" s="3">
        <v>1</v>
      </c>
      <c r="J564" s="3">
        <v>7521</v>
      </c>
      <c r="K564" s="3">
        <v>10959</v>
      </c>
      <c r="L564" s="3">
        <v>5</v>
      </c>
      <c r="M564" s="3">
        <v>6301.8688469999997</v>
      </c>
    </row>
    <row r="565" spans="1:13" ht="14.25" customHeight="1" x14ac:dyDescent="0.2">
      <c r="A565" s="3" t="s">
        <v>844</v>
      </c>
      <c r="B565" s="3" t="s">
        <v>24</v>
      </c>
      <c r="C565" s="3" t="s">
        <v>29</v>
      </c>
      <c r="D565" s="3" t="s">
        <v>16</v>
      </c>
      <c r="E565" s="3" t="s">
        <v>845</v>
      </c>
      <c r="F565" s="3" t="s">
        <v>33</v>
      </c>
      <c r="G565" s="3" t="s">
        <v>19</v>
      </c>
      <c r="H565" s="3">
        <v>1036</v>
      </c>
      <c r="I565" s="3">
        <v>1</v>
      </c>
      <c r="J565" s="3">
        <v>807</v>
      </c>
      <c r="K565" s="3">
        <v>940</v>
      </c>
      <c r="L565" s="3">
        <v>6</v>
      </c>
      <c r="M565" s="3">
        <v>6257.9280559999997</v>
      </c>
    </row>
    <row r="566" spans="1:13" ht="14.25" customHeight="1" x14ac:dyDescent="0.2">
      <c r="A566" s="3" t="s">
        <v>846</v>
      </c>
      <c r="B566" s="3" t="s">
        <v>24</v>
      </c>
      <c r="C566" s="3" t="s">
        <v>35</v>
      </c>
      <c r="D566" s="3" t="s">
        <v>25</v>
      </c>
      <c r="E566" s="3" t="s">
        <v>847</v>
      </c>
      <c r="F566" s="3" t="s">
        <v>27</v>
      </c>
      <c r="G566" s="3" t="s">
        <v>114</v>
      </c>
      <c r="H566" s="3">
        <v>2772</v>
      </c>
      <c r="I566" s="3">
        <v>1</v>
      </c>
      <c r="J566" s="3">
        <v>1154</v>
      </c>
      <c r="K566" s="3">
        <v>2536</v>
      </c>
      <c r="L566" s="3">
        <v>9</v>
      </c>
      <c r="M566" s="3">
        <v>6235.4603779999998</v>
      </c>
    </row>
    <row r="567" spans="1:13" ht="14.25" customHeight="1" x14ac:dyDescent="0.2">
      <c r="A567" s="3" t="s">
        <v>848</v>
      </c>
      <c r="B567" s="3" t="s">
        <v>24</v>
      </c>
      <c r="C567" s="3" t="s">
        <v>32</v>
      </c>
      <c r="D567" s="3" t="s">
        <v>16</v>
      </c>
      <c r="E567" s="3" t="s">
        <v>831</v>
      </c>
      <c r="F567" s="3" t="s">
        <v>27</v>
      </c>
      <c r="G567" s="3" t="s">
        <v>114</v>
      </c>
      <c r="H567" s="3">
        <v>95655</v>
      </c>
      <c r="I567" s="3">
        <v>1</v>
      </c>
      <c r="J567" s="3">
        <v>9202</v>
      </c>
      <c r="K567" s="3">
        <v>85273</v>
      </c>
      <c r="L567" s="3">
        <v>24</v>
      </c>
      <c r="M567" s="3">
        <v>6189.4160819999997</v>
      </c>
    </row>
    <row r="568" spans="1:13" ht="14.25" customHeight="1" x14ac:dyDescent="0.2">
      <c r="A568" s="3" t="s">
        <v>849</v>
      </c>
      <c r="B568" s="3" t="s">
        <v>24</v>
      </c>
      <c r="C568" s="3" t="s">
        <v>15</v>
      </c>
      <c r="D568" s="3" t="s">
        <v>45</v>
      </c>
      <c r="E568" s="3" t="s">
        <v>825</v>
      </c>
      <c r="F568" s="3" t="s">
        <v>76</v>
      </c>
      <c r="G568" s="3" t="s">
        <v>19</v>
      </c>
      <c r="H568" s="3">
        <v>8000</v>
      </c>
      <c r="I568" s="3">
        <v>1</v>
      </c>
      <c r="J568" s="3">
        <v>4400</v>
      </c>
      <c r="K568" s="3">
        <v>6379</v>
      </c>
      <c r="L568" s="3">
        <v>1</v>
      </c>
      <c r="M568" s="3">
        <v>6159.3669019999998</v>
      </c>
    </row>
    <row r="569" spans="1:13" ht="14.25" customHeight="1" x14ac:dyDescent="0.2">
      <c r="A569" s="3" t="s">
        <v>850</v>
      </c>
      <c r="B569" s="3" t="s">
        <v>24</v>
      </c>
      <c r="C569" s="3" t="s">
        <v>35</v>
      </c>
      <c r="D569" s="3" t="s">
        <v>25</v>
      </c>
      <c r="E569" s="3" t="s">
        <v>728</v>
      </c>
      <c r="F569" s="3" t="s">
        <v>22</v>
      </c>
      <c r="G569" s="3" t="s">
        <v>19</v>
      </c>
      <c r="H569" s="3">
        <v>8217</v>
      </c>
      <c r="I569" s="3">
        <v>1</v>
      </c>
      <c r="J569" s="3">
        <v>5740</v>
      </c>
      <c r="K569" s="3">
        <v>8009</v>
      </c>
      <c r="L569" s="3">
        <v>1</v>
      </c>
      <c r="M569" s="3">
        <v>6051.3346229999997</v>
      </c>
    </row>
    <row r="570" spans="1:13" ht="14.25" customHeight="1" x14ac:dyDescent="0.2">
      <c r="A570" s="3" t="s">
        <v>851</v>
      </c>
      <c r="B570" s="3" t="s">
        <v>24</v>
      </c>
      <c r="C570" s="3" t="s">
        <v>35</v>
      </c>
      <c r="D570" s="3" t="s">
        <v>25</v>
      </c>
      <c r="E570" s="3" t="s">
        <v>40</v>
      </c>
      <c r="F570" s="3" t="s">
        <v>27</v>
      </c>
      <c r="G570" s="3" t="s">
        <v>163</v>
      </c>
      <c r="H570" s="3">
        <v>29834</v>
      </c>
      <c r="I570" s="3">
        <v>1</v>
      </c>
      <c r="J570" s="3">
        <v>14599</v>
      </c>
      <c r="K570" s="3">
        <v>24656</v>
      </c>
      <c r="L570" s="3">
        <v>2</v>
      </c>
      <c r="M570" s="3">
        <v>6032.8371139999999</v>
      </c>
    </row>
    <row r="571" spans="1:13" ht="14.25" customHeight="1" x14ac:dyDescent="0.2">
      <c r="A571" s="3" t="s">
        <v>852</v>
      </c>
      <c r="B571" s="3" t="s">
        <v>14</v>
      </c>
      <c r="C571" s="3" t="s">
        <v>15</v>
      </c>
      <c r="D571" s="3" t="s">
        <v>66</v>
      </c>
      <c r="E571" s="3" t="s">
        <v>853</v>
      </c>
      <c r="F571" s="3" t="s">
        <v>27</v>
      </c>
      <c r="G571" s="3" t="s">
        <v>19</v>
      </c>
      <c r="H571" s="3">
        <v>8068</v>
      </c>
      <c r="I571" s="3">
        <v>1</v>
      </c>
      <c r="J571" s="3">
        <v>5545</v>
      </c>
      <c r="K571" s="3">
        <v>7554</v>
      </c>
      <c r="L571" s="3">
        <v>1</v>
      </c>
      <c r="M571" s="3">
        <v>5995.0410019999999</v>
      </c>
    </row>
    <row r="572" spans="1:13" ht="14.25" customHeight="1" x14ac:dyDescent="0.2">
      <c r="A572" s="3" t="s">
        <v>854</v>
      </c>
      <c r="B572" s="3" t="s">
        <v>14</v>
      </c>
      <c r="C572" s="3" t="s">
        <v>15</v>
      </c>
      <c r="D572" s="3" t="s">
        <v>43</v>
      </c>
      <c r="E572" s="3" t="s">
        <v>478</v>
      </c>
      <c r="F572" s="3" t="s">
        <v>76</v>
      </c>
      <c r="G572" s="3" t="s">
        <v>19</v>
      </c>
      <c r="H572" s="3">
        <v>5873</v>
      </c>
      <c r="I572" s="3">
        <v>1</v>
      </c>
      <c r="J572" s="3">
        <v>2703</v>
      </c>
      <c r="K572" s="3">
        <v>5141</v>
      </c>
      <c r="L572" s="3">
        <v>3</v>
      </c>
      <c r="M572" s="3">
        <v>5949.9386940000004</v>
      </c>
    </row>
    <row r="573" spans="1:13" ht="14.25" customHeight="1" x14ac:dyDescent="0.2">
      <c r="A573" s="3" t="s">
        <v>855</v>
      </c>
      <c r="B573" s="3" t="s">
        <v>14</v>
      </c>
      <c r="C573" s="3" t="s">
        <v>15</v>
      </c>
      <c r="D573" s="3" t="s">
        <v>228</v>
      </c>
      <c r="E573" s="3" t="s">
        <v>856</v>
      </c>
      <c r="F573" s="3" t="s">
        <v>41</v>
      </c>
      <c r="G573" s="3" t="s">
        <v>19</v>
      </c>
      <c r="H573" s="3">
        <v>6922</v>
      </c>
      <c r="I573" s="3">
        <v>1</v>
      </c>
      <c r="J573" s="3">
        <v>3974</v>
      </c>
      <c r="K573" s="3">
        <v>6498</v>
      </c>
      <c r="L573" s="3">
        <v>1</v>
      </c>
      <c r="M573" s="3">
        <v>5886.8659710000002</v>
      </c>
    </row>
    <row r="574" spans="1:13" ht="14.25" customHeight="1" x14ac:dyDescent="0.2">
      <c r="A574" s="3" t="s">
        <v>857</v>
      </c>
      <c r="B574" s="3" t="s">
        <v>14</v>
      </c>
      <c r="C574" s="3" t="s">
        <v>32</v>
      </c>
      <c r="D574" s="3" t="s">
        <v>16</v>
      </c>
      <c r="E574" s="3" t="s">
        <v>247</v>
      </c>
      <c r="F574" s="3" t="s">
        <v>27</v>
      </c>
      <c r="G574" s="3" t="s">
        <v>19</v>
      </c>
      <c r="H574" s="3">
        <v>9515</v>
      </c>
      <c r="I574" s="3">
        <v>1</v>
      </c>
      <c r="J574" s="3">
        <v>6169</v>
      </c>
      <c r="K574" s="3">
        <v>9138</v>
      </c>
      <c r="L574" s="3">
        <v>1</v>
      </c>
      <c r="M574" s="3">
        <v>5776.508186</v>
      </c>
    </row>
    <row r="575" spans="1:13" ht="14.25" customHeight="1" x14ac:dyDescent="0.2">
      <c r="A575" s="3" t="s">
        <v>858</v>
      </c>
      <c r="B575" s="3" t="s">
        <v>14</v>
      </c>
      <c r="C575" s="3" t="s">
        <v>32</v>
      </c>
      <c r="D575" s="3" t="s">
        <v>43</v>
      </c>
      <c r="E575" s="3" t="s">
        <v>111</v>
      </c>
      <c r="F575" s="3" t="s">
        <v>27</v>
      </c>
      <c r="G575" s="3" t="s">
        <v>19</v>
      </c>
      <c r="H575" s="3">
        <v>23711</v>
      </c>
      <c r="I575" s="3">
        <v>1</v>
      </c>
      <c r="J575" s="3">
        <v>4337</v>
      </c>
      <c r="K575" s="3">
        <v>17211</v>
      </c>
      <c r="L575" s="3">
        <v>1</v>
      </c>
      <c r="M575" s="3">
        <v>5740.9522189999998</v>
      </c>
    </row>
    <row r="576" spans="1:13" ht="14.25" customHeight="1" x14ac:dyDescent="0.2">
      <c r="A576" s="3" t="s">
        <v>859</v>
      </c>
      <c r="B576" s="3" t="s">
        <v>24</v>
      </c>
      <c r="C576" s="3" t="s">
        <v>35</v>
      </c>
      <c r="D576" s="3" t="s">
        <v>16</v>
      </c>
      <c r="E576" s="3" t="s">
        <v>860</v>
      </c>
      <c r="F576" s="3" t="s">
        <v>38</v>
      </c>
      <c r="G576" s="3" t="s">
        <v>19</v>
      </c>
      <c r="H576" s="3">
        <v>4473</v>
      </c>
      <c r="I576" s="3">
        <v>1</v>
      </c>
      <c r="J576" s="3">
        <v>4184</v>
      </c>
      <c r="K576" s="3">
        <v>4346</v>
      </c>
      <c r="L576" s="3">
        <v>3</v>
      </c>
      <c r="M576" s="3">
        <v>5673.320874</v>
      </c>
    </row>
    <row r="577" spans="1:13" ht="14.25" customHeight="1" x14ac:dyDescent="0.2">
      <c r="A577" s="3" t="s">
        <v>861</v>
      </c>
      <c r="B577" s="3" t="s">
        <v>14</v>
      </c>
      <c r="C577" s="3" t="s">
        <v>29</v>
      </c>
      <c r="D577" s="3" t="s">
        <v>25</v>
      </c>
      <c r="E577" s="3" t="s">
        <v>862</v>
      </c>
      <c r="F577" s="3" t="s">
        <v>27</v>
      </c>
      <c r="G577" s="3" t="s">
        <v>19</v>
      </c>
      <c r="H577" s="3">
        <v>17317</v>
      </c>
      <c r="I577" s="3">
        <v>1</v>
      </c>
      <c r="J577" s="3">
        <v>8055</v>
      </c>
      <c r="K577" s="3">
        <v>12724</v>
      </c>
      <c r="L577" s="3">
        <v>1</v>
      </c>
      <c r="M577" s="3">
        <v>5668.8570790000003</v>
      </c>
    </row>
    <row r="578" spans="1:13" ht="14.25" customHeight="1" x14ac:dyDescent="0.2">
      <c r="A578" s="3" t="s">
        <v>863</v>
      </c>
      <c r="B578" s="3" t="s">
        <v>14</v>
      </c>
      <c r="C578" s="3" t="s">
        <v>15</v>
      </c>
      <c r="D578" s="3" t="s">
        <v>70</v>
      </c>
      <c r="E578" s="3" t="s">
        <v>271</v>
      </c>
      <c r="F578" s="3" t="s">
        <v>22</v>
      </c>
      <c r="G578" s="3" t="s">
        <v>19</v>
      </c>
      <c r="H578" s="3">
        <v>7769</v>
      </c>
      <c r="I578" s="3">
        <v>1</v>
      </c>
      <c r="J578" s="3">
        <v>3152</v>
      </c>
      <c r="K578" s="3">
        <v>6464</v>
      </c>
      <c r="L578" s="3">
        <v>1</v>
      </c>
      <c r="M578" s="3">
        <v>5603.0481319999999</v>
      </c>
    </row>
    <row r="579" spans="1:13" ht="14.25" customHeight="1" x14ac:dyDescent="0.2">
      <c r="A579" s="3" t="s">
        <v>864</v>
      </c>
      <c r="B579" s="3" t="s">
        <v>14</v>
      </c>
      <c r="C579" s="3" t="s">
        <v>15</v>
      </c>
      <c r="D579" s="3" t="s">
        <v>45</v>
      </c>
      <c r="E579" s="3" t="s">
        <v>865</v>
      </c>
      <c r="F579" s="3" t="s">
        <v>27</v>
      </c>
      <c r="G579" s="3" t="s">
        <v>19</v>
      </c>
      <c r="H579" s="3">
        <v>9533</v>
      </c>
      <c r="I579" s="3">
        <v>1</v>
      </c>
      <c r="J579" s="3">
        <v>6548</v>
      </c>
      <c r="K579" s="3">
        <v>9042</v>
      </c>
      <c r="L579" s="3">
        <v>16</v>
      </c>
      <c r="M579" s="3">
        <v>5574.5435049999996</v>
      </c>
    </row>
    <row r="580" spans="1:13" ht="14.25" customHeight="1" x14ac:dyDescent="0.2">
      <c r="A580" s="3" t="s">
        <v>866</v>
      </c>
      <c r="B580" s="3" t="s">
        <v>24</v>
      </c>
      <c r="C580" s="3" t="s">
        <v>15</v>
      </c>
      <c r="D580" s="3" t="s">
        <v>43</v>
      </c>
      <c r="E580" s="3" t="s">
        <v>543</v>
      </c>
      <c r="F580" s="3" t="s">
        <v>27</v>
      </c>
      <c r="G580" s="3" t="s">
        <v>163</v>
      </c>
      <c r="H580" s="3">
        <v>20833</v>
      </c>
      <c r="I580" s="3">
        <v>1</v>
      </c>
      <c r="J580" s="3">
        <v>1777</v>
      </c>
      <c r="K580" s="3">
        <v>17211</v>
      </c>
      <c r="L580" s="3">
        <v>2</v>
      </c>
      <c r="M580" s="3">
        <v>5542.5121810000001</v>
      </c>
    </row>
    <row r="581" spans="1:13" ht="14.25" customHeight="1" x14ac:dyDescent="0.2">
      <c r="A581" s="3" t="s">
        <v>867</v>
      </c>
      <c r="B581" s="3" t="s">
        <v>14</v>
      </c>
      <c r="C581" s="3" t="s">
        <v>32</v>
      </c>
      <c r="D581" s="3" t="s">
        <v>78</v>
      </c>
      <c r="E581" s="3" t="s">
        <v>706</v>
      </c>
      <c r="F581" s="3" t="s">
        <v>41</v>
      </c>
      <c r="G581" s="3" t="s">
        <v>19</v>
      </c>
      <c r="H581" s="3">
        <v>7061</v>
      </c>
      <c r="I581" s="3">
        <v>1</v>
      </c>
      <c r="J581" s="3">
        <v>3728</v>
      </c>
      <c r="K581" s="3">
        <v>5923</v>
      </c>
      <c r="L581" s="3">
        <v>3</v>
      </c>
      <c r="M581" s="3">
        <v>5539.7114929999998</v>
      </c>
    </row>
    <row r="582" spans="1:13" ht="14.25" customHeight="1" x14ac:dyDescent="0.2">
      <c r="A582" s="3" t="s">
        <v>868</v>
      </c>
      <c r="B582" s="3" t="s">
        <v>68</v>
      </c>
      <c r="C582" s="3" t="s">
        <v>15</v>
      </c>
      <c r="D582" s="3" t="s">
        <v>25</v>
      </c>
      <c r="E582" s="3" t="s">
        <v>869</v>
      </c>
      <c r="F582" s="3" t="s">
        <v>27</v>
      </c>
      <c r="G582" s="3" t="s">
        <v>19</v>
      </c>
      <c r="H582" s="3">
        <v>1870</v>
      </c>
      <c r="I582" s="3">
        <v>1</v>
      </c>
      <c r="J582" s="3">
        <v>514</v>
      </c>
      <c r="K582" s="3">
        <v>1717</v>
      </c>
      <c r="L582" s="3">
        <v>13</v>
      </c>
      <c r="M582" s="3">
        <v>5524.7963579999996</v>
      </c>
    </row>
    <row r="583" spans="1:13" ht="14.25" customHeight="1" x14ac:dyDescent="0.2">
      <c r="A583" s="3" t="s">
        <v>870</v>
      </c>
      <c r="B583" s="3" t="s">
        <v>14</v>
      </c>
      <c r="C583" s="3" t="s">
        <v>29</v>
      </c>
      <c r="D583" s="3" t="s">
        <v>364</v>
      </c>
      <c r="E583" s="3" t="s">
        <v>740</v>
      </c>
      <c r="F583" s="3" t="s">
        <v>27</v>
      </c>
      <c r="G583" s="3" t="s">
        <v>19</v>
      </c>
      <c r="H583" s="3">
        <v>109709</v>
      </c>
      <c r="I583" s="3">
        <v>1</v>
      </c>
      <c r="J583" s="3">
        <v>3064</v>
      </c>
      <c r="K583" s="3">
        <v>15428</v>
      </c>
      <c r="L583" s="3">
        <v>20</v>
      </c>
      <c r="M583" s="3">
        <v>5409.0839550000001</v>
      </c>
    </row>
    <row r="584" spans="1:13" ht="14.25" customHeight="1" x14ac:dyDescent="0.2">
      <c r="A584" s="3" t="s">
        <v>871</v>
      </c>
      <c r="B584" s="3" t="s">
        <v>24</v>
      </c>
      <c r="C584" s="3" t="s">
        <v>32</v>
      </c>
      <c r="D584" s="3" t="s">
        <v>70</v>
      </c>
      <c r="E584" s="3" t="s">
        <v>157</v>
      </c>
      <c r="F584" s="3" t="s">
        <v>22</v>
      </c>
      <c r="G584" s="3" t="s">
        <v>19</v>
      </c>
      <c r="H584" s="3">
        <v>11697</v>
      </c>
      <c r="I584" s="3">
        <v>1</v>
      </c>
      <c r="J584" s="3">
        <v>6761</v>
      </c>
      <c r="K584" s="3">
        <v>10783</v>
      </c>
      <c r="L584" s="3">
        <v>1</v>
      </c>
      <c r="M584" s="3">
        <v>5218.0702309999997</v>
      </c>
    </row>
    <row r="585" spans="1:13" ht="14.25" customHeight="1" x14ac:dyDescent="0.2">
      <c r="A585" s="3" t="s">
        <v>872</v>
      </c>
      <c r="B585" s="3" t="s">
        <v>24</v>
      </c>
      <c r="C585" s="3" t="s">
        <v>35</v>
      </c>
      <c r="D585" s="3" t="s">
        <v>25</v>
      </c>
      <c r="E585" s="3" t="s">
        <v>873</v>
      </c>
      <c r="F585" s="3" t="s">
        <v>22</v>
      </c>
      <c r="G585" s="3" t="s">
        <v>19</v>
      </c>
      <c r="H585" s="3">
        <v>11681</v>
      </c>
      <c r="I585" s="3">
        <v>1</v>
      </c>
      <c r="J585" s="3">
        <v>4713</v>
      </c>
      <c r="K585" s="3">
        <v>8230</v>
      </c>
      <c r="L585" s="3">
        <v>1</v>
      </c>
      <c r="M585" s="3">
        <v>5216.6488790000003</v>
      </c>
    </row>
    <row r="586" spans="1:13" ht="14.25" customHeight="1" x14ac:dyDescent="0.2">
      <c r="A586" s="3" t="s">
        <v>874</v>
      </c>
      <c r="B586" s="3" t="s">
        <v>24</v>
      </c>
      <c r="C586" s="3" t="s">
        <v>35</v>
      </c>
      <c r="D586" s="3" t="s">
        <v>25</v>
      </c>
      <c r="E586" s="3" t="s">
        <v>635</v>
      </c>
      <c r="F586" s="3" t="s">
        <v>33</v>
      </c>
      <c r="G586" s="3" t="s">
        <v>114</v>
      </c>
      <c r="H586" s="3">
        <v>18537</v>
      </c>
      <c r="I586" s="3">
        <v>1</v>
      </c>
      <c r="J586" s="3">
        <v>6473</v>
      </c>
      <c r="K586" s="3">
        <v>17081</v>
      </c>
      <c r="L586" s="3">
        <v>1</v>
      </c>
      <c r="M586" s="3">
        <v>5206.2389679999997</v>
      </c>
    </row>
    <row r="587" spans="1:13" ht="14.25" customHeight="1" x14ac:dyDescent="0.2">
      <c r="A587" s="3" t="s">
        <v>875</v>
      </c>
      <c r="B587" s="3" t="s">
        <v>24</v>
      </c>
      <c r="C587" s="3" t="s">
        <v>32</v>
      </c>
      <c r="D587" s="3" t="s">
        <v>45</v>
      </c>
      <c r="E587" s="3" t="s">
        <v>111</v>
      </c>
      <c r="F587" s="3" t="s">
        <v>27</v>
      </c>
      <c r="G587" s="3" t="s">
        <v>19</v>
      </c>
      <c r="H587" s="3">
        <v>14730</v>
      </c>
      <c r="I587" s="3">
        <v>1</v>
      </c>
      <c r="J587" s="3">
        <v>1272</v>
      </c>
      <c r="K587" s="3">
        <v>12427</v>
      </c>
      <c r="L587" s="3">
        <v>1</v>
      </c>
      <c r="M587" s="3">
        <v>5190.5359980000003</v>
      </c>
    </row>
    <row r="588" spans="1:13" ht="14.25" customHeight="1" x14ac:dyDescent="0.2">
      <c r="A588" s="3" t="s">
        <v>876</v>
      </c>
      <c r="B588" s="3" t="s">
        <v>24</v>
      </c>
      <c r="C588" s="3" t="s">
        <v>15</v>
      </c>
      <c r="D588" s="3" t="s">
        <v>16</v>
      </c>
      <c r="E588" s="3" t="s">
        <v>271</v>
      </c>
      <c r="F588" s="3" t="s">
        <v>38</v>
      </c>
      <c r="G588" s="3" t="s">
        <v>19</v>
      </c>
      <c r="H588" s="3">
        <v>7187</v>
      </c>
      <c r="I588" s="3">
        <v>1</v>
      </c>
      <c r="J588" s="3">
        <v>2710</v>
      </c>
      <c r="K588" s="3">
        <v>5928</v>
      </c>
      <c r="L588" s="3">
        <v>1</v>
      </c>
      <c r="M588" s="3">
        <v>5154.8713950000001</v>
      </c>
    </row>
    <row r="589" spans="1:13" ht="14.25" customHeight="1" x14ac:dyDescent="0.2">
      <c r="A589" s="3" t="s">
        <v>877</v>
      </c>
      <c r="B589" s="3" t="s">
        <v>24</v>
      </c>
      <c r="C589" s="3" t="s">
        <v>32</v>
      </c>
      <c r="D589" s="3" t="s">
        <v>25</v>
      </c>
      <c r="E589" s="3" t="s">
        <v>72</v>
      </c>
      <c r="F589" s="3" t="s">
        <v>64</v>
      </c>
      <c r="G589" s="3" t="s">
        <v>19</v>
      </c>
      <c r="H589" s="3">
        <v>56945</v>
      </c>
      <c r="I589" s="3">
        <v>1</v>
      </c>
      <c r="J589" s="3">
        <v>20750</v>
      </c>
      <c r="K589" s="3">
        <v>50714</v>
      </c>
      <c r="L589" s="3">
        <v>6</v>
      </c>
      <c r="M589" s="3">
        <v>5144.4743710000002</v>
      </c>
    </row>
    <row r="590" spans="1:13" ht="14.25" customHeight="1" x14ac:dyDescent="0.2">
      <c r="A590" s="3" t="s">
        <v>878</v>
      </c>
      <c r="B590" s="3" t="s">
        <v>24</v>
      </c>
      <c r="C590" s="3" t="s">
        <v>29</v>
      </c>
      <c r="D590" s="3" t="s">
        <v>84</v>
      </c>
      <c r="E590" s="3" t="s">
        <v>879</v>
      </c>
      <c r="F590" s="3" t="s">
        <v>27</v>
      </c>
      <c r="G590" s="3" t="s">
        <v>19</v>
      </c>
      <c r="H590" s="3">
        <v>1136</v>
      </c>
      <c r="I590" s="3">
        <v>1</v>
      </c>
      <c r="J590" s="3">
        <v>798</v>
      </c>
      <c r="K590" s="3">
        <v>1059</v>
      </c>
      <c r="L590" s="3">
        <v>3</v>
      </c>
      <c r="M590" s="3">
        <v>5121.882603</v>
      </c>
    </row>
    <row r="591" spans="1:13" ht="14.25" customHeight="1" x14ac:dyDescent="0.2">
      <c r="A591" s="3" t="s">
        <v>880</v>
      </c>
      <c r="B591" s="3" t="s">
        <v>14</v>
      </c>
      <c r="C591" s="3" t="s">
        <v>15</v>
      </c>
      <c r="D591" s="3" t="s">
        <v>25</v>
      </c>
      <c r="E591" s="3" t="s">
        <v>706</v>
      </c>
      <c r="F591" s="3" t="s">
        <v>27</v>
      </c>
      <c r="G591" s="3" t="s">
        <v>19</v>
      </c>
      <c r="H591" s="3">
        <v>21028</v>
      </c>
      <c r="I591" s="3">
        <v>1</v>
      </c>
      <c r="J591" s="3">
        <v>5781</v>
      </c>
      <c r="K591" s="3">
        <v>16134</v>
      </c>
      <c r="L591" s="3">
        <v>11</v>
      </c>
      <c r="M591" s="3">
        <v>5101.3216549999997</v>
      </c>
    </row>
    <row r="592" spans="1:13" ht="14.25" customHeight="1" x14ac:dyDescent="0.2">
      <c r="A592" s="3" t="s">
        <v>881</v>
      </c>
      <c r="B592" s="3" t="s">
        <v>14</v>
      </c>
      <c r="C592" s="3" t="s">
        <v>32</v>
      </c>
      <c r="D592" s="3" t="s">
        <v>16</v>
      </c>
      <c r="E592" s="3" t="s">
        <v>159</v>
      </c>
      <c r="F592" s="3" t="s">
        <v>27</v>
      </c>
      <c r="G592" s="3" t="s">
        <v>19</v>
      </c>
      <c r="H592" s="3">
        <v>12879</v>
      </c>
      <c r="I592" s="3">
        <v>1</v>
      </c>
      <c r="J592" s="3">
        <v>7225</v>
      </c>
      <c r="K592" s="3">
        <v>12173</v>
      </c>
      <c r="L592" s="3">
        <v>7</v>
      </c>
      <c r="M592" s="3">
        <v>5099.2824899999996</v>
      </c>
    </row>
    <row r="593" spans="1:13" ht="14.25" customHeight="1" x14ac:dyDescent="0.2">
      <c r="A593" s="3" t="s">
        <v>882</v>
      </c>
      <c r="B593" s="3" t="s">
        <v>24</v>
      </c>
      <c r="C593" s="3" t="s">
        <v>29</v>
      </c>
      <c r="D593" s="3" t="s">
        <v>312</v>
      </c>
      <c r="E593" s="3" t="s">
        <v>883</v>
      </c>
      <c r="F593" s="3" t="s">
        <v>27</v>
      </c>
      <c r="G593" s="3" t="s">
        <v>19</v>
      </c>
      <c r="H593" s="3">
        <v>4789</v>
      </c>
      <c r="I593" s="3">
        <v>1</v>
      </c>
      <c r="J593" s="3">
        <v>2399</v>
      </c>
      <c r="K593" s="3">
        <v>4538</v>
      </c>
      <c r="L593" s="3">
        <v>5</v>
      </c>
      <c r="M593" s="3">
        <v>4945.021565</v>
      </c>
    </row>
    <row r="594" spans="1:13" ht="14.25" customHeight="1" x14ac:dyDescent="0.2">
      <c r="A594" s="3" t="s">
        <v>884</v>
      </c>
      <c r="B594" s="3" t="s">
        <v>24</v>
      </c>
      <c r="C594" s="3" t="s">
        <v>32</v>
      </c>
      <c r="D594" s="3" t="s">
        <v>70</v>
      </c>
      <c r="E594" s="3" t="s">
        <v>79</v>
      </c>
      <c r="F594" s="3" t="s">
        <v>27</v>
      </c>
      <c r="G594" s="3" t="s">
        <v>163</v>
      </c>
      <c r="H594" s="3">
        <v>29856</v>
      </c>
      <c r="I594" s="3">
        <v>1</v>
      </c>
      <c r="J594" s="3">
        <v>7664</v>
      </c>
      <c r="K594" s="3">
        <v>21698</v>
      </c>
      <c r="L594" s="3">
        <v>1</v>
      </c>
      <c r="M594" s="3">
        <v>4851.3944460000002</v>
      </c>
    </row>
    <row r="595" spans="1:13" ht="14.25" customHeight="1" x14ac:dyDescent="0.2">
      <c r="A595" s="3" t="s">
        <v>885</v>
      </c>
      <c r="B595" s="3" t="s">
        <v>14</v>
      </c>
      <c r="C595" s="3" t="s">
        <v>32</v>
      </c>
      <c r="D595" s="3" t="s">
        <v>25</v>
      </c>
      <c r="E595" s="3" t="s">
        <v>96</v>
      </c>
      <c r="F595" s="3" t="s">
        <v>27</v>
      </c>
      <c r="G595" s="3" t="s">
        <v>19</v>
      </c>
      <c r="H595" s="3">
        <v>25539</v>
      </c>
      <c r="I595" s="3">
        <v>1</v>
      </c>
      <c r="J595" s="3">
        <v>12130</v>
      </c>
      <c r="K595" s="3">
        <v>24129</v>
      </c>
      <c r="L595" s="3">
        <v>15</v>
      </c>
      <c r="M595" s="3">
        <v>4804.4932330000001</v>
      </c>
    </row>
    <row r="596" spans="1:13" ht="14.25" customHeight="1" x14ac:dyDescent="0.2">
      <c r="A596" s="3" t="s">
        <v>886</v>
      </c>
      <c r="B596" s="3" t="s">
        <v>24</v>
      </c>
      <c r="C596" s="3" t="s">
        <v>29</v>
      </c>
      <c r="D596" s="3" t="s">
        <v>43</v>
      </c>
      <c r="E596" s="3" t="s">
        <v>504</v>
      </c>
      <c r="F596" s="3" t="s">
        <v>64</v>
      </c>
      <c r="G596" s="3" t="s">
        <v>19</v>
      </c>
      <c r="H596" s="3">
        <v>8273</v>
      </c>
      <c r="I596" s="3">
        <v>1</v>
      </c>
      <c r="J596" s="3">
        <v>1929</v>
      </c>
      <c r="K596" s="3">
        <v>7441</v>
      </c>
      <c r="L596" s="3">
        <v>1</v>
      </c>
      <c r="M596" s="3">
        <v>4689.5210239999997</v>
      </c>
    </row>
    <row r="597" spans="1:13" ht="14.25" customHeight="1" x14ac:dyDescent="0.2">
      <c r="A597" s="3" t="s">
        <v>887</v>
      </c>
      <c r="B597" s="3" t="s">
        <v>68</v>
      </c>
      <c r="C597" s="3" t="s">
        <v>29</v>
      </c>
      <c r="D597" s="3" t="s">
        <v>70</v>
      </c>
      <c r="E597" s="3" t="s">
        <v>136</v>
      </c>
      <c r="F597" s="3" t="s">
        <v>22</v>
      </c>
      <c r="G597" s="3" t="s">
        <v>19</v>
      </c>
      <c r="H597" s="3">
        <v>13686</v>
      </c>
      <c r="I597" s="3">
        <v>1</v>
      </c>
      <c r="J597" s="3">
        <v>7928</v>
      </c>
      <c r="K597" s="3">
        <v>11931</v>
      </c>
      <c r="L597" s="3">
        <v>16</v>
      </c>
      <c r="M597" s="3">
        <v>4660.5603689999998</v>
      </c>
    </row>
    <row r="598" spans="1:13" ht="14.25" customHeight="1" x14ac:dyDescent="0.2">
      <c r="A598" s="3" t="s">
        <v>888</v>
      </c>
      <c r="B598" s="3" t="s">
        <v>14</v>
      </c>
      <c r="C598" s="3" t="s">
        <v>35</v>
      </c>
      <c r="D598" s="3" t="s">
        <v>70</v>
      </c>
      <c r="E598" s="3" t="s">
        <v>600</v>
      </c>
      <c r="F598" s="3" t="s">
        <v>41</v>
      </c>
      <c r="G598" s="3" t="s">
        <v>19</v>
      </c>
      <c r="H598" s="3">
        <v>7136</v>
      </c>
      <c r="I598" s="3">
        <v>1</v>
      </c>
      <c r="J598" s="3">
        <v>3411</v>
      </c>
      <c r="K598" s="3">
        <v>6798</v>
      </c>
      <c r="L598" s="3">
        <v>1</v>
      </c>
      <c r="M598" s="3">
        <v>4659.4047970000001</v>
      </c>
    </row>
    <row r="599" spans="1:13" ht="14.25" customHeight="1" x14ac:dyDescent="0.2">
      <c r="A599" s="3" t="s">
        <v>889</v>
      </c>
      <c r="B599" s="3" t="s">
        <v>14</v>
      </c>
      <c r="C599" s="3" t="s">
        <v>15</v>
      </c>
      <c r="D599" s="3" t="s">
        <v>25</v>
      </c>
      <c r="E599" s="3" t="s">
        <v>119</v>
      </c>
      <c r="F599" s="3" t="s">
        <v>27</v>
      </c>
      <c r="G599" s="3" t="s">
        <v>19</v>
      </c>
      <c r="H599" s="3">
        <v>26715</v>
      </c>
      <c r="I599" s="3">
        <v>1</v>
      </c>
      <c r="J599" s="3">
        <v>12287</v>
      </c>
      <c r="K599" s="3">
        <v>25003</v>
      </c>
      <c r="L599" s="3">
        <v>1</v>
      </c>
      <c r="M599" s="3">
        <v>4623.0896720000001</v>
      </c>
    </row>
    <row r="600" spans="1:13" ht="14.25" customHeight="1" x14ac:dyDescent="0.2">
      <c r="A600" s="3" t="s">
        <v>890</v>
      </c>
      <c r="B600" s="3" t="s">
        <v>24</v>
      </c>
      <c r="C600" s="3" t="s">
        <v>32</v>
      </c>
      <c r="D600" s="3" t="s">
        <v>16</v>
      </c>
      <c r="E600" s="3" t="s">
        <v>891</v>
      </c>
      <c r="F600" s="3" t="s">
        <v>27</v>
      </c>
      <c r="G600" s="3" t="s">
        <v>19</v>
      </c>
      <c r="H600" s="3">
        <v>4509</v>
      </c>
      <c r="I600" s="3">
        <v>1</v>
      </c>
      <c r="J600" s="3">
        <v>2702</v>
      </c>
      <c r="K600" s="3">
        <v>4299</v>
      </c>
      <c r="L600" s="3">
        <v>5</v>
      </c>
      <c r="M600" s="3">
        <v>4585.35725</v>
      </c>
    </row>
    <row r="601" spans="1:13" ht="14.25" customHeight="1" x14ac:dyDescent="0.2">
      <c r="A601" s="3" t="s">
        <v>892</v>
      </c>
      <c r="B601" s="3" t="s">
        <v>68</v>
      </c>
      <c r="C601" s="3" t="s">
        <v>29</v>
      </c>
      <c r="D601" s="3" t="s">
        <v>84</v>
      </c>
      <c r="E601" s="3" t="s">
        <v>893</v>
      </c>
      <c r="F601" s="3" t="s">
        <v>323</v>
      </c>
      <c r="G601" s="3" t="s">
        <v>19</v>
      </c>
      <c r="H601" s="3">
        <v>4300</v>
      </c>
      <c r="I601" s="3">
        <v>1</v>
      </c>
      <c r="J601" s="3">
        <v>2909</v>
      </c>
      <c r="K601" s="3">
        <v>4208</v>
      </c>
      <c r="L601" s="3">
        <v>24</v>
      </c>
      <c r="M601" s="3">
        <v>4311.8545999999997</v>
      </c>
    </row>
    <row r="602" spans="1:13" ht="14.25" customHeight="1" x14ac:dyDescent="0.2">
      <c r="A602" s="3" t="s">
        <v>894</v>
      </c>
      <c r="B602" s="3" t="s">
        <v>24</v>
      </c>
      <c r="C602" s="3" t="s">
        <v>32</v>
      </c>
      <c r="D602" s="3" t="s">
        <v>16</v>
      </c>
      <c r="E602" s="3" t="s">
        <v>895</v>
      </c>
      <c r="F602" s="3" t="s">
        <v>22</v>
      </c>
      <c r="G602" s="3" t="s">
        <v>19</v>
      </c>
      <c r="H602" s="3">
        <v>1864</v>
      </c>
      <c r="I602" s="3">
        <v>1</v>
      </c>
      <c r="J602" s="3">
        <v>513</v>
      </c>
      <c r="K602" s="3">
        <v>1471</v>
      </c>
      <c r="L602" s="3">
        <v>9</v>
      </c>
      <c r="M602" s="3">
        <v>4058.0762949999998</v>
      </c>
    </row>
    <row r="603" spans="1:13" ht="14.25" customHeight="1" x14ac:dyDescent="0.2">
      <c r="A603" s="3" t="s">
        <v>896</v>
      </c>
      <c r="B603" s="3" t="s">
        <v>14</v>
      </c>
      <c r="C603" s="3" t="s">
        <v>29</v>
      </c>
      <c r="D603" s="3" t="s">
        <v>16</v>
      </c>
      <c r="E603" s="3" t="s">
        <v>853</v>
      </c>
      <c r="F603" s="3" t="s">
        <v>27</v>
      </c>
      <c r="G603" s="3" t="s">
        <v>19</v>
      </c>
      <c r="H603" s="3">
        <v>4521</v>
      </c>
      <c r="I603" s="3">
        <v>1</v>
      </c>
      <c r="J603" s="3">
        <v>3385</v>
      </c>
      <c r="K603" s="3">
        <v>4145</v>
      </c>
      <c r="L603" s="3">
        <v>9</v>
      </c>
      <c r="M603" s="3">
        <v>3842.3029040000001</v>
      </c>
    </row>
    <row r="604" spans="1:13" ht="14.25" customHeight="1" x14ac:dyDescent="0.2">
      <c r="A604" s="3" t="s">
        <v>897</v>
      </c>
      <c r="B604" s="3" t="s">
        <v>14</v>
      </c>
      <c r="C604" s="3" t="s">
        <v>35</v>
      </c>
      <c r="D604" s="3" t="s">
        <v>70</v>
      </c>
      <c r="E604" s="3" t="s">
        <v>177</v>
      </c>
      <c r="F604" s="3" t="s">
        <v>27</v>
      </c>
      <c r="G604" s="3" t="s">
        <v>19</v>
      </c>
      <c r="H604" s="3">
        <v>18771</v>
      </c>
      <c r="I604" s="3">
        <v>1</v>
      </c>
      <c r="J604" s="3">
        <v>10871</v>
      </c>
      <c r="K604" s="3">
        <v>17138</v>
      </c>
      <c r="L604" s="3">
        <v>3</v>
      </c>
      <c r="M604" s="3">
        <v>3827.3663809999998</v>
      </c>
    </row>
    <row r="605" spans="1:13" ht="14.25" customHeight="1" x14ac:dyDescent="0.2">
      <c r="A605" s="3" t="s">
        <v>898</v>
      </c>
      <c r="B605" s="3" t="s">
        <v>24</v>
      </c>
      <c r="C605" s="3" t="s">
        <v>15</v>
      </c>
      <c r="D605" s="3" t="s">
        <v>66</v>
      </c>
      <c r="E605" s="3" t="s">
        <v>645</v>
      </c>
      <c r="F605" s="3" t="s">
        <v>27</v>
      </c>
      <c r="G605" s="3" t="s">
        <v>19</v>
      </c>
      <c r="H605" s="3">
        <v>11420</v>
      </c>
      <c r="I605" s="3">
        <v>1</v>
      </c>
      <c r="J605" s="3">
        <v>4647</v>
      </c>
      <c r="K605" s="3">
        <v>9909</v>
      </c>
      <c r="L605" s="3">
        <v>1</v>
      </c>
      <c r="M605" s="3">
        <v>3804.64417</v>
      </c>
    </row>
    <row r="606" spans="1:13" ht="14.25" customHeight="1" x14ac:dyDescent="0.2">
      <c r="A606" s="3" t="s">
        <v>899</v>
      </c>
      <c r="B606" s="3" t="s">
        <v>68</v>
      </c>
      <c r="C606" s="3" t="s">
        <v>29</v>
      </c>
      <c r="D606" s="3" t="s">
        <v>70</v>
      </c>
      <c r="E606" s="3" t="s">
        <v>900</v>
      </c>
      <c r="F606" s="3" t="s">
        <v>41</v>
      </c>
      <c r="G606" s="3" t="s">
        <v>19</v>
      </c>
      <c r="H606" s="3">
        <v>565</v>
      </c>
      <c r="I606" s="3">
        <v>1</v>
      </c>
      <c r="J606" s="3">
        <v>259</v>
      </c>
      <c r="K606" s="3">
        <v>474</v>
      </c>
      <c r="L606" s="3">
        <v>2</v>
      </c>
      <c r="M606" s="3">
        <v>3779.0209300000001</v>
      </c>
    </row>
    <row r="607" spans="1:13" ht="14.25" customHeight="1" x14ac:dyDescent="0.2">
      <c r="A607" s="3" t="s">
        <v>901</v>
      </c>
      <c r="B607" s="3" t="s">
        <v>24</v>
      </c>
      <c r="C607" s="3" t="s">
        <v>35</v>
      </c>
      <c r="D607" s="3" t="s">
        <v>25</v>
      </c>
      <c r="E607" s="3" t="s">
        <v>263</v>
      </c>
      <c r="F607" s="3" t="s">
        <v>33</v>
      </c>
      <c r="G607" s="3" t="s">
        <v>19</v>
      </c>
      <c r="H607" s="3">
        <v>49014</v>
      </c>
      <c r="I607" s="3">
        <v>1</v>
      </c>
      <c r="J607" s="3">
        <v>30349</v>
      </c>
      <c r="K607" s="3">
        <v>46446</v>
      </c>
      <c r="L607" s="3">
        <v>4</v>
      </c>
      <c r="M607" s="3">
        <v>3628.3461699999998</v>
      </c>
    </row>
    <row r="608" spans="1:13" ht="14.25" customHeight="1" x14ac:dyDescent="0.2">
      <c r="A608" s="3" t="s">
        <v>902</v>
      </c>
      <c r="B608" s="3" t="s">
        <v>24</v>
      </c>
      <c r="C608" s="3" t="s">
        <v>35</v>
      </c>
      <c r="D608" s="3" t="s">
        <v>16</v>
      </c>
      <c r="E608" s="3" t="s">
        <v>523</v>
      </c>
      <c r="F608" s="3" t="s">
        <v>41</v>
      </c>
      <c r="G608" s="3" t="s">
        <v>19</v>
      </c>
      <c r="H608" s="3">
        <v>13100</v>
      </c>
      <c r="I608" s="3">
        <v>1</v>
      </c>
      <c r="J608" s="3">
        <v>6507</v>
      </c>
      <c r="K608" s="3">
        <v>10895</v>
      </c>
      <c r="L608" s="3">
        <v>1</v>
      </c>
      <c r="M608" s="3">
        <v>3411.590029</v>
      </c>
    </row>
    <row r="609" spans="1:13" ht="14.25" customHeight="1" x14ac:dyDescent="0.2">
      <c r="A609" s="3" t="s">
        <v>903</v>
      </c>
      <c r="B609" s="3" t="s">
        <v>24</v>
      </c>
      <c r="C609" s="3" t="s">
        <v>15</v>
      </c>
      <c r="D609" s="3" t="s">
        <v>25</v>
      </c>
      <c r="E609" s="3" t="s">
        <v>904</v>
      </c>
      <c r="F609" s="3" t="s">
        <v>27</v>
      </c>
      <c r="G609" s="3" t="s">
        <v>19</v>
      </c>
      <c r="H609" s="3">
        <v>9328</v>
      </c>
      <c r="I609" s="3">
        <v>1</v>
      </c>
      <c r="J609" s="3">
        <v>7102</v>
      </c>
      <c r="K609" s="3">
        <v>8925</v>
      </c>
      <c r="L609" s="3">
        <v>1</v>
      </c>
      <c r="M609" s="3">
        <v>3408.0760489999998</v>
      </c>
    </row>
    <row r="610" spans="1:13" ht="14.25" customHeight="1" x14ac:dyDescent="0.2">
      <c r="A610" s="3" t="s">
        <v>905</v>
      </c>
      <c r="B610" s="3" t="s">
        <v>24</v>
      </c>
      <c r="C610" s="3" t="s">
        <v>29</v>
      </c>
      <c r="D610" s="3" t="s">
        <v>25</v>
      </c>
      <c r="E610" s="3" t="s">
        <v>478</v>
      </c>
      <c r="F610" s="3" t="s">
        <v>27</v>
      </c>
      <c r="G610" s="3" t="s">
        <v>163</v>
      </c>
      <c r="H610" s="3">
        <v>7447</v>
      </c>
      <c r="I610" s="3">
        <v>1</v>
      </c>
      <c r="J610" s="3">
        <v>4163</v>
      </c>
      <c r="K610" s="3">
        <v>5586</v>
      </c>
      <c r="L610" s="3">
        <v>19</v>
      </c>
      <c r="M610" s="3">
        <v>3311.9412459999999</v>
      </c>
    </row>
    <row r="611" spans="1:13" ht="14.25" customHeight="1" x14ac:dyDescent="0.2">
      <c r="A611" s="3" t="s">
        <v>906</v>
      </c>
      <c r="B611" s="3" t="s">
        <v>68</v>
      </c>
      <c r="C611" s="3" t="s">
        <v>15</v>
      </c>
      <c r="D611" s="3" t="s">
        <v>16</v>
      </c>
      <c r="E611" s="3" t="s">
        <v>907</v>
      </c>
      <c r="F611" s="3" t="s">
        <v>22</v>
      </c>
      <c r="G611" s="3" t="s">
        <v>19</v>
      </c>
      <c r="H611" s="3">
        <v>4975</v>
      </c>
      <c r="I611" s="3">
        <v>1</v>
      </c>
      <c r="J611" s="3">
        <v>1757</v>
      </c>
      <c r="K611" s="3">
        <v>4498</v>
      </c>
      <c r="L611" s="3">
        <v>11</v>
      </c>
      <c r="M611" s="3">
        <v>3307.5648630000001</v>
      </c>
    </row>
    <row r="612" spans="1:13" ht="14.25" customHeight="1" x14ac:dyDescent="0.2">
      <c r="A612" s="3" t="s">
        <v>908</v>
      </c>
      <c r="B612" s="3" t="s">
        <v>24</v>
      </c>
      <c r="C612" s="3" t="s">
        <v>32</v>
      </c>
      <c r="D612" s="3" t="s">
        <v>532</v>
      </c>
      <c r="E612" s="3" t="s">
        <v>909</v>
      </c>
      <c r="F612" s="3" t="s">
        <v>27</v>
      </c>
      <c r="G612" s="3" t="s">
        <v>19</v>
      </c>
      <c r="H612" s="3">
        <v>8730</v>
      </c>
      <c r="I612" s="3">
        <v>1</v>
      </c>
      <c r="J612" s="3">
        <v>3725</v>
      </c>
      <c r="K612" s="3">
        <v>7413</v>
      </c>
      <c r="L612" s="3">
        <v>1</v>
      </c>
      <c r="M612" s="3">
        <v>3268.007134</v>
      </c>
    </row>
    <row r="613" spans="1:13" ht="14.25" customHeight="1" x14ac:dyDescent="0.2">
      <c r="A613" s="3" t="s">
        <v>910</v>
      </c>
      <c r="B613" s="3" t="s">
        <v>14</v>
      </c>
      <c r="C613" s="3" t="s">
        <v>32</v>
      </c>
      <c r="D613" s="3" t="s">
        <v>70</v>
      </c>
      <c r="E613" s="3" t="s">
        <v>911</v>
      </c>
      <c r="F613" s="3" t="s">
        <v>27</v>
      </c>
      <c r="G613" s="3" t="s">
        <v>19</v>
      </c>
      <c r="H613" s="3">
        <v>10093</v>
      </c>
      <c r="I613" s="3">
        <v>1</v>
      </c>
      <c r="J613" s="3">
        <v>3901</v>
      </c>
      <c r="K613" s="3">
        <v>9645</v>
      </c>
      <c r="L613" s="3">
        <v>1</v>
      </c>
      <c r="M613" s="3">
        <v>3105.2830039999999</v>
      </c>
    </row>
    <row r="614" spans="1:13" ht="14.25" customHeight="1" x14ac:dyDescent="0.2">
      <c r="A614" s="3" t="s">
        <v>912</v>
      </c>
      <c r="B614" s="3" t="s">
        <v>24</v>
      </c>
      <c r="C614" s="3" t="s">
        <v>15</v>
      </c>
      <c r="D614" s="3" t="s">
        <v>16</v>
      </c>
      <c r="E614" s="3" t="s">
        <v>913</v>
      </c>
      <c r="F614" s="3" t="s">
        <v>22</v>
      </c>
      <c r="G614" s="3" t="s">
        <v>19</v>
      </c>
      <c r="H614" s="3">
        <v>18458</v>
      </c>
      <c r="I614" s="3">
        <v>1</v>
      </c>
      <c r="J614" s="3">
        <v>3623</v>
      </c>
      <c r="K614" s="3">
        <v>16934</v>
      </c>
      <c r="L614" s="3">
        <v>3</v>
      </c>
      <c r="M614" s="3">
        <v>2866.4966709999999</v>
      </c>
    </row>
    <row r="615" spans="1:13" ht="14.25" customHeight="1" x14ac:dyDescent="0.2">
      <c r="A615" s="3" t="s">
        <v>914</v>
      </c>
      <c r="B615" s="3" t="s">
        <v>14</v>
      </c>
      <c r="C615" s="3" t="s">
        <v>15</v>
      </c>
      <c r="D615" s="3" t="s">
        <v>915</v>
      </c>
      <c r="E615" s="3" t="s">
        <v>406</v>
      </c>
      <c r="F615" s="3" t="s">
        <v>41</v>
      </c>
      <c r="G615" s="3" t="s">
        <v>19</v>
      </c>
      <c r="H615" s="3">
        <v>68114</v>
      </c>
      <c r="I615" s="3">
        <v>1</v>
      </c>
      <c r="J615" s="3">
        <v>569</v>
      </c>
      <c r="K615" s="3">
        <v>2059</v>
      </c>
      <c r="L615" s="3">
        <v>15</v>
      </c>
      <c r="M615" s="3">
        <v>2753.7119859999998</v>
      </c>
    </row>
    <row r="616" spans="1:13" ht="14.25" customHeight="1" x14ac:dyDescent="0.2">
      <c r="A616" s="3" t="s">
        <v>916</v>
      </c>
      <c r="B616" s="3" t="s">
        <v>24</v>
      </c>
      <c r="C616" s="3" t="s">
        <v>29</v>
      </c>
      <c r="D616" s="3" t="s">
        <v>74</v>
      </c>
      <c r="E616" s="3" t="s">
        <v>825</v>
      </c>
      <c r="F616" s="3" t="s">
        <v>58</v>
      </c>
      <c r="G616" s="3" t="s">
        <v>114</v>
      </c>
      <c r="H616" s="3">
        <v>3489</v>
      </c>
      <c r="I616" s="3">
        <v>1</v>
      </c>
      <c r="J616" s="3">
        <v>1426</v>
      </c>
      <c r="K616" s="3">
        <v>2214</v>
      </c>
      <c r="L616" s="3">
        <v>1</v>
      </c>
      <c r="M616" s="3">
        <v>2668.6065560000002</v>
      </c>
    </row>
    <row r="617" spans="1:13" ht="14.25" customHeight="1" x14ac:dyDescent="0.2">
      <c r="A617" s="3" t="s">
        <v>917</v>
      </c>
      <c r="B617" s="3" t="s">
        <v>24</v>
      </c>
      <c r="C617" s="3" t="s">
        <v>15</v>
      </c>
      <c r="D617" s="3" t="s">
        <v>70</v>
      </c>
      <c r="E617" s="3" t="s">
        <v>918</v>
      </c>
      <c r="F617" s="3" t="s">
        <v>22</v>
      </c>
      <c r="G617" s="3" t="s">
        <v>19</v>
      </c>
      <c r="H617" s="3">
        <v>10653</v>
      </c>
      <c r="I617" s="3">
        <v>1</v>
      </c>
      <c r="J617" s="3">
        <v>5263</v>
      </c>
      <c r="K617" s="3">
        <v>9921</v>
      </c>
      <c r="L617" s="3">
        <v>11</v>
      </c>
      <c r="M617" s="3">
        <v>2641.4783969999999</v>
      </c>
    </row>
    <row r="618" spans="1:13" ht="14.25" customHeight="1" x14ac:dyDescent="0.2">
      <c r="A618" s="3" t="s">
        <v>919</v>
      </c>
      <c r="B618" s="3" t="s">
        <v>24</v>
      </c>
      <c r="C618" s="3" t="s">
        <v>15</v>
      </c>
      <c r="D618" s="3" t="s">
        <v>174</v>
      </c>
      <c r="E618" s="3" t="s">
        <v>920</v>
      </c>
      <c r="F618" s="3" t="s">
        <v>27</v>
      </c>
      <c r="G618" s="3" t="s">
        <v>19</v>
      </c>
      <c r="H618" s="3">
        <v>13183</v>
      </c>
      <c r="I618" s="3">
        <v>1</v>
      </c>
      <c r="J618" s="3">
        <v>4337</v>
      </c>
      <c r="K618" s="3">
        <v>10596</v>
      </c>
      <c r="L618" s="3">
        <v>1</v>
      </c>
      <c r="M618" s="3">
        <v>2430.2436640000001</v>
      </c>
    </row>
    <row r="619" spans="1:13" ht="14.25" customHeight="1" x14ac:dyDescent="0.2">
      <c r="A619" s="3" t="s">
        <v>921</v>
      </c>
      <c r="B619" s="3" t="s">
        <v>24</v>
      </c>
      <c r="C619" s="3" t="s">
        <v>15</v>
      </c>
      <c r="D619" s="3" t="s">
        <v>503</v>
      </c>
      <c r="E619" s="3" t="s">
        <v>166</v>
      </c>
      <c r="F619" s="3" t="s">
        <v>27</v>
      </c>
      <c r="G619" s="3" t="s">
        <v>19</v>
      </c>
      <c r="H619" s="3">
        <v>17620</v>
      </c>
      <c r="I619" s="3">
        <v>1</v>
      </c>
      <c r="J619" s="3">
        <v>11197</v>
      </c>
      <c r="K619" s="3">
        <v>16687</v>
      </c>
      <c r="L619" s="3">
        <v>3</v>
      </c>
      <c r="M619" s="3">
        <v>2407.7943249999998</v>
      </c>
    </row>
    <row r="620" spans="1:13" ht="14.25" customHeight="1" x14ac:dyDescent="0.2">
      <c r="A620" s="3" t="s">
        <v>922</v>
      </c>
      <c r="B620" s="3" t="s">
        <v>14</v>
      </c>
      <c r="C620" s="3" t="s">
        <v>35</v>
      </c>
      <c r="D620" s="3" t="s">
        <v>25</v>
      </c>
      <c r="E620" s="3" t="s">
        <v>409</v>
      </c>
      <c r="F620" s="3" t="s">
        <v>27</v>
      </c>
      <c r="G620" s="3" t="s">
        <v>19</v>
      </c>
      <c r="H620" s="3">
        <v>16239</v>
      </c>
      <c r="I620" s="3">
        <v>1</v>
      </c>
      <c r="J620" s="3">
        <v>9375</v>
      </c>
      <c r="K620" s="3">
        <v>15562</v>
      </c>
      <c r="L620" s="3">
        <v>1</v>
      </c>
      <c r="M620" s="3">
        <v>2387.686295</v>
      </c>
    </row>
    <row r="621" spans="1:13" ht="14.25" customHeight="1" x14ac:dyDescent="0.2">
      <c r="A621" s="3" t="s">
        <v>923</v>
      </c>
      <c r="B621" s="3" t="s">
        <v>24</v>
      </c>
      <c r="C621" s="3" t="s">
        <v>15</v>
      </c>
      <c r="D621" s="3" t="s">
        <v>70</v>
      </c>
      <c r="E621" s="3" t="s">
        <v>924</v>
      </c>
      <c r="F621" s="3" t="s">
        <v>27</v>
      </c>
      <c r="G621" s="3" t="s">
        <v>163</v>
      </c>
      <c r="H621" s="3">
        <v>5322</v>
      </c>
      <c r="I621" s="3">
        <v>1</v>
      </c>
      <c r="J621" s="3">
        <v>2688</v>
      </c>
      <c r="K621" s="3">
        <v>4263</v>
      </c>
      <c r="L621" s="3">
        <v>2</v>
      </c>
      <c r="M621" s="3">
        <v>2363.066554</v>
      </c>
    </row>
    <row r="622" spans="1:13" ht="14.25" customHeight="1" x14ac:dyDescent="0.2">
      <c r="A622" s="3" t="s">
        <v>925</v>
      </c>
      <c r="B622" s="3" t="s">
        <v>24</v>
      </c>
      <c r="C622" s="3" t="s">
        <v>35</v>
      </c>
      <c r="D622" s="3" t="s">
        <v>121</v>
      </c>
      <c r="E622" s="3" t="s">
        <v>926</v>
      </c>
      <c r="F622" s="3" t="s">
        <v>27</v>
      </c>
      <c r="G622" s="3" t="s">
        <v>19</v>
      </c>
      <c r="H622" s="3">
        <v>10485</v>
      </c>
      <c r="I622" s="3">
        <v>1</v>
      </c>
      <c r="J622" s="3">
        <v>4255</v>
      </c>
      <c r="K622" s="3">
        <v>7669</v>
      </c>
      <c r="L622" s="3">
        <v>1</v>
      </c>
      <c r="M622" s="3">
        <v>2239.262819</v>
      </c>
    </row>
    <row r="623" spans="1:13" ht="14.25" customHeight="1" x14ac:dyDescent="0.2">
      <c r="A623" s="3" t="s">
        <v>927</v>
      </c>
      <c r="B623" s="3" t="s">
        <v>24</v>
      </c>
      <c r="C623" s="3" t="s">
        <v>35</v>
      </c>
      <c r="D623" s="3" t="s">
        <v>70</v>
      </c>
      <c r="E623" s="3" t="s">
        <v>928</v>
      </c>
      <c r="F623" s="3" t="s">
        <v>27</v>
      </c>
      <c r="G623" s="3" t="s">
        <v>19</v>
      </c>
      <c r="H623" s="3">
        <v>7472</v>
      </c>
      <c r="I623" s="3">
        <v>1</v>
      </c>
      <c r="J623" s="3">
        <v>1191</v>
      </c>
      <c r="K623" s="3">
        <v>5883</v>
      </c>
      <c r="L623" s="3">
        <v>1</v>
      </c>
      <c r="M623" s="3">
        <v>2183.952037</v>
      </c>
    </row>
    <row r="624" spans="1:13" ht="14.25" customHeight="1" x14ac:dyDescent="0.2">
      <c r="A624" s="3" t="s">
        <v>929</v>
      </c>
      <c r="B624" s="3" t="s">
        <v>14</v>
      </c>
      <c r="C624" s="3" t="s">
        <v>15</v>
      </c>
      <c r="D624" s="3" t="s">
        <v>45</v>
      </c>
      <c r="E624" s="3" t="s">
        <v>635</v>
      </c>
      <c r="F624" s="3" t="s">
        <v>41</v>
      </c>
      <c r="G624" s="3" t="s">
        <v>19</v>
      </c>
      <c r="H624" s="3">
        <v>12488</v>
      </c>
      <c r="I624" s="3">
        <v>1</v>
      </c>
      <c r="J624" s="3">
        <v>4021</v>
      </c>
      <c r="K624" s="3">
        <v>11403</v>
      </c>
      <c r="L624" s="3">
        <v>1</v>
      </c>
      <c r="M624" s="3">
        <v>2176.6574690000002</v>
      </c>
    </row>
    <row r="625" spans="1:13" ht="14.25" customHeight="1" x14ac:dyDescent="0.2">
      <c r="A625" s="3" t="s">
        <v>930</v>
      </c>
      <c r="B625" s="3" t="s">
        <v>14</v>
      </c>
      <c r="C625" s="3" t="s">
        <v>15</v>
      </c>
      <c r="D625" s="3" t="s">
        <v>25</v>
      </c>
      <c r="E625" s="3" t="s">
        <v>250</v>
      </c>
      <c r="F625" s="3" t="s">
        <v>38</v>
      </c>
      <c r="G625" s="3" t="s">
        <v>19</v>
      </c>
      <c r="H625" s="3">
        <v>51515</v>
      </c>
      <c r="I625" s="3">
        <v>1</v>
      </c>
      <c r="J625" s="3">
        <v>18304</v>
      </c>
      <c r="K625" s="3">
        <v>44891</v>
      </c>
      <c r="L625" s="3">
        <v>14</v>
      </c>
      <c r="M625" s="3">
        <v>2160.3073250000002</v>
      </c>
    </row>
    <row r="626" spans="1:13" ht="14.25" customHeight="1" x14ac:dyDescent="0.2">
      <c r="A626" s="3" t="s">
        <v>931</v>
      </c>
      <c r="B626" s="3" t="s">
        <v>14</v>
      </c>
      <c r="C626" s="3" t="s">
        <v>32</v>
      </c>
      <c r="D626" s="3" t="s">
        <v>43</v>
      </c>
      <c r="E626" s="3" t="s">
        <v>269</v>
      </c>
      <c r="F626" s="3" t="s">
        <v>22</v>
      </c>
      <c r="G626" s="3" t="s">
        <v>19</v>
      </c>
      <c r="H626" s="3">
        <v>4780</v>
      </c>
      <c r="I626" s="3">
        <v>1</v>
      </c>
      <c r="J626" s="3">
        <v>2156</v>
      </c>
      <c r="K626" s="3">
        <v>4558</v>
      </c>
      <c r="L626" s="3">
        <v>10</v>
      </c>
      <c r="M626" s="3">
        <v>2136.0819900000001</v>
      </c>
    </row>
    <row r="627" spans="1:13" ht="14.25" customHeight="1" x14ac:dyDescent="0.2">
      <c r="A627" s="3" t="s">
        <v>932</v>
      </c>
      <c r="B627" s="3" t="s">
        <v>24</v>
      </c>
      <c r="C627" s="3" t="s">
        <v>15</v>
      </c>
      <c r="D627" s="3" t="s">
        <v>16</v>
      </c>
      <c r="E627" s="3" t="s">
        <v>933</v>
      </c>
      <c r="F627" s="3" t="s">
        <v>22</v>
      </c>
      <c r="G627" s="3" t="s">
        <v>163</v>
      </c>
      <c r="H627" s="3">
        <v>12770</v>
      </c>
      <c r="I627" s="3">
        <v>1</v>
      </c>
      <c r="J627" s="3">
        <v>6224</v>
      </c>
      <c r="K627" s="3">
        <v>11110</v>
      </c>
      <c r="L627" s="3">
        <v>21</v>
      </c>
      <c r="M627" s="3">
        <v>2087.5098269999999</v>
      </c>
    </row>
    <row r="628" spans="1:13" ht="14.25" customHeight="1" x14ac:dyDescent="0.2">
      <c r="A628" s="3" t="s">
        <v>934</v>
      </c>
      <c r="B628" s="3" t="s">
        <v>14</v>
      </c>
      <c r="C628" s="3" t="s">
        <v>32</v>
      </c>
      <c r="D628" s="3" t="s">
        <v>25</v>
      </c>
      <c r="E628" s="3" t="s">
        <v>40</v>
      </c>
      <c r="F628" s="3" t="s">
        <v>27</v>
      </c>
      <c r="G628" s="3" t="s">
        <v>19</v>
      </c>
      <c r="H628" s="3">
        <v>80456</v>
      </c>
      <c r="I628" s="3">
        <v>1</v>
      </c>
      <c r="J628" s="3">
        <v>46039</v>
      </c>
      <c r="K628" s="3">
        <v>65383</v>
      </c>
      <c r="L628" s="3">
        <v>3</v>
      </c>
      <c r="M628" s="3">
        <v>2039.848792</v>
      </c>
    </row>
    <row r="629" spans="1:13" ht="14.25" customHeight="1" x14ac:dyDescent="0.2">
      <c r="A629" s="3" t="s">
        <v>935</v>
      </c>
      <c r="B629" s="3" t="s">
        <v>68</v>
      </c>
      <c r="C629" s="3" t="s">
        <v>35</v>
      </c>
      <c r="D629" s="3" t="s">
        <v>66</v>
      </c>
      <c r="E629" s="3" t="s">
        <v>554</v>
      </c>
      <c r="F629" s="3" t="s">
        <v>27</v>
      </c>
      <c r="G629" s="3" t="s">
        <v>19</v>
      </c>
      <c r="H629" s="3">
        <v>53561</v>
      </c>
      <c r="I629" s="3">
        <v>1</v>
      </c>
      <c r="J629" s="3">
        <v>37063</v>
      </c>
      <c r="K629" s="3">
        <v>51480</v>
      </c>
      <c r="L629" s="3">
        <v>14</v>
      </c>
      <c r="M629" s="3">
        <v>2039.3550600000001</v>
      </c>
    </row>
    <row r="630" spans="1:13" ht="14.25" customHeight="1" x14ac:dyDescent="0.2">
      <c r="A630" s="3" t="s">
        <v>936</v>
      </c>
      <c r="B630" s="3" t="s">
        <v>24</v>
      </c>
      <c r="C630" s="3" t="s">
        <v>35</v>
      </c>
      <c r="D630" s="3" t="s">
        <v>70</v>
      </c>
      <c r="E630" s="3" t="s">
        <v>17</v>
      </c>
      <c r="F630" s="3" t="s">
        <v>41</v>
      </c>
      <c r="G630" s="3" t="s">
        <v>19</v>
      </c>
      <c r="H630" s="3">
        <v>13700</v>
      </c>
      <c r="I630" s="3">
        <v>1</v>
      </c>
      <c r="J630" s="3">
        <v>3609</v>
      </c>
      <c r="K630" s="3">
        <v>12644</v>
      </c>
      <c r="L630" s="3">
        <v>1</v>
      </c>
      <c r="M630" s="3">
        <v>2032.700147</v>
      </c>
    </row>
    <row r="631" spans="1:13" ht="14.25" customHeight="1" x14ac:dyDescent="0.2">
      <c r="A631" s="3" t="s">
        <v>937</v>
      </c>
      <c r="B631" s="3" t="s">
        <v>24</v>
      </c>
      <c r="C631" s="3" t="s">
        <v>15</v>
      </c>
      <c r="D631" s="3" t="s">
        <v>447</v>
      </c>
      <c r="E631" s="3" t="s">
        <v>938</v>
      </c>
      <c r="F631" s="3" t="s">
        <v>76</v>
      </c>
      <c r="G631" s="3" t="s">
        <v>163</v>
      </c>
      <c r="H631" s="3">
        <v>6198</v>
      </c>
      <c r="I631" s="3">
        <v>1</v>
      </c>
      <c r="J631" s="3">
        <v>1297</v>
      </c>
      <c r="K631" s="3">
        <v>5737</v>
      </c>
      <c r="L631" s="3">
        <v>1</v>
      </c>
      <c r="M631" s="3">
        <v>2006.9516570000001</v>
      </c>
    </row>
    <row r="632" spans="1:13" ht="14.25" customHeight="1" x14ac:dyDescent="0.2">
      <c r="A632" s="3" t="s">
        <v>939</v>
      </c>
      <c r="B632" s="3" t="s">
        <v>14</v>
      </c>
      <c r="C632" s="3" t="s">
        <v>29</v>
      </c>
      <c r="D632" s="3" t="s">
        <v>940</v>
      </c>
      <c r="E632" s="3" t="s">
        <v>941</v>
      </c>
      <c r="F632" s="3" t="s">
        <v>38</v>
      </c>
      <c r="G632" s="3" t="s">
        <v>19</v>
      </c>
      <c r="H632" s="3">
        <v>19829</v>
      </c>
      <c r="I632" s="3">
        <v>1</v>
      </c>
      <c r="J632" s="3">
        <v>15071</v>
      </c>
      <c r="K632" s="3">
        <v>19095</v>
      </c>
      <c r="L632" s="3">
        <v>2</v>
      </c>
      <c r="M632" s="3">
        <v>1952.4637729999999</v>
      </c>
    </row>
    <row r="633" spans="1:13" ht="14.25" customHeight="1" x14ac:dyDescent="0.2">
      <c r="A633" s="3" t="s">
        <v>942</v>
      </c>
      <c r="B633" s="3" t="s">
        <v>24</v>
      </c>
      <c r="C633" s="3" t="s">
        <v>15</v>
      </c>
      <c r="D633" s="3" t="s">
        <v>155</v>
      </c>
      <c r="E633" s="3" t="s">
        <v>847</v>
      </c>
      <c r="F633" s="3" t="s">
        <v>27</v>
      </c>
      <c r="G633" s="3" t="s">
        <v>19</v>
      </c>
      <c r="H633" s="3">
        <v>10883</v>
      </c>
      <c r="I633" s="3">
        <v>1</v>
      </c>
      <c r="J633" s="3">
        <v>1652</v>
      </c>
      <c r="K633" s="3">
        <v>8869</v>
      </c>
      <c r="L633" s="3">
        <v>16</v>
      </c>
      <c r="M633" s="3">
        <v>1942.482395</v>
      </c>
    </row>
    <row r="634" spans="1:13" ht="14.25" customHeight="1" x14ac:dyDescent="0.2">
      <c r="A634" s="3" t="s">
        <v>943</v>
      </c>
      <c r="B634" s="3" t="s">
        <v>68</v>
      </c>
      <c r="C634" s="3" t="s">
        <v>15</v>
      </c>
      <c r="D634" s="3" t="s">
        <v>78</v>
      </c>
      <c r="E634" s="3" t="s">
        <v>944</v>
      </c>
      <c r="F634" s="3" t="s">
        <v>41</v>
      </c>
      <c r="G634" s="3" t="s">
        <v>19</v>
      </c>
      <c r="H634" s="3">
        <v>7531</v>
      </c>
      <c r="I634" s="3">
        <v>1</v>
      </c>
      <c r="J634" s="3">
        <v>3059</v>
      </c>
      <c r="K634" s="3">
        <v>6523</v>
      </c>
      <c r="L634" s="3">
        <v>1</v>
      </c>
      <c r="M634" s="3">
        <v>1937.0583879999999</v>
      </c>
    </row>
    <row r="635" spans="1:13" ht="14.25" customHeight="1" x14ac:dyDescent="0.2">
      <c r="A635" s="3" t="s">
        <v>945</v>
      </c>
      <c r="B635" s="3" t="s">
        <v>14</v>
      </c>
      <c r="C635" s="3" t="s">
        <v>29</v>
      </c>
      <c r="D635" s="3" t="s">
        <v>915</v>
      </c>
      <c r="E635" s="3" t="s">
        <v>199</v>
      </c>
      <c r="F635" s="3" t="s">
        <v>27</v>
      </c>
      <c r="G635" s="3" t="s">
        <v>19</v>
      </c>
      <c r="H635" s="3">
        <v>1282</v>
      </c>
      <c r="I635" s="3">
        <v>1</v>
      </c>
      <c r="J635" s="3">
        <v>646</v>
      </c>
      <c r="K635" s="3">
        <v>1132</v>
      </c>
      <c r="L635" s="3">
        <v>2</v>
      </c>
      <c r="M635" s="3">
        <v>1915.523813</v>
      </c>
    </row>
    <row r="636" spans="1:13" ht="14.25" customHeight="1" x14ac:dyDescent="0.2">
      <c r="A636" s="3" t="s">
        <v>946</v>
      </c>
      <c r="B636" s="3" t="s">
        <v>24</v>
      </c>
      <c r="C636" s="3" t="s">
        <v>29</v>
      </c>
      <c r="D636" s="3" t="s">
        <v>503</v>
      </c>
      <c r="E636" s="3" t="s">
        <v>431</v>
      </c>
      <c r="F636" s="3" t="s">
        <v>27</v>
      </c>
      <c r="G636" s="3" t="s">
        <v>163</v>
      </c>
      <c r="H636" s="3">
        <v>11043</v>
      </c>
      <c r="I636" s="3">
        <v>1</v>
      </c>
      <c r="J636" s="3">
        <v>4547</v>
      </c>
      <c r="K636" s="3">
        <v>9666</v>
      </c>
      <c r="L636" s="3">
        <v>13</v>
      </c>
      <c r="M636" s="3">
        <v>1858.132171</v>
      </c>
    </row>
    <row r="637" spans="1:13" ht="14.25" customHeight="1" x14ac:dyDescent="0.2">
      <c r="A637" s="3" t="s">
        <v>947</v>
      </c>
      <c r="B637" s="3" t="s">
        <v>24</v>
      </c>
      <c r="C637" s="3" t="s">
        <v>15</v>
      </c>
      <c r="D637" s="3" t="s">
        <v>367</v>
      </c>
      <c r="E637" s="3" t="s">
        <v>831</v>
      </c>
      <c r="F637" s="3" t="s">
        <v>41</v>
      </c>
      <c r="G637" s="3" t="s">
        <v>114</v>
      </c>
      <c r="H637" s="3">
        <v>57257</v>
      </c>
      <c r="I637" s="3">
        <v>1</v>
      </c>
      <c r="J637" s="3">
        <v>3797</v>
      </c>
      <c r="K637" s="3">
        <v>51520</v>
      </c>
      <c r="L637" s="3">
        <v>1</v>
      </c>
      <c r="M637" s="3">
        <v>1841.3581260000001</v>
      </c>
    </row>
    <row r="638" spans="1:13" ht="14.25" customHeight="1" x14ac:dyDescent="0.2">
      <c r="A638" s="3" t="s">
        <v>948</v>
      </c>
      <c r="B638" s="3" t="s">
        <v>24</v>
      </c>
      <c r="C638" s="3" t="s">
        <v>15</v>
      </c>
      <c r="D638" s="3" t="s">
        <v>16</v>
      </c>
      <c r="E638" s="3" t="s">
        <v>659</v>
      </c>
      <c r="F638" s="3" t="s">
        <v>407</v>
      </c>
      <c r="G638" s="3" t="s">
        <v>163</v>
      </c>
      <c r="H638" s="3">
        <v>12176</v>
      </c>
      <c r="I638" s="3">
        <v>1</v>
      </c>
      <c r="J638" s="3">
        <v>5460</v>
      </c>
      <c r="K638" s="3">
        <v>11154</v>
      </c>
      <c r="L638" s="3">
        <v>10</v>
      </c>
      <c r="M638" s="3">
        <v>1816.030806</v>
      </c>
    </row>
    <row r="639" spans="1:13" ht="14.25" customHeight="1" x14ac:dyDescent="0.2">
      <c r="A639" s="3" t="s">
        <v>949</v>
      </c>
      <c r="B639" s="3" t="s">
        <v>14</v>
      </c>
      <c r="C639" s="3" t="s">
        <v>32</v>
      </c>
      <c r="D639" s="3" t="s">
        <v>343</v>
      </c>
      <c r="E639" s="3" t="s">
        <v>684</v>
      </c>
      <c r="F639" s="3" t="s">
        <v>38</v>
      </c>
      <c r="G639" s="3" t="s">
        <v>19</v>
      </c>
      <c r="H639" s="3">
        <v>12354</v>
      </c>
      <c r="I639" s="3">
        <v>1</v>
      </c>
      <c r="J639" s="3">
        <v>8561</v>
      </c>
      <c r="K639" s="3">
        <v>11782</v>
      </c>
      <c r="L639" s="3">
        <v>1</v>
      </c>
      <c r="M639" s="3">
        <v>1808.307918</v>
      </c>
    </row>
    <row r="640" spans="1:13" ht="14.25" customHeight="1" x14ac:dyDescent="0.2">
      <c r="A640" s="3" t="s">
        <v>950</v>
      </c>
      <c r="B640" s="3" t="s">
        <v>24</v>
      </c>
      <c r="C640" s="3" t="s">
        <v>35</v>
      </c>
      <c r="D640" s="3" t="s">
        <v>78</v>
      </c>
      <c r="E640" s="3" t="s">
        <v>107</v>
      </c>
      <c r="F640" s="3" t="s">
        <v>27</v>
      </c>
      <c r="G640" s="3" t="s">
        <v>114</v>
      </c>
      <c r="H640" s="3">
        <v>19951</v>
      </c>
      <c r="I640" s="3">
        <v>1</v>
      </c>
      <c r="J640" s="3">
        <v>10511</v>
      </c>
      <c r="K640" s="3">
        <v>18132</v>
      </c>
      <c r="L640" s="3">
        <v>15</v>
      </c>
      <c r="M640" s="3">
        <v>1801.14885</v>
      </c>
    </row>
    <row r="641" spans="1:13" ht="14.25" customHeight="1" x14ac:dyDescent="0.2">
      <c r="A641" s="3" t="s">
        <v>951</v>
      </c>
      <c r="B641" s="3" t="s">
        <v>68</v>
      </c>
      <c r="C641" s="3" t="s">
        <v>15</v>
      </c>
      <c r="D641" s="3" t="s">
        <v>43</v>
      </c>
      <c r="E641" s="3" t="s">
        <v>396</v>
      </c>
      <c r="F641" s="3" t="s">
        <v>27</v>
      </c>
      <c r="G641" s="3" t="s">
        <v>19</v>
      </c>
      <c r="H641" s="3">
        <v>9730</v>
      </c>
      <c r="I641" s="3">
        <v>1</v>
      </c>
      <c r="J641" s="3">
        <v>2971</v>
      </c>
      <c r="K641" s="3">
        <v>5102</v>
      </c>
      <c r="L641" s="3">
        <v>1</v>
      </c>
      <c r="M641" s="3">
        <v>1778.9379349999999</v>
      </c>
    </row>
    <row r="642" spans="1:13" ht="14.25" customHeight="1" x14ac:dyDescent="0.2">
      <c r="A642" s="3" t="s">
        <v>952</v>
      </c>
      <c r="B642" s="3" t="s">
        <v>24</v>
      </c>
      <c r="C642" s="3" t="s">
        <v>32</v>
      </c>
      <c r="D642" s="3" t="s">
        <v>45</v>
      </c>
      <c r="E642" s="3" t="s">
        <v>953</v>
      </c>
      <c r="F642" s="3" t="s">
        <v>27</v>
      </c>
      <c r="G642" s="3" t="s">
        <v>19</v>
      </c>
      <c r="H642" s="3">
        <v>1384</v>
      </c>
      <c r="I642" s="3">
        <v>1</v>
      </c>
      <c r="J642" s="3">
        <v>1050</v>
      </c>
      <c r="K642" s="3">
        <v>1278</v>
      </c>
      <c r="L642" s="3">
        <v>7</v>
      </c>
      <c r="M642" s="3">
        <v>1764.38004</v>
      </c>
    </row>
    <row r="643" spans="1:13" ht="14.25" customHeight="1" x14ac:dyDescent="0.2">
      <c r="A643" s="3" t="s">
        <v>954</v>
      </c>
      <c r="B643" s="3" t="s">
        <v>24</v>
      </c>
      <c r="C643" s="3" t="s">
        <v>32</v>
      </c>
      <c r="D643" s="3" t="s">
        <v>25</v>
      </c>
      <c r="E643" s="3" t="s">
        <v>145</v>
      </c>
      <c r="F643" s="3" t="s">
        <v>27</v>
      </c>
      <c r="G643" s="3" t="s">
        <v>19</v>
      </c>
      <c r="H643" s="3">
        <v>11375</v>
      </c>
      <c r="I643" s="3">
        <v>1</v>
      </c>
      <c r="J643" s="3">
        <v>7171</v>
      </c>
      <c r="K643" s="3">
        <v>8151</v>
      </c>
      <c r="L643" s="3">
        <v>1</v>
      </c>
      <c r="M643" s="3">
        <v>1763.7840610000001</v>
      </c>
    </row>
    <row r="644" spans="1:13" ht="14.25" customHeight="1" x14ac:dyDescent="0.2">
      <c r="A644" s="3" t="s">
        <v>955</v>
      </c>
      <c r="B644" s="3" t="s">
        <v>14</v>
      </c>
      <c r="C644" s="3" t="s">
        <v>35</v>
      </c>
      <c r="D644" s="3" t="s">
        <v>66</v>
      </c>
      <c r="E644" s="3" t="s">
        <v>790</v>
      </c>
      <c r="F644" s="3" t="s">
        <v>22</v>
      </c>
      <c r="G644" s="3" t="s">
        <v>19</v>
      </c>
      <c r="H644" s="3">
        <v>20165</v>
      </c>
      <c r="I644" s="3">
        <v>1</v>
      </c>
      <c r="J644" s="3">
        <v>6601</v>
      </c>
      <c r="K644" s="3">
        <v>18909</v>
      </c>
      <c r="L644" s="3">
        <v>10</v>
      </c>
      <c r="M644" s="3">
        <v>1743.0786869999999</v>
      </c>
    </row>
    <row r="645" spans="1:13" ht="14.25" customHeight="1" x14ac:dyDescent="0.2">
      <c r="A645" s="3" t="s">
        <v>956</v>
      </c>
      <c r="B645" s="3" t="s">
        <v>24</v>
      </c>
      <c r="C645" s="3" t="s">
        <v>15</v>
      </c>
      <c r="D645" s="3" t="s">
        <v>16</v>
      </c>
      <c r="E645" s="3" t="s">
        <v>957</v>
      </c>
      <c r="F645" s="3" t="s">
        <v>22</v>
      </c>
      <c r="G645" s="3" t="s">
        <v>19</v>
      </c>
      <c r="H645" s="3">
        <v>7356</v>
      </c>
      <c r="I645" s="3">
        <v>1</v>
      </c>
      <c r="J645" s="3">
        <v>1588</v>
      </c>
      <c r="K645" s="3">
        <v>7088</v>
      </c>
      <c r="L645" s="3">
        <v>1</v>
      </c>
      <c r="M645" s="3">
        <v>1730.37357</v>
      </c>
    </row>
    <row r="646" spans="1:13" ht="14.25" customHeight="1" x14ac:dyDescent="0.2">
      <c r="A646" s="3" t="s">
        <v>958</v>
      </c>
      <c r="B646" s="3" t="s">
        <v>24</v>
      </c>
      <c r="C646" s="3" t="s">
        <v>29</v>
      </c>
      <c r="D646" s="3" t="s">
        <v>45</v>
      </c>
      <c r="E646" s="3" t="s">
        <v>959</v>
      </c>
      <c r="F646" s="3" t="s">
        <v>27</v>
      </c>
      <c r="G646" s="3" t="s">
        <v>163</v>
      </c>
      <c r="H646" s="3">
        <v>12436</v>
      </c>
      <c r="I646" s="3">
        <v>1</v>
      </c>
      <c r="J646" s="3">
        <v>7055</v>
      </c>
      <c r="K646" s="3">
        <v>11497</v>
      </c>
      <c r="L646" s="3">
        <v>15</v>
      </c>
      <c r="M646" s="3">
        <v>1720.870126</v>
      </c>
    </row>
    <row r="647" spans="1:13" ht="14.25" customHeight="1" x14ac:dyDescent="0.2">
      <c r="A647" s="3" t="s">
        <v>960</v>
      </c>
      <c r="B647" s="3" t="s">
        <v>14</v>
      </c>
      <c r="C647" s="3" t="s">
        <v>35</v>
      </c>
      <c r="D647" s="3" t="s">
        <v>91</v>
      </c>
      <c r="E647" s="3" t="s">
        <v>370</v>
      </c>
      <c r="F647" s="3" t="s">
        <v>38</v>
      </c>
      <c r="G647" s="3" t="s">
        <v>19</v>
      </c>
      <c r="H647" s="3">
        <v>16151</v>
      </c>
      <c r="I647" s="3">
        <v>1</v>
      </c>
      <c r="J647" s="3">
        <v>4360</v>
      </c>
      <c r="K647" s="3">
        <v>11358</v>
      </c>
      <c r="L647" s="3">
        <v>3</v>
      </c>
      <c r="M647" s="3">
        <v>1706.224318</v>
      </c>
    </row>
    <row r="648" spans="1:13" ht="14.25" customHeight="1" x14ac:dyDescent="0.2">
      <c r="A648" s="3" t="s">
        <v>961</v>
      </c>
      <c r="B648" s="3" t="s">
        <v>14</v>
      </c>
      <c r="C648" s="3" t="s">
        <v>15</v>
      </c>
      <c r="D648" s="3" t="s">
        <v>216</v>
      </c>
      <c r="E648" s="3" t="s">
        <v>962</v>
      </c>
      <c r="F648" s="3" t="s">
        <v>27</v>
      </c>
      <c r="G648" s="3" t="s">
        <v>19</v>
      </c>
      <c r="H648" s="3">
        <v>3145</v>
      </c>
      <c r="I648" s="3">
        <v>1</v>
      </c>
      <c r="J648" s="3">
        <v>1817</v>
      </c>
      <c r="K648" s="3">
        <v>2962</v>
      </c>
      <c r="L648" s="3">
        <v>7</v>
      </c>
      <c r="M648" s="3">
        <v>1703.8057699999999</v>
      </c>
    </row>
    <row r="649" spans="1:13" ht="14.25" customHeight="1" x14ac:dyDescent="0.2">
      <c r="A649" s="3" t="s">
        <v>963</v>
      </c>
      <c r="B649" s="3" t="s">
        <v>24</v>
      </c>
      <c r="C649" s="3" t="s">
        <v>32</v>
      </c>
      <c r="D649" s="3" t="s">
        <v>449</v>
      </c>
      <c r="E649" s="3" t="s">
        <v>437</v>
      </c>
      <c r="F649" s="3" t="s">
        <v>27</v>
      </c>
      <c r="G649" s="3" t="s">
        <v>19</v>
      </c>
      <c r="H649" s="3">
        <v>13202</v>
      </c>
      <c r="I649" s="3">
        <v>1</v>
      </c>
      <c r="J649" s="3">
        <v>10871</v>
      </c>
      <c r="K649" s="3">
        <v>12885</v>
      </c>
      <c r="L649" s="3">
        <v>3</v>
      </c>
      <c r="M649" s="3">
        <v>1699.0608090000001</v>
      </c>
    </row>
    <row r="650" spans="1:13" ht="14.25" customHeight="1" x14ac:dyDescent="0.2">
      <c r="A650" s="3" t="s">
        <v>964</v>
      </c>
      <c r="B650" s="3" t="s">
        <v>24</v>
      </c>
      <c r="C650" s="3" t="s">
        <v>15</v>
      </c>
      <c r="D650" s="3" t="s">
        <v>66</v>
      </c>
      <c r="E650" s="3" t="s">
        <v>26</v>
      </c>
      <c r="F650" s="3" t="s">
        <v>27</v>
      </c>
      <c r="G650" s="3" t="s">
        <v>19</v>
      </c>
      <c r="H650" s="3">
        <v>14799</v>
      </c>
      <c r="I650" s="3">
        <v>1</v>
      </c>
      <c r="J650" s="3">
        <v>1403</v>
      </c>
      <c r="K650" s="3">
        <v>13410</v>
      </c>
      <c r="L650" s="3">
        <v>9</v>
      </c>
      <c r="M650" s="3">
        <v>1693.7604349999999</v>
      </c>
    </row>
    <row r="651" spans="1:13" ht="14.25" customHeight="1" x14ac:dyDescent="0.2">
      <c r="A651" s="3" t="s">
        <v>965</v>
      </c>
      <c r="B651" s="3" t="s">
        <v>24</v>
      </c>
      <c r="C651" s="3" t="s">
        <v>29</v>
      </c>
      <c r="D651" s="3" t="s">
        <v>74</v>
      </c>
      <c r="E651" s="3" t="s">
        <v>753</v>
      </c>
      <c r="F651" s="3" t="s">
        <v>27</v>
      </c>
      <c r="G651" s="3" t="s">
        <v>114</v>
      </c>
      <c r="H651" s="3">
        <v>34278</v>
      </c>
      <c r="I651" s="3">
        <v>1</v>
      </c>
      <c r="J651" s="3">
        <v>3704</v>
      </c>
      <c r="K651" s="3">
        <v>30227</v>
      </c>
      <c r="L651" s="3">
        <v>2</v>
      </c>
      <c r="M651" s="3">
        <v>1689.0831860000001</v>
      </c>
    </row>
    <row r="652" spans="1:13" ht="14.25" customHeight="1" x14ac:dyDescent="0.2">
      <c r="A652" s="3" t="s">
        <v>966</v>
      </c>
      <c r="B652" s="3" t="s">
        <v>14</v>
      </c>
      <c r="C652" s="3" t="s">
        <v>29</v>
      </c>
      <c r="D652" s="3" t="s">
        <v>205</v>
      </c>
      <c r="E652" s="3" t="s">
        <v>967</v>
      </c>
      <c r="F652" s="3" t="s">
        <v>27</v>
      </c>
      <c r="G652" s="3" t="s">
        <v>19</v>
      </c>
      <c r="H652" s="3">
        <v>770</v>
      </c>
      <c r="I652" s="3">
        <v>1</v>
      </c>
      <c r="J652" s="3">
        <v>487</v>
      </c>
      <c r="K652" s="3">
        <v>738</v>
      </c>
      <c r="L652" s="3">
        <v>2</v>
      </c>
      <c r="M652" s="3">
        <v>1686.77001</v>
      </c>
    </row>
    <row r="653" spans="1:13" ht="14.25" customHeight="1" x14ac:dyDescent="0.2">
      <c r="A653" s="3" t="s">
        <v>968</v>
      </c>
      <c r="B653" s="3" t="s">
        <v>14</v>
      </c>
      <c r="C653" s="3" t="s">
        <v>32</v>
      </c>
      <c r="D653" s="3" t="s">
        <v>25</v>
      </c>
      <c r="E653" s="3" t="s">
        <v>969</v>
      </c>
      <c r="F653" s="3" t="s">
        <v>27</v>
      </c>
      <c r="G653" s="3" t="s">
        <v>19</v>
      </c>
      <c r="H653" s="3">
        <v>3624</v>
      </c>
      <c r="I653" s="3">
        <v>1</v>
      </c>
      <c r="J653" s="3">
        <v>1797</v>
      </c>
      <c r="K653" s="3">
        <v>3258</v>
      </c>
      <c r="L653" s="3">
        <v>24</v>
      </c>
      <c r="M653" s="3">
        <v>1678.2856770000001</v>
      </c>
    </row>
    <row r="654" spans="1:13" ht="14.25" customHeight="1" x14ac:dyDescent="0.2">
      <c r="A654" s="3" t="s">
        <v>970</v>
      </c>
      <c r="B654" s="3" t="s">
        <v>14</v>
      </c>
      <c r="C654" s="3" t="s">
        <v>35</v>
      </c>
      <c r="D654" s="3" t="s">
        <v>86</v>
      </c>
      <c r="E654" s="3" t="s">
        <v>485</v>
      </c>
      <c r="F654" s="3" t="s">
        <v>64</v>
      </c>
      <c r="G654" s="3" t="s">
        <v>19</v>
      </c>
      <c r="H654" s="3">
        <v>21903</v>
      </c>
      <c r="I654" s="3">
        <v>1</v>
      </c>
      <c r="J654" s="3">
        <v>18831</v>
      </c>
      <c r="K654" s="3">
        <v>20922</v>
      </c>
      <c r="L654" s="3">
        <v>4</v>
      </c>
      <c r="M654" s="3">
        <v>1661.167909</v>
      </c>
    </row>
    <row r="655" spans="1:13" ht="14.25" customHeight="1" x14ac:dyDescent="0.2">
      <c r="A655" s="3" t="s">
        <v>971</v>
      </c>
      <c r="B655" s="3" t="s">
        <v>14</v>
      </c>
      <c r="C655" s="3" t="s">
        <v>15</v>
      </c>
      <c r="D655" s="3" t="s">
        <v>312</v>
      </c>
      <c r="E655" s="3" t="s">
        <v>972</v>
      </c>
      <c r="F655" s="3" t="s">
        <v>27</v>
      </c>
      <c r="G655" s="3" t="s">
        <v>19</v>
      </c>
      <c r="H655" s="3">
        <v>13168</v>
      </c>
      <c r="I655" s="3">
        <v>1</v>
      </c>
      <c r="J655" s="3">
        <v>8527</v>
      </c>
      <c r="K655" s="3">
        <v>12625</v>
      </c>
      <c r="L655" s="3">
        <v>4</v>
      </c>
      <c r="M655" s="3">
        <v>1639.72335</v>
      </c>
    </row>
    <row r="656" spans="1:13" ht="14.25" customHeight="1" x14ac:dyDescent="0.2">
      <c r="A656" s="3" t="s">
        <v>973</v>
      </c>
      <c r="B656" s="3" t="s">
        <v>14</v>
      </c>
      <c r="C656" s="3" t="s">
        <v>15</v>
      </c>
      <c r="D656" s="3" t="s">
        <v>91</v>
      </c>
      <c r="E656" s="3" t="s">
        <v>478</v>
      </c>
      <c r="F656" s="3" t="s">
        <v>64</v>
      </c>
      <c r="G656" s="3" t="s">
        <v>19</v>
      </c>
      <c r="H656" s="3">
        <v>31359</v>
      </c>
      <c r="I656" s="3">
        <v>1</v>
      </c>
      <c r="J656" s="3">
        <v>18348</v>
      </c>
      <c r="K656" s="3">
        <v>25950</v>
      </c>
      <c r="L656" s="3">
        <v>24</v>
      </c>
      <c r="M656" s="3">
        <v>1623.614838</v>
      </c>
    </row>
    <row r="657" spans="1:13" ht="14.25" customHeight="1" x14ac:dyDescent="0.2">
      <c r="A657" s="3" t="s">
        <v>974</v>
      </c>
      <c r="B657" s="3" t="s">
        <v>14</v>
      </c>
      <c r="C657" s="3" t="s">
        <v>29</v>
      </c>
      <c r="D657" s="3" t="s">
        <v>86</v>
      </c>
      <c r="E657" s="3" t="s">
        <v>975</v>
      </c>
      <c r="F657" s="3" t="s">
        <v>27</v>
      </c>
      <c r="G657" s="3" t="s">
        <v>19</v>
      </c>
      <c r="H657" s="3">
        <v>3274</v>
      </c>
      <c r="I657" s="3">
        <v>1</v>
      </c>
      <c r="J657" s="3">
        <v>1633</v>
      </c>
      <c r="K657" s="3">
        <v>3112</v>
      </c>
      <c r="L657" s="3">
        <v>12</v>
      </c>
      <c r="M657" s="3">
        <v>1616.9657</v>
      </c>
    </row>
    <row r="658" spans="1:13" ht="14.25" customHeight="1" x14ac:dyDescent="0.2">
      <c r="A658" s="3" t="s">
        <v>976</v>
      </c>
      <c r="B658" s="3" t="s">
        <v>14</v>
      </c>
      <c r="C658" s="3" t="s">
        <v>32</v>
      </c>
      <c r="D658" s="3" t="s">
        <v>91</v>
      </c>
      <c r="E658" s="3" t="s">
        <v>977</v>
      </c>
      <c r="F658" s="3" t="s">
        <v>22</v>
      </c>
      <c r="G658" s="3" t="s">
        <v>19</v>
      </c>
      <c r="H658" s="3">
        <v>10707</v>
      </c>
      <c r="I658" s="3">
        <v>1</v>
      </c>
      <c r="J658" s="3">
        <v>6300</v>
      </c>
      <c r="K658" s="3">
        <v>10089</v>
      </c>
      <c r="L658" s="3">
        <v>1</v>
      </c>
      <c r="M658" s="3">
        <v>1603.8592639999999</v>
      </c>
    </row>
    <row r="659" spans="1:13" ht="14.25" customHeight="1" x14ac:dyDescent="0.2">
      <c r="A659" s="3" t="s">
        <v>978</v>
      </c>
      <c r="B659" s="3" t="s">
        <v>24</v>
      </c>
      <c r="C659" s="3" t="s">
        <v>32</v>
      </c>
      <c r="D659" s="3" t="s">
        <v>84</v>
      </c>
      <c r="E659" s="3" t="s">
        <v>979</v>
      </c>
      <c r="F659" s="3" t="s">
        <v>27</v>
      </c>
      <c r="G659" s="3" t="s">
        <v>114</v>
      </c>
      <c r="H659" s="3">
        <v>20348</v>
      </c>
      <c r="I659" s="3">
        <v>1</v>
      </c>
      <c r="J659" s="3">
        <v>14945</v>
      </c>
      <c r="K659" s="3">
        <v>19548</v>
      </c>
      <c r="L659" s="3">
        <v>1</v>
      </c>
      <c r="M659" s="3">
        <v>1596.552373</v>
      </c>
    </row>
    <row r="660" spans="1:13" ht="14.25" customHeight="1" x14ac:dyDescent="0.2">
      <c r="A660" s="3" t="s">
        <v>980</v>
      </c>
      <c r="B660" s="3" t="s">
        <v>14</v>
      </c>
      <c r="C660" s="3" t="s">
        <v>32</v>
      </c>
      <c r="D660" s="3" t="s">
        <v>91</v>
      </c>
      <c r="E660" s="3" t="s">
        <v>981</v>
      </c>
      <c r="F660" s="3" t="s">
        <v>22</v>
      </c>
      <c r="G660" s="3" t="s">
        <v>19</v>
      </c>
      <c r="H660" s="3">
        <v>14917</v>
      </c>
      <c r="I660" s="3">
        <v>1</v>
      </c>
      <c r="J660" s="3">
        <v>3065</v>
      </c>
      <c r="K660" s="3">
        <v>13109</v>
      </c>
      <c r="L660" s="3">
        <v>1</v>
      </c>
      <c r="M660" s="3">
        <v>1583.537104</v>
      </c>
    </row>
    <row r="661" spans="1:13" ht="14.25" customHeight="1" x14ac:dyDescent="0.2">
      <c r="A661" s="3" t="s">
        <v>982</v>
      </c>
      <c r="B661" s="3" t="s">
        <v>24</v>
      </c>
      <c r="C661" s="3" t="s">
        <v>29</v>
      </c>
      <c r="D661" s="3" t="s">
        <v>66</v>
      </c>
      <c r="E661" s="3" t="s">
        <v>79</v>
      </c>
      <c r="F661" s="3" t="s">
        <v>41</v>
      </c>
      <c r="G661" s="3" t="s">
        <v>19</v>
      </c>
      <c r="H661" s="3">
        <v>40519</v>
      </c>
      <c r="I661" s="3">
        <v>1</v>
      </c>
      <c r="J661" s="3">
        <v>6105</v>
      </c>
      <c r="K661" s="3">
        <v>26283</v>
      </c>
      <c r="L661" s="3">
        <v>10</v>
      </c>
      <c r="M661" s="3">
        <v>1582.410977</v>
      </c>
    </row>
    <row r="662" spans="1:13" ht="14.25" customHeight="1" x14ac:dyDescent="0.2">
      <c r="A662" s="3" t="s">
        <v>983</v>
      </c>
      <c r="B662" s="3" t="s">
        <v>24</v>
      </c>
      <c r="C662" s="3" t="s">
        <v>35</v>
      </c>
      <c r="D662" s="3" t="s">
        <v>205</v>
      </c>
      <c r="E662" s="3" t="s">
        <v>984</v>
      </c>
      <c r="F662" s="3" t="s">
        <v>38</v>
      </c>
      <c r="G662" s="3" t="s">
        <v>19</v>
      </c>
      <c r="H662" s="3">
        <v>13823</v>
      </c>
      <c r="I662" s="3">
        <v>1</v>
      </c>
      <c r="J662" s="3">
        <v>10671</v>
      </c>
      <c r="K662" s="3">
        <v>12937</v>
      </c>
      <c r="L662" s="3">
        <v>1</v>
      </c>
      <c r="M662" s="3">
        <v>1574.709734</v>
      </c>
    </row>
    <row r="663" spans="1:13" ht="14.25" customHeight="1" x14ac:dyDescent="0.2">
      <c r="A663" s="3" t="s">
        <v>985</v>
      </c>
      <c r="B663" s="3" t="s">
        <v>14</v>
      </c>
      <c r="C663" s="3" t="s">
        <v>35</v>
      </c>
      <c r="D663" s="3" t="s">
        <v>60</v>
      </c>
      <c r="E663" s="3" t="s">
        <v>986</v>
      </c>
      <c r="F663" s="3" t="s">
        <v>323</v>
      </c>
      <c r="G663" s="3" t="s">
        <v>19</v>
      </c>
      <c r="H663" s="3">
        <v>9014</v>
      </c>
      <c r="I663" s="3">
        <v>1</v>
      </c>
      <c r="J663" s="3">
        <v>5054</v>
      </c>
      <c r="K663" s="3">
        <v>7227</v>
      </c>
      <c r="L663" s="3">
        <v>1</v>
      </c>
      <c r="M663" s="3">
        <v>1539.60069</v>
      </c>
    </row>
    <row r="664" spans="1:13" ht="14.25" customHeight="1" x14ac:dyDescent="0.2">
      <c r="A664" s="3" t="s">
        <v>987</v>
      </c>
      <c r="B664" s="3" t="s">
        <v>24</v>
      </c>
      <c r="C664" s="3" t="s">
        <v>29</v>
      </c>
      <c r="D664" s="3" t="s">
        <v>86</v>
      </c>
      <c r="E664" s="3" t="s">
        <v>543</v>
      </c>
      <c r="F664" s="3" t="s">
        <v>22</v>
      </c>
      <c r="G664" s="3" t="s">
        <v>19</v>
      </c>
      <c r="H664" s="3">
        <v>9790</v>
      </c>
      <c r="I664" s="3">
        <v>1</v>
      </c>
      <c r="J664" s="3">
        <v>1295</v>
      </c>
      <c r="K664" s="3">
        <v>9196</v>
      </c>
      <c r="L664" s="3">
        <v>1</v>
      </c>
      <c r="M664" s="3">
        <v>1532.1488810000001</v>
      </c>
    </row>
    <row r="665" spans="1:13" ht="14.25" customHeight="1" x14ac:dyDescent="0.2">
      <c r="A665" s="3" t="s">
        <v>988</v>
      </c>
      <c r="B665" s="3" t="s">
        <v>24</v>
      </c>
      <c r="C665" s="3" t="s">
        <v>15</v>
      </c>
      <c r="D665" s="3" t="s">
        <v>155</v>
      </c>
      <c r="E665" s="3" t="s">
        <v>504</v>
      </c>
      <c r="F665" s="3" t="s">
        <v>33</v>
      </c>
      <c r="G665" s="3" t="s">
        <v>19</v>
      </c>
      <c r="H665" s="3">
        <v>13833</v>
      </c>
      <c r="I665" s="3">
        <v>1</v>
      </c>
      <c r="J665" s="3">
        <v>7693</v>
      </c>
      <c r="K665" s="3">
        <v>13237</v>
      </c>
      <c r="L665" s="3">
        <v>1</v>
      </c>
      <c r="M665" s="3">
        <v>1526.7870660000001</v>
      </c>
    </row>
    <row r="666" spans="1:13" ht="14.25" customHeight="1" x14ac:dyDescent="0.2">
      <c r="A666" s="3" t="s">
        <v>989</v>
      </c>
      <c r="B666" s="3" t="s">
        <v>14</v>
      </c>
      <c r="C666" s="3" t="s">
        <v>32</v>
      </c>
      <c r="D666" s="3" t="s">
        <v>66</v>
      </c>
      <c r="E666" s="3" t="s">
        <v>635</v>
      </c>
      <c r="F666" s="3" t="s">
        <v>22</v>
      </c>
      <c r="G666" s="3" t="s">
        <v>19</v>
      </c>
      <c r="H666" s="3">
        <v>12510</v>
      </c>
      <c r="I666" s="3">
        <v>1</v>
      </c>
      <c r="J666" s="3">
        <v>4391</v>
      </c>
      <c r="K666" s="3">
        <v>9098</v>
      </c>
      <c r="L666" s="3">
        <v>1</v>
      </c>
      <c r="M666" s="3">
        <v>1524.470523</v>
      </c>
    </row>
    <row r="667" spans="1:13" ht="14.25" customHeight="1" x14ac:dyDescent="0.2">
      <c r="A667" s="3" t="s">
        <v>990</v>
      </c>
      <c r="B667" s="3" t="s">
        <v>68</v>
      </c>
      <c r="C667" s="3" t="s">
        <v>15</v>
      </c>
      <c r="D667" s="3" t="s">
        <v>16</v>
      </c>
      <c r="E667" s="3" t="s">
        <v>597</v>
      </c>
      <c r="F667" s="3" t="s">
        <v>22</v>
      </c>
      <c r="G667" s="3" t="s">
        <v>19</v>
      </c>
      <c r="H667" s="3">
        <v>32400</v>
      </c>
      <c r="I667" s="3">
        <v>1</v>
      </c>
      <c r="J667" s="3">
        <v>5152</v>
      </c>
      <c r="K667" s="3">
        <v>30383</v>
      </c>
      <c r="L667" s="3">
        <v>9</v>
      </c>
      <c r="M667" s="3">
        <v>1522.352623</v>
      </c>
    </row>
    <row r="668" spans="1:13" ht="14.25" customHeight="1" x14ac:dyDescent="0.2">
      <c r="A668" s="3" t="s">
        <v>991</v>
      </c>
      <c r="B668" s="3" t="s">
        <v>14</v>
      </c>
      <c r="C668" s="3" t="s">
        <v>35</v>
      </c>
      <c r="D668" s="3" t="s">
        <v>70</v>
      </c>
      <c r="E668" s="3" t="s">
        <v>992</v>
      </c>
      <c r="F668" s="3" t="s">
        <v>27</v>
      </c>
      <c r="G668" s="3" t="s">
        <v>19</v>
      </c>
      <c r="H668" s="3">
        <v>187</v>
      </c>
      <c r="I668" s="3">
        <v>1</v>
      </c>
      <c r="J668" s="3">
        <v>28</v>
      </c>
      <c r="K668" s="3">
        <v>171</v>
      </c>
      <c r="L668" s="3">
        <v>3</v>
      </c>
      <c r="M668" s="3">
        <v>1505.8810880000001</v>
      </c>
    </row>
    <row r="669" spans="1:13" ht="14.25" customHeight="1" x14ac:dyDescent="0.2">
      <c r="A669" s="3" t="s">
        <v>993</v>
      </c>
      <c r="B669" s="3" t="s">
        <v>14</v>
      </c>
      <c r="C669" s="3" t="s">
        <v>35</v>
      </c>
      <c r="D669" s="3" t="s">
        <v>25</v>
      </c>
      <c r="E669" s="3" t="s">
        <v>301</v>
      </c>
      <c r="F669" s="3" t="s">
        <v>38</v>
      </c>
      <c r="G669" s="3" t="s">
        <v>19</v>
      </c>
      <c r="H669" s="3">
        <v>9881</v>
      </c>
      <c r="I669" s="3">
        <v>1</v>
      </c>
      <c r="J669" s="3">
        <v>2344</v>
      </c>
      <c r="K669" s="3">
        <v>7324</v>
      </c>
      <c r="L669" s="3">
        <v>1</v>
      </c>
      <c r="M669" s="3">
        <v>1505.0115499999999</v>
      </c>
    </row>
    <row r="670" spans="1:13" ht="14.25" customHeight="1" x14ac:dyDescent="0.2">
      <c r="A670" s="3" t="s">
        <v>994</v>
      </c>
      <c r="B670" s="3" t="s">
        <v>24</v>
      </c>
      <c r="C670" s="3" t="s">
        <v>15</v>
      </c>
      <c r="D670" s="3" t="s">
        <v>91</v>
      </c>
      <c r="E670" s="3" t="s">
        <v>250</v>
      </c>
      <c r="F670" s="3" t="s">
        <v>22</v>
      </c>
      <c r="G670" s="3" t="s">
        <v>19</v>
      </c>
      <c r="H670" s="3">
        <v>30714</v>
      </c>
      <c r="I670" s="3">
        <v>1</v>
      </c>
      <c r="J670" s="3">
        <v>12531</v>
      </c>
      <c r="K670" s="3">
        <v>28461</v>
      </c>
      <c r="L670" s="3">
        <v>9</v>
      </c>
      <c r="M670" s="3">
        <v>1503.4843109999999</v>
      </c>
    </row>
    <row r="671" spans="1:13" ht="14.25" customHeight="1" x14ac:dyDescent="0.2">
      <c r="A671" s="3" t="s">
        <v>995</v>
      </c>
      <c r="B671" s="3" t="s">
        <v>14</v>
      </c>
      <c r="C671" s="3" t="s">
        <v>32</v>
      </c>
      <c r="D671" s="3" t="s">
        <v>25</v>
      </c>
      <c r="E671" s="3" t="s">
        <v>72</v>
      </c>
      <c r="F671" s="3" t="s">
        <v>38</v>
      </c>
      <c r="G671" s="3" t="s">
        <v>19</v>
      </c>
      <c r="H671" s="3">
        <v>12088</v>
      </c>
      <c r="I671" s="3">
        <v>1</v>
      </c>
      <c r="J671" s="3">
        <v>1124</v>
      </c>
      <c r="K671" s="3">
        <v>10003</v>
      </c>
      <c r="L671" s="3">
        <v>2</v>
      </c>
      <c r="M671" s="3">
        <v>1500.0261519999999</v>
      </c>
    </row>
    <row r="672" spans="1:13" ht="14.25" customHeight="1" x14ac:dyDescent="0.2">
      <c r="A672" s="3" t="s">
        <v>996</v>
      </c>
      <c r="B672" s="3" t="s">
        <v>14</v>
      </c>
      <c r="C672" s="3" t="s">
        <v>15</v>
      </c>
      <c r="D672" s="3" t="s">
        <v>16</v>
      </c>
      <c r="E672" s="3" t="s">
        <v>107</v>
      </c>
      <c r="F672" s="3" t="s">
        <v>407</v>
      </c>
      <c r="G672" s="3" t="s">
        <v>19</v>
      </c>
      <c r="H672" s="3">
        <v>34959</v>
      </c>
      <c r="I672" s="3">
        <v>1</v>
      </c>
      <c r="J672" s="3">
        <v>17511</v>
      </c>
      <c r="K672" s="3">
        <v>31974</v>
      </c>
      <c r="L672" s="3">
        <v>1</v>
      </c>
      <c r="M672" s="3">
        <v>1477.4933570000001</v>
      </c>
    </row>
    <row r="673" spans="1:13" ht="14.25" customHeight="1" x14ac:dyDescent="0.2">
      <c r="A673" s="3" t="s">
        <v>997</v>
      </c>
      <c r="B673" s="3" t="s">
        <v>24</v>
      </c>
      <c r="C673" s="3" t="s">
        <v>35</v>
      </c>
      <c r="D673" s="3" t="s">
        <v>91</v>
      </c>
      <c r="E673" s="3" t="s">
        <v>998</v>
      </c>
      <c r="F673" s="3" t="s">
        <v>38</v>
      </c>
      <c r="G673" s="3" t="s">
        <v>19</v>
      </c>
      <c r="H673" s="3">
        <v>14136</v>
      </c>
      <c r="I673" s="3">
        <v>1</v>
      </c>
      <c r="J673" s="3">
        <v>4683</v>
      </c>
      <c r="K673" s="3">
        <v>13273</v>
      </c>
      <c r="L673" s="3">
        <v>3</v>
      </c>
      <c r="M673" s="3">
        <v>1476.5368410000001</v>
      </c>
    </row>
    <row r="674" spans="1:13" ht="14.25" customHeight="1" x14ac:dyDescent="0.2">
      <c r="A674" s="3" t="s">
        <v>999</v>
      </c>
      <c r="B674" s="3" t="s">
        <v>24</v>
      </c>
      <c r="C674" s="3" t="s">
        <v>32</v>
      </c>
      <c r="D674" s="3" t="s">
        <v>121</v>
      </c>
      <c r="E674" s="3" t="s">
        <v>392</v>
      </c>
      <c r="F674" s="3" t="s">
        <v>415</v>
      </c>
      <c r="G674" s="3" t="s">
        <v>19</v>
      </c>
      <c r="H674" s="3">
        <v>7409</v>
      </c>
      <c r="I674" s="3">
        <v>1</v>
      </c>
      <c r="J674" s="3">
        <v>5009</v>
      </c>
      <c r="K674" s="3">
        <v>7160</v>
      </c>
      <c r="L674" s="3">
        <v>12</v>
      </c>
      <c r="M674" s="3">
        <v>1472.110115</v>
      </c>
    </row>
    <row r="675" spans="1:13" ht="14.25" customHeight="1" x14ac:dyDescent="0.2">
      <c r="A675" s="3" t="s">
        <v>1000</v>
      </c>
      <c r="B675" s="3" t="s">
        <v>14</v>
      </c>
      <c r="C675" s="3" t="s">
        <v>15</v>
      </c>
      <c r="D675" s="3" t="s">
        <v>70</v>
      </c>
      <c r="E675" s="3" t="s">
        <v>478</v>
      </c>
      <c r="F675" s="3" t="s">
        <v>38</v>
      </c>
      <c r="G675" s="3" t="s">
        <v>19</v>
      </c>
      <c r="H675" s="3">
        <v>15311</v>
      </c>
      <c r="I675" s="3">
        <v>1</v>
      </c>
      <c r="J675" s="3">
        <v>7757</v>
      </c>
      <c r="K675" s="3">
        <v>12630</v>
      </c>
      <c r="L675" s="3">
        <v>19</v>
      </c>
      <c r="M675" s="3">
        <v>1471.187144</v>
      </c>
    </row>
    <row r="676" spans="1:13" ht="14.25" customHeight="1" x14ac:dyDescent="0.2">
      <c r="A676" s="3" t="s">
        <v>1001</v>
      </c>
      <c r="B676" s="3" t="s">
        <v>14</v>
      </c>
      <c r="C676" s="3" t="s">
        <v>32</v>
      </c>
      <c r="D676" s="3" t="s">
        <v>43</v>
      </c>
      <c r="E676" s="3" t="s">
        <v>161</v>
      </c>
      <c r="F676" s="3" t="s">
        <v>41</v>
      </c>
      <c r="G676" s="3" t="s">
        <v>19</v>
      </c>
      <c r="H676" s="3">
        <v>73544</v>
      </c>
      <c r="I676" s="3">
        <v>1</v>
      </c>
      <c r="J676" s="3">
        <v>40405</v>
      </c>
      <c r="K676" s="3">
        <v>67406</v>
      </c>
      <c r="L676" s="3">
        <v>1</v>
      </c>
      <c r="M676" s="3">
        <v>1465.8722660000001</v>
      </c>
    </row>
    <row r="677" spans="1:13" ht="14.25" customHeight="1" x14ac:dyDescent="0.2">
      <c r="A677" s="3" t="s">
        <v>1002</v>
      </c>
      <c r="B677" s="3" t="s">
        <v>14</v>
      </c>
      <c r="C677" s="3" t="s">
        <v>29</v>
      </c>
      <c r="D677" s="3" t="s">
        <v>43</v>
      </c>
      <c r="E677" s="3" t="s">
        <v>111</v>
      </c>
      <c r="F677" s="3" t="s">
        <v>33</v>
      </c>
      <c r="G677" s="3" t="s">
        <v>19</v>
      </c>
      <c r="H677" s="3">
        <v>19826</v>
      </c>
      <c r="I677" s="3">
        <v>1</v>
      </c>
      <c r="J677" s="3">
        <v>6511</v>
      </c>
      <c r="K677" s="3">
        <v>15752</v>
      </c>
      <c r="L677" s="3">
        <v>10</v>
      </c>
      <c r="M677" s="3">
        <v>1447.873298</v>
      </c>
    </row>
    <row r="678" spans="1:13" ht="14.25" customHeight="1" x14ac:dyDescent="0.2">
      <c r="A678" s="3" t="s">
        <v>1003</v>
      </c>
      <c r="B678" s="3" t="s">
        <v>24</v>
      </c>
      <c r="C678" s="3" t="s">
        <v>35</v>
      </c>
      <c r="D678" s="3" t="s">
        <v>45</v>
      </c>
      <c r="E678" s="3" t="s">
        <v>891</v>
      </c>
      <c r="F678" s="3" t="s">
        <v>18</v>
      </c>
      <c r="G678" s="3" t="s">
        <v>114</v>
      </c>
      <c r="H678" s="3">
        <v>1648</v>
      </c>
      <c r="I678" s="3">
        <v>1</v>
      </c>
      <c r="J678" s="3">
        <v>1108</v>
      </c>
      <c r="K678" s="3">
        <v>1570</v>
      </c>
      <c r="L678" s="3">
        <v>2</v>
      </c>
      <c r="M678" s="3">
        <v>1447.5420019999999</v>
      </c>
    </row>
    <row r="679" spans="1:13" ht="14.25" customHeight="1" x14ac:dyDescent="0.2">
      <c r="A679" s="3" t="s">
        <v>1004</v>
      </c>
      <c r="B679" s="3" t="s">
        <v>14</v>
      </c>
      <c r="C679" s="3" t="s">
        <v>35</v>
      </c>
      <c r="D679" s="3" t="s">
        <v>16</v>
      </c>
      <c r="E679" s="3" t="s">
        <v>831</v>
      </c>
      <c r="F679" s="3" t="s">
        <v>27</v>
      </c>
      <c r="G679" s="3" t="s">
        <v>19</v>
      </c>
      <c r="H679" s="3">
        <v>55445</v>
      </c>
      <c r="I679" s="3">
        <v>0</v>
      </c>
      <c r="J679" s="3">
        <v>4565</v>
      </c>
      <c r="K679" s="3">
        <v>53407</v>
      </c>
      <c r="L679" s="3">
        <v>36</v>
      </c>
      <c r="M679" s="3">
        <v>7948.4807520000004</v>
      </c>
    </row>
    <row r="680" spans="1:13" ht="14.25" customHeight="1" x14ac:dyDescent="0.2">
      <c r="A680" s="3" t="s">
        <v>1005</v>
      </c>
      <c r="B680" s="3" t="s">
        <v>14</v>
      </c>
      <c r="C680" s="3" t="s">
        <v>35</v>
      </c>
      <c r="D680" s="3" t="s">
        <v>70</v>
      </c>
      <c r="E680" s="3" t="s">
        <v>1006</v>
      </c>
      <c r="F680" s="3" t="s">
        <v>41</v>
      </c>
      <c r="G680" s="3" t="s">
        <v>19</v>
      </c>
      <c r="H680" s="3">
        <v>39881</v>
      </c>
      <c r="I680" s="3">
        <v>0</v>
      </c>
      <c r="J680" s="3">
        <v>6331</v>
      </c>
      <c r="K680" s="3">
        <v>36245</v>
      </c>
      <c r="L680" s="3">
        <v>1</v>
      </c>
      <c r="M680" s="3">
        <v>7098.8897059999999</v>
      </c>
    </row>
    <row r="681" spans="1:13" ht="14.25" customHeight="1" x14ac:dyDescent="0.2">
      <c r="A681" s="3" t="s">
        <v>1007</v>
      </c>
      <c r="B681" s="3" t="s">
        <v>24</v>
      </c>
      <c r="C681" s="3" t="s">
        <v>29</v>
      </c>
      <c r="D681" s="3" t="s">
        <v>70</v>
      </c>
      <c r="E681" s="3" t="s">
        <v>214</v>
      </c>
      <c r="F681" s="3" t="s">
        <v>22</v>
      </c>
      <c r="G681" s="3" t="s">
        <v>163</v>
      </c>
      <c r="H681" s="3">
        <v>7585</v>
      </c>
      <c r="I681" s="3">
        <v>0</v>
      </c>
      <c r="J681" s="3">
        <v>5396</v>
      </c>
      <c r="K681" s="3">
        <v>7417</v>
      </c>
      <c r="L681" s="3">
        <v>24</v>
      </c>
      <c r="M681" s="3">
        <v>7082.6538019999998</v>
      </c>
    </row>
    <row r="682" spans="1:13" ht="14.25" customHeight="1" x14ac:dyDescent="0.2">
      <c r="A682" s="3" t="s">
        <v>1008</v>
      </c>
      <c r="B682" s="3" t="s">
        <v>24</v>
      </c>
      <c r="C682" s="3" t="s">
        <v>29</v>
      </c>
      <c r="D682" s="3" t="s">
        <v>66</v>
      </c>
      <c r="E682" s="3" t="s">
        <v>166</v>
      </c>
      <c r="F682" s="3" t="s">
        <v>33</v>
      </c>
      <c r="G682" s="3" t="s">
        <v>19</v>
      </c>
      <c r="H682" s="3">
        <v>8187</v>
      </c>
      <c r="I682" s="3">
        <v>0</v>
      </c>
      <c r="J682" s="3">
        <v>4888</v>
      </c>
      <c r="K682" s="3">
        <v>7510</v>
      </c>
      <c r="L682" s="3">
        <v>1</v>
      </c>
      <c r="M682" s="3">
        <v>6980.2293040000004</v>
      </c>
    </row>
    <row r="683" spans="1:13" ht="14.25" customHeight="1" x14ac:dyDescent="0.2">
      <c r="A683" s="3" t="s">
        <v>1009</v>
      </c>
      <c r="B683" s="3" t="s">
        <v>68</v>
      </c>
      <c r="C683" s="3" t="s">
        <v>35</v>
      </c>
      <c r="D683" s="3" t="s">
        <v>25</v>
      </c>
      <c r="E683" s="3" t="s">
        <v>1010</v>
      </c>
      <c r="F683" s="3" t="s">
        <v>27</v>
      </c>
      <c r="G683" s="3" t="s">
        <v>19</v>
      </c>
      <c r="H683" s="3">
        <v>194</v>
      </c>
      <c r="I683" s="3">
        <v>0</v>
      </c>
      <c r="J683" s="3">
        <v>120</v>
      </c>
      <c r="K683" s="3">
        <v>160</v>
      </c>
      <c r="L683" s="3">
        <v>24</v>
      </c>
      <c r="M683" s="3">
        <v>6956.6273659999997</v>
      </c>
    </row>
    <row r="684" spans="1:13" ht="14.25" customHeight="1" x14ac:dyDescent="0.2">
      <c r="A684" s="3" t="s">
        <v>1011</v>
      </c>
      <c r="B684" s="3" t="s">
        <v>14</v>
      </c>
      <c r="C684" s="3" t="s">
        <v>29</v>
      </c>
      <c r="D684" s="3" t="s">
        <v>66</v>
      </c>
      <c r="E684" s="3" t="s">
        <v>1012</v>
      </c>
      <c r="F684" s="3" t="s">
        <v>27</v>
      </c>
      <c r="G684" s="3" t="s">
        <v>19</v>
      </c>
      <c r="H684" s="3">
        <v>7226</v>
      </c>
      <c r="I684" s="3">
        <v>0</v>
      </c>
      <c r="J684" s="3">
        <v>2266</v>
      </c>
      <c r="K684" s="3">
        <v>4728</v>
      </c>
      <c r="L684" s="3">
        <v>2</v>
      </c>
      <c r="M684" s="3">
        <v>6940.3207160000002</v>
      </c>
    </row>
    <row r="685" spans="1:13" ht="14.25" customHeight="1" x14ac:dyDescent="0.2">
      <c r="A685" s="3" t="s">
        <v>1013</v>
      </c>
      <c r="B685" s="3" t="s">
        <v>68</v>
      </c>
      <c r="C685" s="3" t="s">
        <v>32</v>
      </c>
      <c r="D685" s="3" t="s">
        <v>16</v>
      </c>
      <c r="E685" s="3" t="s">
        <v>1014</v>
      </c>
      <c r="F685" s="3" t="s">
        <v>27</v>
      </c>
      <c r="G685" s="3" t="s">
        <v>19</v>
      </c>
      <c r="H685" s="3">
        <v>2692</v>
      </c>
      <c r="I685" s="3">
        <v>0</v>
      </c>
      <c r="J685" s="3">
        <v>1520</v>
      </c>
      <c r="K685" s="3">
        <v>2626</v>
      </c>
      <c r="L685" s="3">
        <v>2</v>
      </c>
      <c r="M685" s="3">
        <v>6884.9914520000002</v>
      </c>
    </row>
    <row r="686" spans="1:13" ht="14.25" customHeight="1" x14ac:dyDescent="0.2">
      <c r="A686" s="3" t="s">
        <v>1015</v>
      </c>
      <c r="B686" s="3" t="s">
        <v>14</v>
      </c>
      <c r="C686" s="3" t="s">
        <v>29</v>
      </c>
      <c r="D686" s="3" t="s">
        <v>25</v>
      </c>
      <c r="E686" s="3" t="s">
        <v>805</v>
      </c>
      <c r="F686" s="3" t="s">
        <v>27</v>
      </c>
      <c r="G686" s="3" t="s">
        <v>19</v>
      </c>
      <c r="H686" s="3">
        <v>9463</v>
      </c>
      <c r="I686" s="3">
        <v>0</v>
      </c>
      <c r="J686" s="3">
        <v>1518</v>
      </c>
      <c r="K686" s="3">
        <v>8191</v>
      </c>
      <c r="L686" s="3">
        <v>1</v>
      </c>
      <c r="M686" s="3">
        <v>6879.6017069999998</v>
      </c>
    </row>
    <row r="687" spans="1:13" ht="14.25" customHeight="1" x14ac:dyDescent="0.2">
      <c r="A687" s="3" t="s">
        <v>1016</v>
      </c>
      <c r="B687" s="3" t="s">
        <v>24</v>
      </c>
      <c r="C687" s="3" t="s">
        <v>29</v>
      </c>
      <c r="D687" s="3" t="s">
        <v>43</v>
      </c>
      <c r="E687" s="3" t="s">
        <v>179</v>
      </c>
      <c r="F687" s="3" t="s">
        <v>27</v>
      </c>
      <c r="G687" s="3" t="s">
        <v>163</v>
      </c>
      <c r="H687" s="3">
        <v>28888</v>
      </c>
      <c r="I687" s="3">
        <v>0</v>
      </c>
      <c r="J687" s="3">
        <v>21437</v>
      </c>
      <c r="K687" s="3">
        <v>27586</v>
      </c>
      <c r="L687" s="3">
        <v>19</v>
      </c>
      <c r="M687" s="3">
        <v>6858.5781180000004</v>
      </c>
    </row>
    <row r="688" spans="1:13" ht="14.25" customHeight="1" x14ac:dyDescent="0.2">
      <c r="A688" s="3" t="s">
        <v>1017</v>
      </c>
      <c r="B688" s="3" t="s">
        <v>14</v>
      </c>
      <c r="C688" s="3" t="s">
        <v>35</v>
      </c>
      <c r="D688" s="3" t="s">
        <v>91</v>
      </c>
      <c r="E688" s="3" t="s">
        <v>396</v>
      </c>
      <c r="F688" s="3" t="s">
        <v>27</v>
      </c>
      <c r="G688" s="3" t="s">
        <v>19</v>
      </c>
      <c r="H688" s="3">
        <v>17582</v>
      </c>
      <c r="I688" s="3">
        <v>0</v>
      </c>
      <c r="J688" s="3">
        <v>9848</v>
      </c>
      <c r="K688" s="3">
        <v>16558</v>
      </c>
      <c r="L688" s="3">
        <v>8</v>
      </c>
      <c r="M688" s="3">
        <v>6846.4479149999997</v>
      </c>
    </row>
    <row r="689" spans="1:13" ht="14.25" customHeight="1" x14ac:dyDescent="0.2">
      <c r="A689" s="3" t="s">
        <v>1018</v>
      </c>
      <c r="B689" s="3" t="s">
        <v>24</v>
      </c>
      <c r="C689" s="3" t="s">
        <v>35</v>
      </c>
      <c r="D689" s="3" t="s">
        <v>16</v>
      </c>
      <c r="E689" s="3" t="s">
        <v>618</v>
      </c>
      <c r="F689" s="3" t="s">
        <v>41</v>
      </c>
      <c r="G689" s="3" t="s">
        <v>114</v>
      </c>
      <c r="H689" s="3">
        <v>25206</v>
      </c>
      <c r="I689" s="3">
        <v>0</v>
      </c>
      <c r="J689" s="3">
        <v>3588</v>
      </c>
      <c r="K689" s="3">
        <v>23556</v>
      </c>
      <c r="L689" s="3">
        <v>19</v>
      </c>
      <c r="M689" s="3">
        <v>6846.3564340000003</v>
      </c>
    </row>
    <row r="690" spans="1:13" ht="14.25" customHeight="1" x14ac:dyDescent="0.2">
      <c r="A690" s="3" t="s">
        <v>1019</v>
      </c>
      <c r="B690" s="3" t="s">
        <v>14</v>
      </c>
      <c r="C690" s="3" t="s">
        <v>35</v>
      </c>
      <c r="D690" s="3" t="s">
        <v>84</v>
      </c>
      <c r="E690" s="3" t="s">
        <v>1020</v>
      </c>
      <c r="F690" s="3" t="s">
        <v>27</v>
      </c>
      <c r="G690" s="3" t="s">
        <v>19</v>
      </c>
      <c r="H690" s="3">
        <v>130</v>
      </c>
      <c r="I690" s="3">
        <v>0</v>
      </c>
      <c r="J690" s="3">
        <v>72</v>
      </c>
      <c r="K690" s="3">
        <v>120</v>
      </c>
      <c r="L690" s="3">
        <v>23</v>
      </c>
      <c r="M690" s="3">
        <v>6833.6958089999998</v>
      </c>
    </row>
    <row r="691" spans="1:13" ht="14.25" customHeight="1" x14ac:dyDescent="0.2">
      <c r="A691" s="3" t="s">
        <v>1021</v>
      </c>
      <c r="B691" s="3" t="s">
        <v>24</v>
      </c>
      <c r="C691" s="3" t="s">
        <v>15</v>
      </c>
      <c r="D691" s="3" t="s">
        <v>70</v>
      </c>
      <c r="E691" s="3" t="s">
        <v>1022</v>
      </c>
      <c r="F691" s="3" t="s">
        <v>27</v>
      </c>
      <c r="G691" s="3" t="s">
        <v>114</v>
      </c>
      <c r="H691" s="3">
        <v>432</v>
      </c>
      <c r="I691" s="3">
        <v>0</v>
      </c>
      <c r="J691" s="3">
        <v>76</v>
      </c>
      <c r="K691" s="3">
        <v>418</v>
      </c>
      <c r="L691" s="3">
        <v>18</v>
      </c>
      <c r="M691" s="3">
        <v>6820.5437169999996</v>
      </c>
    </row>
    <row r="692" spans="1:13" ht="14.25" customHeight="1" x14ac:dyDescent="0.2">
      <c r="A692" s="3" t="s">
        <v>1023</v>
      </c>
      <c r="B692" s="3" t="s">
        <v>14</v>
      </c>
      <c r="C692" s="3" t="s">
        <v>29</v>
      </c>
      <c r="D692" s="3" t="s">
        <v>43</v>
      </c>
      <c r="E692" s="3" t="s">
        <v>1024</v>
      </c>
      <c r="F692" s="3" t="s">
        <v>27</v>
      </c>
      <c r="G692" s="3" t="s">
        <v>19</v>
      </c>
      <c r="H692" s="3">
        <v>2788</v>
      </c>
      <c r="I692" s="3">
        <v>0</v>
      </c>
      <c r="J692" s="3">
        <v>1589</v>
      </c>
      <c r="K692" s="3">
        <v>2608</v>
      </c>
      <c r="L692" s="3">
        <v>2</v>
      </c>
      <c r="M692" s="3">
        <v>6815.8387069999999</v>
      </c>
    </row>
    <row r="693" spans="1:13" ht="14.25" customHeight="1" x14ac:dyDescent="0.2">
      <c r="A693" s="3" t="s">
        <v>1025</v>
      </c>
      <c r="B693" s="3" t="s">
        <v>24</v>
      </c>
      <c r="C693" s="3" t="s">
        <v>29</v>
      </c>
      <c r="D693" s="3" t="s">
        <v>25</v>
      </c>
      <c r="E693" s="3" t="s">
        <v>72</v>
      </c>
      <c r="F693" s="3" t="s">
        <v>38</v>
      </c>
      <c r="G693" s="3" t="s">
        <v>163</v>
      </c>
      <c r="H693" s="3">
        <v>27592</v>
      </c>
      <c r="I693" s="3">
        <v>0</v>
      </c>
      <c r="J693" s="3">
        <v>10901</v>
      </c>
      <c r="K693" s="3">
        <v>24980</v>
      </c>
      <c r="L693" s="3">
        <v>17</v>
      </c>
      <c r="M693" s="3">
        <v>6809.3560219999999</v>
      </c>
    </row>
    <row r="694" spans="1:13" ht="14.25" customHeight="1" x14ac:dyDescent="0.2">
      <c r="A694" s="3" t="s">
        <v>1026</v>
      </c>
      <c r="B694" s="3" t="s">
        <v>24</v>
      </c>
      <c r="C694" s="3" t="s">
        <v>29</v>
      </c>
      <c r="D694" s="3" t="s">
        <v>25</v>
      </c>
      <c r="E694" s="3" t="s">
        <v>437</v>
      </c>
      <c r="F694" s="3" t="s">
        <v>27</v>
      </c>
      <c r="G694" s="3" t="s">
        <v>114</v>
      </c>
      <c r="H694" s="3">
        <v>24962</v>
      </c>
      <c r="I694" s="3">
        <v>0</v>
      </c>
      <c r="J694" s="3">
        <v>18450</v>
      </c>
      <c r="K694" s="3">
        <v>24128</v>
      </c>
      <c r="L694" s="3">
        <v>16</v>
      </c>
      <c r="M694" s="3">
        <v>6809.0560509999996</v>
      </c>
    </row>
    <row r="695" spans="1:13" ht="14.25" customHeight="1" x14ac:dyDescent="0.2">
      <c r="A695" s="3" t="s">
        <v>1027</v>
      </c>
      <c r="B695" s="3" t="s">
        <v>24</v>
      </c>
      <c r="C695" s="3" t="s">
        <v>15</v>
      </c>
      <c r="D695" s="3" t="s">
        <v>16</v>
      </c>
      <c r="E695" s="3" t="s">
        <v>1028</v>
      </c>
      <c r="F695" s="3" t="s">
        <v>58</v>
      </c>
      <c r="G695" s="3" t="s">
        <v>19</v>
      </c>
      <c r="H695" s="3">
        <v>6199</v>
      </c>
      <c r="I695" s="3">
        <v>0</v>
      </c>
      <c r="J695" s="3">
        <v>1690</v>
      </c>
      <c r="K695" s="3">
        <v>3865</v>
      </c>
      <c r="L695" s="3">
        <v>3</v>
      </c>
      <c r="M695" s="3">
        <v>6752.687465</v>
      </c>
    </row>
    <row r="696" spans="1:13" ht="14.25" customHeight="1" x14ac:dyDescent="0.2">
      <c r="A696" s="3" t="s">
        <v>1029</v>
      </c>
      <c r="B696" s="3" t="s">
        <v>68</v>
      </c>
      <c r="C696" s="3" t="s">
        <v>15</v>
      </c>
      <c r="D696" s="3" t="s">
        <v>25</v>
      </c>
      <c r="E696" s="3" t="s">
        <v>1030</v>
      </c>
      <c r="F696" s="3" t="s">
        <v>27</v>
      </c>
      <c r="G696" s="3" t="s">
        <v>19</v>
      </c>
      <c r="H696" s="3">
        <v>1017</v>
      </c>
      <c r="I696" s="3">
        <v>0</v>
      </c>
      <c r="J696" s="3">
        <v>262</v>
      </c>
      <c r="K696" s="3">
        <v>643</v>
      </c>
      <c r="L696" s="3">
        <v>3</v>
      </c>
      <c r="M696" s="3">
        <v>6750.5438130000002</v>
      </c>
    </row>
    <row r="697" spans="1:13" ht="14.25" customHeight="1" x14ac:dyDescent="0.2">
      <c r="A697" s="3" t="s">
        <v>1031</v>
      </c>
      <c r="B697" s="3" t="s">
        <v>24</v>
      </c>
      <c r="C697" s="3" t="s">
        <v>35</v>
      </c>
      <c r="D697" s="3" t="s">
        <v>45</v>
      </c>
      <c r="E697" s="3" t="s">
        <v>1032</v>
      </c>
      <c r="F697" s="3" t="s">
        <v>38</v>
      </c>
      <c r="G697" s="3" t="s">
        <v>19</v>
      </c>
      <c r="H697" s="3">
        <v>1404</v>
      </c>
      <c r="I697" s="3">
        <v>0</v>
      </c>
      <c r="J697" s="3">
        <v>706</v>
      </c>
      <c r="K697" s="3">
        <v>1290</v>
      </c>
      <c r="L697" s="3">
        <v>9</v>
      </c>
      <c r="M697" s="3">
        <v>6740.4845230000001</v>
      </c>
    </row>
    <row r="698" spans="1:13" ht="14.25" customHeight="1" x14ac:dyDescent="0.2">
      <c r="A698" s="3" t="s">
        <v>1033</v>
      </c>
      <c r="B698" s="3" t="s">
        <v>24</v>
      </c>
      <c r="C698" s="3" t="s">
        <v>32</v>
      </c>
      <c r="D698" s="3" t="s">
        <v>16</v>
      </c>
      <c r="E698" s="3" t="s">
        <v>269</v>
      </c>
      <c r="F698" s="3" t="s">
        <v>27</v>
      </c>
      <c r="G698" s="3" t="s">
        <v>19</v>
      </c>
      <c r="H698" s="3">
        <v>9404</v>
      </c>
      <c r="I698" s="3">
        <v>0</v>
      </c>
      <c r="J698" s="3">
        <v>4781</v>
      </c>
      <c r="K698" s="3">
        <v>7943</v>
      </c>
      <c r="L698" s="3">
        <v>1</v>
      </c>
      <c r="M698" s="3">
        <v>6730.0562829999999</v>
      </c>
    </row>
    <row r="699" spans="1:13" ht="14.25" customHeight="1" x14ac:dyDescent="0.2">
      <c r="A699" s="3" t="s">
        <v>1034</v>
      </c>
      <c r="B699" s="3" t="s">
        <v>14</v>
      </c>
      <c r="C699" s="3" t="s">
        <v>35</v>
      </c>
      <c r="D699" s="3" t="s">
        <v>25</v>
      </c>
      <c r="E699" s="3" t="s">
        <v>347</v>
      </c>
      <c r="F699" s="3" t="s">
        <v>58</v>
      </c>
      <c r="G699" s="3" t="s">
        <v>19</v>
      </c>
      <c r="H699" s="3">
        <v>2339</v>
      </c>
      <c r="I699" s="3">
        <v>0</v>
      </c>
      <c r="J699" s="3">
        <v>1087</v>
      </c>
      <c r="K699" s="3">
        <v>1510</v>
      </c>
      <c r="L699" s="3">
        <v>2</v>
      </c>
      <c r="M699" s="3">
        <v>6730.0000040000004</v>
      </c>
    </row>
    <row r="700" spans="1:13" ht="14.25" customHeight="1" x14ac:dyDescent="0.2">
      <c r="A700" s="3" t="s">
        <v>1035</v>
      </c>
      <c r="B700" s="3" t="s">
        <v>24</v>
      </c>
      <c r="C700" s="3" t="s">
        <v>29</v>
      </c>
      <c r="D700" s="3" t="s">
        <v>121</v>
      </c>
      <c r="E700" s="3" t="s">
        <v>529</v>
      </c>
      <c r="F700" s="3" t="s">
        <v>27</v>
      </c>
      <c r="G700" s="3" t="s">
        <v>163</v>
      </c>
      <c r="H700" s="3">
        <v>7695</v>
      </c>
      <c r="I700" s="3">
        <v>0</v>
      </c>
      <c r="J700" s="3">
        <v>3481</v>
      </c>
      <c r="K700" s="3">
        <v>7050</v>
      </c>
      <c r="L700" s="3">
        <v>14</v>
      </c>
      <c r="M700" s="3">
        <v>6727.4404990000003</v>
      </c>
    </row>
    <row r="701" spans="1:13" ht="14.25" customHeight="1" x14ac:dyDescent="0.2">
      <c r="A701" s="3" t="s">
        <v>1036</v>
      </c>
      <c r="B701" s="3" t="s">
        <v>68</v>
      </c>
      <c r="C701" s="3" t="s">
        <v>15</v>
      </c>
      <c r="D701" s="3" t="s">
        <v>43</v>
      </c>
      <c r="E701" s="3" t="s">
        <v>1037</v>
      </c>
      <c r="F701" s="3" t="s">
        <v>27</v>
      </c>
      <c r="G701" s="3" t="s">
        <v>19</v>
      </c>
      <c r="H701" s="3">
        <v>389</v>
      </c>
      <c r="I701" s="3">
        <v>0</v>
      </c>
      <c r="J701" s="3">
        <v>294</v>
      </c>
      <c r="K701" s="3">
        <v>346</v>
      </c>
      <c r="L701" s="3">
        <v>2</v>
      </c>
      <c r="M701" s="3">
        <v>6699.4753099999998</v>
      </c>
    </row>
    <row r="702" spans="1:13" ht="14.25" customHeight="1" x14ac:dyDescent="0.2">
      <c r="A702" s="3" t="s">
        <v>1038</v>
      </c>
      <c r="B702" s="3" t="s">
        <v>24</v>
      </c>
      <c r="C702" s="3" t="s">
        <v>35</v>
      </c>
      <c r="D702" s="3" t="s">
        <v>25</v>
      </c>
      <c r="E702" s="3" t="s">
        <v>239</v>
      </c>
      <c r="F702" s="3" t="s">
        <v>64</v>
      </c>
      <c r="G702" s="3" t="s">
        <v>114</v>
      </c>
      <c r="H702" s="3">
        <v>293</v>
      </c>
      <c r="I702" s="3">
        <v>0</v>
      </c>
      <c r="J702" s="3">
        <v>80</v>
      </c>
      <c r="K702" s="3">
        <v>239</v>
      </c>
      <c r="L702" s="3">
        <v>13</v>
      </c>
      <c r="M702" s="3">
        <v>6692.688416</v>
      </c>
    </row>
    <row r="703" spans="1:13" ht="14.25" customHeight="1" x14ac:dyDescent="0.2">
      <c r="A703" s="3" t="s">
        <v>1039</v>
      </c>
      <c r="B703" s="3" t="s">
        <v>24</v>
      </c>
      <c r="C703" s="3" t="s">
        <v>32</v>
      </c>
      <c r="D703" s="3" t="s">
        <v>66</v>
      </c>
      <c r="E703" s="3" t="s">
        <v>1040</v>
      </c>
      <c r="F703" s="3" t="s">
        <v>58</v>
      </c>
      <c r="G703" s="3" t="s">
        <v>19</v>
      </c>
      <c r="H703" s="3">
        <v>4533</v>
      </c>
      <c r="I703" s="3">
        <v>0</v>
      </c>
      <c r="J703" s="3">
        <v>3838</v>
      </c>
      <c r="K703" s="3">
        <v>4255</v>
      </c>
      <c r="L703" s="3">
        <v>3</v>
      </c>
      <c r="M703" s="3">
        <v>6686.988128</v>
      </c>
    </row>
    <row r="704" spans="1:13" ht="14.25" customHeight="1" x14ac:dyDescent="0.2">
      <c r="A704" s="3" t="s">
        <v>1041</v>
      </c>
      <c r="B704" s="3" t="s">
        <v>24</v>
      </c>
      <c r="C704" s="3" t="s">
        <v>35</v>
      </c>
      <c r="D704" s="3" t="s">
        <v>21</v>
      </c>
      <c r="E704" s="3" t="s">
        <v>1042</v>
      </c>
      <c r="F704" s="3" t="s">
        <v>38</v>
      </c>
      <c r="G704" s="3" t="s">
        <v>114</v>
      </c>
      <c r="H704" s="3">
        <v>353</v>
      </c>
      <c r="I704" s="3">
        <v>0</v>
      </c>
      <c r="J704" s="3">
        <v>108</v>
      </c>
      <c r="K704" s="3">
        <v>325</v>
      </c>
      <c r="L704" s="3">
        <v>13</v>
      </c>
      <c r="M704" s="3">
        <v>6685.2857839999997</v>
      </c>
    </row>
    <row r="705" spans="1:13" ht="14.25" customHeight="1" x14ac:dyDescent="0.2">
      <c r="A705" s="3" t="s">
        <v>1043</v>
      </c>
      <c r="B705" s="3" t="s">
        <v>24</v>
      </c>
      <c r="C705" s="3" t="s">
        <v>35</v>
      </c>
      <c r="D705" s="3" t="s">
        <v>86</v>
      </c>
      <c r="E705" s="3" t="s">
        <v>1044</v>
      </c>
      <c r="F705" s="3" t="s">
        <v>27</v>
      </c>
      <c r="G705" s="3" t="s">
        <v>19</v>
      </c>
      <c r="H705" s="3">
        <v>7628</v>
      </c>
      <c r="I705" s="3">
        <v>0</v>
      </c>
      <c r="J705" s="3">
        <v>5048</v>
      </c>
      <c r="K705" s="3">
        <v>7154</v>
      </c>
      <c r="L705" s="3">
        <v>1</v>
      </c>
      <c r="M705" s="3">
        <v>6684.0628040000001</v>
      </c>
    </row>
    <row r="706" spans="1:13" ht="14.25" customHeight="1" x14ac:dyDescent="0.2">
      <c r="A706" s="3" t="s">
        <v>1045</v>
      </c>
      <c r="B706" s="3" t="s">
        <v>68</v>
      </c>
      <c r="C706" s="3" t="s">
        <v>35</v>
      </c>
      <c r="D706" s="3" t="s">
        <v>25</v>
      </c>
      <c r="E706" s="3" t="s">
        <v>554</v>
      </c>
      <c r="F706" s="3" t="s">
        <v>27</v>
      </c>
      <c r="G706" s="3" t="s">
        <v>19</v>
      </c>
      <c r="H706" s="3">
        <v>364</v>
      </c>
      <c r="I706" s="3">
        <v>0</v>
      </c>
      <c r="J706" s="3">
        <v>199</v>
      </c>
      <c r="K706" s="3">
        <v>321</v>
      </c>
      <c r="L706" s="3">
        <v>2</v>
      </c>
      <c r="M706" s="3">
        <v>6676.171472</v>
      </c>
    </row>
    <row r="707" spans="1:13" ht="14.25" customHeight="1" x14ac:dyDescent="0.2">
      <c r="A707" s="3" t="s">
        <v>1046</v>
      </c>
      <c r="B707" s="3" t="s">
        <v>14</v>
      </c>
      <c r="C707" s="3" t="s">
        <v>32</v>
      </c>
      <c r="D707" s="3" t="s">
        <v>532</v>
      </c>
      <c r="E707" s="3" t="s">
        <v>72</v>
      </c>
      <c r="F707" s="3" t="s">
        <v>323</v>
      </c>
      <c r="G707" s="3" t="s">
        <v>19</v>
      </c>
      <c r="H707" s="3">
        <v>83957</v>
      </c>
      <c r="I707" s="3">
        <v>0</v>
      </c>
      <c r="J707" s="3">
        <v>1420</v>
      </c>
      <c r="K707" s="3">
        <v>69246</v>
      </c>
      <c r="L707" s="3">
        <v>4</v>
      </c>
      <c r="M707" s="3">
        <v>6651.51451</v>
      </c>
    </row>
    <row r="708" spans="1:13" ht="14.25" customHeight="1" x14ac:dyDescent="0.2">
      <c r="A708" s="3" t="s">
        <v>1047</v>
      </c>
      <c r="B708" s="3" t="s">
        <v>24</v>
      </c>
      <c r="C708" s="3" t="s">
        <v>35</v>
      </c>
      <c r="D708" s="3" t="s">
        <v>91</v>
      </c>
      <c r="E708" s="3" t="s">
        <v>149</v>
      </c>
      <c r="F708" s="3" t="s">
        <v>81</v>
      </c>
      <c r="G708" s="3" t="s">
        <v>114</v>
      </c>
      <c r="H708" s="3">
        <v>3046</v>
      </c>
      <c r="I708" s="3">
        <v>0</v>
      </c>
      <c r="J708" s="3">
        <v>2183</v>
      </c>
      <c r="K708" s="3">
        <v>2775</v>
      </c>
      <c r="L708" s="3">
        <v>13</v>
      </c>
      <c r="M708" s="3">
        <v>6643.9665420000001</v>
      </c>
    </row>
    <row r="709" spans="1:13" ht="14.25" customHeight="1" x14ac:dyDescent="0.2">
      <c r="A709" s="3" t="s">
        <v>1048</v>
      </c>
      <c r="B709" s="3" t="s">
        <v>24</v>
      </c>
      <c r="C709" s="3" t="s">
        <v>15</v>
      </c>
      <c r="D709" s="3" t="s">
        <v>70</v>
      </c>
      <c r="E709" s="3" t="s">
        <v>1049</v>
      </c>
      <c r="F709" s="3" t="s">
        <v>18</v>
      </c>
      <c r="G709" s="3" t="s">
        <v>19</v>
      </c>
      <c r="H709" s="3">
        <v>3865</v>
      </c>
      <c r="I709" s="3">
        <v>0</v>
      </c>
      <c r="J709" s="3">
        <v>2144</v>
      </c>
      <c r="K709" s="3">
        <v>3637</v>
      </c>
      <c r="L709" s="3">
        <v>3</v>
      </c>
      <c r="M709" s="3">
        <v>6622.1902419999997</v>
      </c>
    </row>
    <row r="710" spans="1:13" ht="14.25" customHeight="1" x14ac:dyDescent="0.2">
      <c r="A710" s="3" t="s">
        <v>1050</v>
      </c>
      <c r="B710" s="3" t="s">
        <v>14</v>
      </c>
      <c r="C710" s="3" t="s">
        <v>32</v>
      </c>
      <c r="D710" s="3" t="s">
        <v>312</v>
      </c>
      <c r="E710" s="3" t="s">
        <v>891</v>
      </c>
      <c r="F710" s="3" t="s">
        <v>41</v>
      </c>
      <c r="G710" s="3" t="s">
        <v>19</v>
      </c>
      <c r="H710" s="3">
        <v>25</v>
      </c>
      <c r="I710" s="3">
        <v>0</v>
      </c>
      <c r="J710" s="3">
        <v>13</v>
      </c>
      <c r="K710" s="3">
        <v>24</v>
      </c>
      <c r="L710" s="3">
        <v>4</v>
      </c>
      <c r="M710" s="3">
        <v>6603.8708559999995</v>
      </c>
    </row>
    <row r="711" spans="1:13" ht="14.25" customHeight="1" x14ac:dyDescent="0.2">
      <c r="A711" s="3" t="s">
        <v>1051</v>
      </c>
      <c r="B711" s="3" t="s">
        <v>14</v>
      </c>
      <c r="C711" s="3" t="s">
        <v>15</v>
      </c>
      <c r="D711" s="3" t="s">
        <v>343</v>
      </c>
      <c r="E711" s="3" t="s">
        <v>1052</v>
      </c>
      <c r="F711" s="3" t="s">
        <v>22</v>
      </c>
      <c r="G711" s="3" t="s">
        <v>19</v>
      </c>
      <c r="H711" s="3">
        <v>7143</v>
      </c>
      <c r="I711" s="3">
        <v>0</v>
      </c>
      <c r="J711" s="3">
        <v>3470</v>
      </c>
      <c r="K711" s="3">
        <v>5926</v>
      </c>
      <c r="L711" s="3">
        <v>1</v>
      </c>
      <c r="M711" s="3">
        <v>6593.5110999999997</v>
      </c>
    </row>
    <row r="712" spans="1:13" ht="14.25" customHeight="1" x14ac:dyDescent="0.2">
      <c r="A712" s="3" t="s">
        <v>1053</v>
      </c>
      <c r="B712" s="3" t="s">
        <v>14</v>
      </c>
      <c r="C712" s="3" t="s">
        <v>32</v>
      </c>
      <c r="D712" s="3" t="s">
        <v>43</v>
      </c>
      <c r="E712" s="3" t="s">
        <v>1054</v>
      </c>
      <c r="F712" s="3" t="s">
        <v>38</v>
      </c>
      <c r="G712" s="3" t="s">
        <v>19</v>
      </c>
      <c r="H712" s="3">
        <v>474</v>
      </c>
      <c r="I712" s="3">
        <v>0</v>
      </c>
      <c r="J712" s="3">
        <v>181</v>
      </c>
      <c r="K712" s="3">
        <v>456</v>
      </c>
      <c r="L712" s="3">
        <v>11</v>
      </c>
      <c r="M712" s="3">
        <v>6593.2177819999997</v>
      </c>
    </row>
    <row r="713" spans="1:13" ht="14.25" customHeight="1" x14ac:dyDescent="0.2">
      <c r="A713" s="3" t="s">
        <v>1055</v>
      </c>
      <c r="B713" s="3" t="s">
        <v>14</v>
      </c>
      <c r="C713" s="3" t="s">
        <v>32</v>
      </c>
      <c r="D713" s="3" t="s">
        <v>91</v>
      </c>
      <c r="E713" s="3" t="s">
        <v>1056</v>
      </c>
      <c r="F713" s="3" t="s">
        <v>50</v>
      </c>
      <c r="G713" s="3" t="s">
        <v>19</v>
      </c>
      <c r="H713" s="3">
        <v>2227</v>
      </c>
      <c r="I713" s="3">
        <v>0</v>
      </c>
      <c r="J713" s="3">
        <v>1755</v>
      </c>
      <c r="K713" s="3">
        <v>2139</v>
      </c>
      <c r="L713" s="3">
        <v>2</v>
      </c>
      <c r="M713" s="3">
        <v>6589.9788580000004</v>
      </c>
    </row>
    <row r="714" spans="1:13" ht="14.25" customHeight="1" x14ac:dyDescent="0.2">
      <c r="A714" s="3" t="s">
        <v>1057</v>
      </c>
      <c r="B714" s="3" t="s">
        <v>24</v>
      </c>
      <c r="C714" s="3" t="s">
        <v>15</v>
      </c>
      <c r="D714" s="3" t="s">
        <v>86</v>
      </c>
      <c r="E714" s="3" t="s">
        <v>1058</v>
      </c>
      <c r="F714" s="3" t="s">
        <v>41</v>
      </c>
      <c r="G714" s="3" t="s">
        <v>163</v>
      </c>
      <c r="H714" s="3">
        <v>9517</v>
      </c>
      <c r="I714" s="3">
        <v>0</v>
      </c>
      <c r="J714" s="3">
        <v>4790</v>
      </c>
      <c r="K714" s="3">
        <v>8421</v>
      </c>
      <c r="L714" s="3">
        <v>12</v>
      </c>
      <c r="M714" s="3">
        <v>6559.859555</v>
      </c>
    </row>
    <row r="715" spans="1:13" ht="14.25" customHeight="1" x14ac:dyDescent="0.2">
      <c r="A715" s="3" t="s">
        <v>1059</v>
      </c>
      <c r="B715" s="3" t="s">
        <v>24</v>
      </c>
      <c r="C715" s="3" t="s">
        <v>32</v>
      </c>
      <c r="D715" s="3" t="s">
        <v>66</v>
      </c>
      <c r="E715" s="3" t="s">
        <v>149</v>
      </c>
      <c r="F715" s="3" t="s">
        <v>22</v>
      </c>
      <c r="G715" s="3" t="s">
        <v>114</v>
      </c>
      <c r="H715" s="3">
        <v>120837</v>
      </c>
      <c r="I715" s="3">
        <v>0</v>
      </c>
      <c r="J715" s="3">
        <v>11550</v>
      </c>
      <c r="K715" s="3">
        <v>15105</v>
      </c>
      <c r="L715" s="3">
        <v>12</v>
      </c>
      <c r="M715" s="3">
        <v>6556.2257099999997</v>
      </c>
    </row>
    <row r="716" spans="1:13" ht="14.25" customHeight="1" x14ac:dyDescent="0.2">
      <c r="A716" s="3" t="s">
        <v>1060</v>
      </c>
      <c r="B716" s="3" t="s">
        <v>14</v>
      </c>
      <c r="C716" s="3" t="s">
        <v>29</v>
      </c>
      <c r="D716" s="3" t="s">
        <v>205</v>
      </c>
      <c r="E716" s="3" t="s">
        <v>733</v>
      </c>
      <c r="F716" s="3" t="s">
        <v>27</v>
      </c>
      <c r="G716" s="3" t="s">
        <v>19</v>
      </c>
      <c r="H716" s="3">
        <v>9261</v>
      </c>
      <c r="I716" s="3">
        <v>0</v>
      </c>
      <c r="J716" s="3">
        <v>3852</v>
      </c>
      <c r="K716" s="3">
        <v>8526</v>
      </c>
      <c r="L716" s="3">
        <v>1</v>
      </c>
      <c r="M716" s="3">
        <v>6511.0295759999999</v>
      </c>
    </row>
    <row r="717" spans="1:13" ht="14.25" customHeight="1" x14ac:dyDescent="0.2">
      <c r="A717" s="3" t="s">
        <v>1061</v>
      </c>
      <c r="B717" s="3" t="s">
        <v>24</v>
      </c>
      <c r="C717" s="3" t="s">
        <v>15</v>
      </c>
      <c r="D717" s="3" t="s">
        <v>45</v>
      </c>
      <c r="E717" s="3" t="s">
        <v>1062</v>
      </c>
      <c r="F717" s="3" t="s">
        <v>22</v>
      </c>
      <c r="G717" s="3" t="s">
        <v>19</v>
      </c>
      <c r="H717" s="3">
        <v>6639</v>
      </c>
      <c r="I717" s="3">
        <v>0</v>
      </c>
      <c r="J717" s="3">
        <v>3586</v>
      </c>
      <c r="K717" s="3">
        <v>6182</v>
      </c>
      <c r="L717" s="3">
        <v>3</v>
      </c>
      <c r="M717" s="3">
        <v>6496.6686929999996</v>
      </c>
    </row>
    <row r="718" spans="1:13" ht="14.25" customHeight="1" x14ac:dyDescent="0.2">
      <c r="A718" s="3" t="s">
        <v>1063</v>
      </c>
      <c r="B718" s="3" t="s">
        <v>14</v>
      </c>
      <c r="C718" s="3" t="s">
        <v>32</v>
      </c>
      <c r="D718" s="3" t="s">
        <v>78</v>
      </c>
      <c r="E718" s="3" t="s">
        <v>618</v>
      </c>
      <c r="F718" s="3" t="s">
        <v>27</v>
      </c>
      <c r="G718" s="3" t="s">
        <v>19</v>
      </c>
      <c r="H718" s="3">
        <v>3333</v>
      </c>
      <c r="I718" s="3">
        <v>0</v>
      </c>
      <c r="J718" s="3">
        <v>764</v>
      </c>
      <c r="K718" s="3">
        <v>2831</v>
      </c>
      <c r="L718" s="3">
        <v>3</v>
      </c>
      <c r="M718" s="3">
        <v>6486.5094069999996</v>
      </c>
    </row>
    <row r="719" spans="1:13" ht="14.25" customHeight="1" x14ac:dyDescent="0.2">
      <c r="A719" s="3" t="s">
        <v>1064</v>
      </c>
      <c r="B719" s="3" t="s">
        <v>24</v>
      </c>
      <c r="C719" s="3" t="s">
        <v>35</v>
      </c>
      <c r="D719" s="3" t="s">
        <v>25</v>
      </c>
      <c r="E719" s="3" t="s">
        <v>40</v>
      </c>
      <c r="F719" s="3" t="s">
        <v>27</v>
      </c>
      <c r="G719" s="3" t="s">
        <v>163</v>
      </c>
      <c r="H719" s="3">
        <v>6984</v>
      </c>
      <c r="I719" s="3">
        <v>0</v>
      </c>
      <c r="J719" s="3">
        <v>3596</v>
      </c>
      <c r="K719" s="3">
        <v>5925</v>
      </c>
      <c r="L719" s="3">
        <v>11</v>
      </c>
      <c r="M719" s="3">
        <v>6476.4486550000001</v>
      </c>
    </row>
    <row r="720" spans="1:13" ht="14.25" customHeight="1" x14ac:dyDescent="0.2">
      <c r="A720" s="3" t="s">
        <v>1065</v>
      </c>
      <c r="B720" s="3" t="s">
        <v>24</v>
      </c>
      <c r="C720" s="3" t="s">
        <v>15</v>
      </c>
      <c r="D720" s="3" t="s">
        <v>66</v>
      </c>
      <c r="E720" s="3" t="s">
        <v>425</v>
      </c>
      <c r="F720" s="3" t="s">
        <v>27</v>
      </c>
      <c r="G720" s="3" t="s">
        <v>114</v>
      </c>
      <c r="H720" s="3">
        <v>3202</v>
      </c>
      <c r="I720" s="3">
        <v>0</v>
      </c>
      <c r="J720" s="3">
        <v>2221</v>
      </c>
      <c r="K720" s="3">
        <v>3086</v>
      </c>
      <c r="L720" s="3">
        <v>11</v>
      </c>
      <c r="M720" s="3">
        <v>6441.6129060000003</v>
      </c>
    </row>
    <row r="721" spans="1:13" ht="14.25" customHeight="1" x14ac:dyDescent="0.2">
      <c r="A721" s="3" t="s">
        <v>1066</v>
      </c>
      <c r="B721" s="3" t="s">
        <v>68</v>
      </c>
      <c r="C721" s="3" t="s">
        <v>35</v>
      </c>
      <c r="D721" s="3" t="s">
        <v>16</v>
      </c>
      <c r="E721" s="3" t="s">
        <v>485</v>
      </c>
      <c r="F721" s="3" t="s">
        <v>64</v>
      </c>
      <c r="G721" s="3" t="s">
        <v>19</v>
      </c>
      <c r="H721" s="3">
        <v>11734</v>
      </c>
      <c r="I721" s="3">
        <v>0</v>
      </c>
      <c r="J721" s="3">
        <v>8741</v>
      </c>
      <c r="K721" s="3">
        <v>10606</v>
      </c>
      <c r="L721" s="3">
        <v>1</v>
      </c>
      <c r="M721" s="3">
        <v>6439.2834979999998</v>
      </c>
    </row>
    <row r="722" spans="1:13" ht="14.25" customHeight="1" x14ac:dyDescent="0.2">
      <c r="A722" s="3" t="s">
        <v>1067</v>
      </c>
      <c r="B722" s="3" t="s">
        <v>24</v>
      </c>
      <c r="C722" s="3" t="s">
        <v>15</v>
      </c>
      <c r="D722" s="3" t="s">
        <v>70</v>
      </c>
      <c r="E722" s="3" t="s">
        <v>1068</v>
      </c>
      <c r="F722" s="3" t="s">
        <v>76</v>
      </c>
      <c r="G722" s="3" t="s">
        <v>114</v>
      </c>
      <c r="H722" s="3">
        <v>2586</v>
      </c>
      <c r="I722" s="3">
        <v>0</v>
      </c>
      <c r="J722" s="3">
        <v>1206</v>
      </c>
      <c r="K722" s="3">
        <v>2385</v>
      </c>
      <c r="L722" s="3">
        <v>11</v>
      </c>
      <c r="M722" s="3">
        <v>6438.1899050000002</v>
      </c>
    </row>
    <row r="723" spans="1:13" ht="14.25" customHeight="1" x14ac:dyDescent="0.2">
      <c r="A723" s="3" t="s">
        <v>1069</v>
      </c>
      <c r="B723" s="3" t="s">
        <v>24</v>
      </c>
      <c r="C723" s="3" t="s">
        <v>29</v>
      </c>
      <c r="D723" s="3" t="s">
        <v>43</v>
      </c>
      <c r="E723" s="3" t="s">
        <v>895</v>
      </c>
      <c r="F723" s="3" t="s">
        <v>27</v>
      </c>
      <c r="G723" s="3" t="s">
        <v>163</v>
      </c>
      <c r="H723" s="3">
        <v>39725</v>
      </c>
      <c r="I723" s="3">
        <v>0</v>
      </c>
      <c r="J723" s="3">
        <v>5402</v>
      </c>
      <c r="K723" s="3">
        <v>36080</v>
      </c>
      <c r="L723" s="3">
        <v>11</v>
      </c>
      <c r="M723" s="3">
        <v>6431.5551519999999</v>
      </c>
    </row>
    <row r="724" spans="1:13" ht="14.25" customHeight="1" x14ac:dyDescent="0.2">
      <c r="A724" s="3" t="s">
        <v>1070</v>
      </c>
      <c r="B724" s="3" t="s">
        <v>68</v>
      </c>
      <c r="C724" s="3" t="s">
        <v>15</v>
      </c>
      <c r="D724" s="3" t="s">
        <v>70</v>
      </c>
      <c r="E724" s="3" t="s">
        <v>1071</v>
      </c>
      <c r="F724" s="3" t="s">
        <v>64</v>
      </c>
      <c r="G724" s="3" t="s">
        <v>19</v>
      </c>
      <c r="H724" s="3">
        <v>9560</v>
      </c>
      <c r="I724" s="3">
        <v>0</v>
      </c>
      <c r="J724" s="3">
        <v>3076</v>
      </c>
      <c r="K724" s="3">
        <v>6252</v>
      </c>
      <c r="L724" s="3">
        <v>17</v>
      </c>
      <c r="M724" s="3">
        <v>6420.2181229999997</v>
      </c>
    </row>
    <row r="725" spans="1:13" ht="14.25" customHeight="1" x14ac:dyDescent="0.2">
      <c r="A725" s="3" t="s">
        <v>1072</v>
      </c>
      <c r="B725" s="3" t="s">
        <v>14</v>
      </c>
      <c r="C725" s="3" t="s">
        <v>29</v>
      </c>
      <c r="D725" s="3" t="s">
        <v>447</v>
      </c>
      <c r="E725" s="3" t="s">
        <v>1073</v>
      </c>
      <c r="F725" s="3" t="s">
        <v>33</v>
      </c>
      <c r="G725" s="3" t="s">
        <v>19</v>
      </c>
      <c r="H725" s="3">
        <v>8233</v>
      </c>
      <c r="I725" s="3">
        <v>0</v>
      </c>
      <c r="J725" s="3">
        <v>5361</v>
      </c>
      <c r="K725" s="3">
        <v>7643</v>
      </c>
      <c r="L725" s="3">
        <v>1</v>
      </c>
      <c r="M725" s="3">
        <v>6381.0065759999998</v>
      </c>
    </row>
    <row r="726" spans="1:13" ht="14.25" customHeight="1" x14ac:dyDescent="0.2">
      <c r="A726" s="3" t="s">
        <v>1074</v>
      </c>
      <c r="B726" s="3" t="s">
        <v>14</v>
      </c>
      <c r="C726" s="3" t="s">
        <v>35</v>
      </c>
      <c r="D726" s="3" t="s">
        <v>304</v>
      </c>
      <c r="E726" s="3" t="s">
        <v>79</v>
      </c>
      <c r="F726" s="3" t="s">
        <v>41</v>
      </c>
      <c r="G726" s="3" t="s">
        <v>19</v>
      </c>
      <c r="H726" s="3">
        <v>42884</v>
      </c>
      <c r="I726" s="3">
        <v>0</v>
      </c>
      <c r="J726" s="3">
        <v>4345</v>
      </c>
      <c r="K726" s="3">
        <v>25153</v>
      </c>
      <c r="L726" s="3">
        <v>1</v>
      </c>
      <c r="M726" s="3">
        <v>6322.1526549999999</v>
      </c>
    </row>
    <row r="727" spans="1:13" ht="14.25" customHeight="1" x14ac:dyDescent="0.2">
      <c r="A727" s="3" t="s">
        <v>1075</v>
      </c>
      <c r="B727" s="3" t="s">
        <v>24</v>
      </c>
      <c r="C727" s="3" t="s">
        <v>15</v>
      </c>
      <c r="D727" s="3" t="s">
        <v>25</v>
      </c>
      <c r="E727" s="3" t="s">
        <v>1076</v>
      </c>
      <c r="F727" s="3" t="s">
        <v>38</v>
      </c>
      <c r="G727" s="3" t="s">
        <v>114</v>
      </c>
      <c r="H727" s="3">
        <v>2560</v>
      </c>
      <c r="I727" s="3">
        <v>0</v>
      </c>
      <c r="J727" s="3">
        <v>1397</v>
      </c>
      <c r="K727" s="3">
        <v>2433</v>
      </c>
      <c r="L727" s="3">
        <v>10</v>
      </c>
      <c r="M727" s="3">
        <v>6320.497214</v>
      </c>
    </row>
    <row r="728" spans="1:13" ht="14.25" customHeight="1" x14ac:dyDescent="0.2">
      <c r="A728" s="3" t="s">
        <v>1077</v>
      </c>
      <c r="B728" s="3" t="s">
        <v>14</v>
      </c>
      <c r="C728" s="3" t="s">
        <v>32</v>
      </c>
      <c r="D728" s="3" t="s">
        <v>91</v>
      </c>
      <c r="E728" s="3" t="s">
        <v>1078</v>
      </c>
      <c r="F728" s="3" t="s">
        <v>27</v>
      </c>
      <c r="G728" s="3" t="s">
        <v>19</v>
      </c>
      <c r="H728" s="3">
        <v>325</v>
      </c>
      <c r="I728" s="3">
        <v>0</v>
      </c>
      <c r="J728" s="3">
        <v>199</v>
      </c>
      <c r="K728" s="3">
        <v>280</v>
      </c>
      <c r="L728" s="3">
        <v>2</v>
      </c>
      <c r="M728" s="3">
        <v>6296.348704</v>
      </c>
    </row>
    <row r="729" spans="1:13" ht="14.25" customHeight="1" x14ac:dyDescent="0.2">
      <c r="A729" s="3" t="s">
        <v>1079</v>
      </c>
      <c r="B729" s="3" t="s">
        <v>68</v>
      </c>
      <c r="C729" s="3" t="s">
        <v>15</v>
      </c>
      <c r="D729" s="3" t="s">
        <v>43</v>
      </c>
      <c r="E729" s="3" t="s">
        <v>1080</v>
      </c>
      <c r="F729" s="3" t="s">
        <v>41</v>
      </c>
      <c r="G729" s="3" t="s">
        <v>19</v>
      </c>
      <c r="H729" s="3">
        <v>10565</v>
      </c>
      <c r="I729" s="3">
        <v>0</v>
      </c>
      <c r="J729" s="3">
        <v>6248</v>
      </c>
      <c r="K729" s="3">
        <v>10141</v>
      </c>
      <c r="L729" s="3">
        <v>9</v>
      </c>
      <c r="M729" s="3">
        <v>6236.1130940000003</v>
      </c>
    </row>
    <row r="730" spans="1:13" ht="14.25" customHeight="1" x14ac:dyDescent="0.2">
      <c r="A730" s="3" t="s">
        <v>1081</v>
      </c>
      <c r="B730" s="3" t="s">
        <v>14</v>
      </c>
      <c r="C730" s="3" t="s">
        <v>29</v>
      </c>
      <c r="D730" s="3" t="s">
        <v>43</v>
      </c>
      <c r="E730" s="3" t="s">
        <v>772</v>
      </c>
      <c r="F730" s="3" t="s">
        <v>58</v>
      </c>
      <c r="G730" s="3" t="s">
        <v>19</v>
      </c>
      <c r="H730" s="3">
        <v>15252</v>
      </c>
      <c r="I730" s="3">
        <v>0</v>
      </c>
      <c r="J730" s="3">
        <v>2152</v>
      </c>
      <c r="K730" s="3">
        <v>3482</v>
      </c>
      <c r="L730" s="3">
        <v>7</v>
      </c>
      <c r="M730" s="3">
        <v>6211.2001469999996</v>
      </c>
    </row>
    <row r="731" spans="1:13" ht="14.25" customHeight="1" x14ac:dyDescent="0.2">
      <c r="A731" s="3" t="s">
        <v>1082</v>
      </c>
      <c r="B731" s="3" t="s">
        <v>24</v>
      </c>
      <c r="C731" s="3" t="s">
        <v>29</v>
      </c>
      <c r="D731" s="3" t="s">
        <v>25</v>
      </c>
      <c r="E731" s="3" t="s">
        <v>1083</v>
      </c>
      <c r="F731" s="3" t="s">
        <v>38</v>
      </c>
      <c r="G731" s="3" t="s">
        <v>19</v>
      </c>
      <c r="H731" s="3">
        <v>11417</v>
      </c>
      <c r="I731" s="3">
        <v>0</v>
      </c>
      <c r="J731" s="3">
        <v>1387</v>
      </c>
      <c r="K731" s="3">
        <v>9924</v>
      </c>
      <c r="L731" s="3">
        <v>1</v>
      </c>
      <c r="M731" s="3">
        <v>6206.6371079999999</v>
      </c>
    </row>
    <row r="732" spans="1:13" ht="14.25" customHeight="1" x14ac:dyDescent="0.2">
      <c r="A732" s="3" t="s">
        <v>1084</v>
      </c>
      <c r="B732" s="3" t="s">
        <v>24</v>
      </c>
      <c r="C732" s="3" t="s">
        <v>29</v>
      </c>
      <c r="D732" s="3" t="s">
        <v>25</v>
      </c>
      <c r="E732" s="3" t="s">
        <v>1085</v>
      </c>
      <c r="F732" s="3" t="s">
        <v>27</v>
      </c>
      <c r="G732" s="3" t="s">
        <v>114</v>
      </c>
      <c r="H732" s="3">
        <v>2502</v>
      </c>
      <c r="I732" s="3">
        <v>0</v>
      </c>
      <c r="J732" s="3">
        <v>701</v>
      </c>
      <c r="K732" s="3">
        <v>2349</v>
      </c>
      <c r="L732" s="3">
        <v>24</v>
      </c>
      <c r="M732" s="3">
        <v>6206.6337309999999</v>
      </c>
    </row>
    <row r="733" spans="1:13" ht="14.25" customHeight="1" x14ac:dyDescent="0.2">
      <c r="A733" s="3" t="s">
        <v>1086</v>
      </c>
      <c r="B733" s="3" t="s">
        <v>14</v>
      </c>
      <c r="C733" s="3" t="s">
        <v>29</v>
      </c>
      <c r="D733" s="3" t="s">
        <v>503</v>
      </c>
      <c r="E733" s="3" t="s">
        <v>406</v>
      </c>
      <c r="F733" s="3" t="s">
        <v>41</v>
      </c>
      <c r="G733" s="3" t="s">
        <v>19</v>
      </c>
      <c r="H733" s="3">
        <v>90463</v>
      </c>
      <c r="I733" s="3">
        <v>0</v>
      </c>
      <c r="J733" s="3">
        <v>803</v>
      </c>
      <c r="K733" s="3">
        <v>2465</v>
      </c>
      <c r="L733" s="3">
        <v>2</v>
      </c>
      <c r="M733" s="3">
        <v>6120.6025140000002</v>
      </c>
    </row>
    <row r="734" spans="1:13" ht="14.25" customHeight="1" x14ac:dyDescent="0.2">
      <c r="A734" s="3" t="s">
        <v>1087</v>
      </c>
      <c r="B734" s="3" t="s">
        <v>14</v>
      </c>
      <c r="C734" s="3" t="s">
        <v>15</v>
      </c>
      <c r="D734" s="3" t="s">
        <v>25</v>
      </c>
      <c r="E734" s="3" t="s">
        <v>1088</v>
      </c>
      <c r="F734" s="3" t="s">
        <v>22</v>
      </c>
      <c r="G734" s="3" t="s">
        <v>19</v>
      </c>
      <c r="H734" s="3">
        <v>233</v>
      </c>
      <c r="I734" s="3">
        <v>0</v>
      </c>
      <c r="J734" s="3">
        <v>92</v>
      </c>
      <c r="K734" s="3">
        <v>164</v>
      </c>
      <c r="L734" s="3">
        <v>1</v>
      </c>
      <c r="M734" s="3">
        <v>6117.5142759999999</v>
      </c>
    </row>
    <row r="735" spans="1:13" ht="14.25" customHeight="1" x14ac:dyDescent="0.2">
      <c r="A735" s="3" t="s">
        <v>1089</v>
      </c>
      <c r="B735" s="3" t="s">
        <v>68</v>
      </c>
      <c r="C735" s="3" t="s">
        <v>35</v>
      </c>
      <c r="D735" s="3" t="s">
        <v>43</v>
      </c>
      <c r="E735" s="3" t="s">
        <v>1090</v>
      </c>
      <c r="F735" s="3" t="s">
        <v>22</v>
      </c>
      <c r="G735" s="3" t="s">
        <v>19</v>
      </c>
      <c r="H735" s="3">
        <v>2453</v>
      </c>
      <c r="I735" s="3">
        <v>0</v>
      </c>
      <c r="J735" s="3">
        <v>1682</v>
      </c>
      <c r="K735" s="3">
        <v>2335</v>
      </c>
      <c r="L735" s="3">
        <v>9</v>
      </c>
      <c r="M735" s="3">
        <v>6114.660637</v>
      </c>
    </row>
    <row r="736" spans="1:13" ht="14.25" customHeight="1" x14ac:dyDescent="0.2">
      <c r="A736" s="3" t="s">
        <v>1091</v>
      </c>
      <c r="B736" s="3" t="s">
        <v>24</v>
      </c>
      <c r="C736" s="3" t="s">
        <v>29</v>
      </c>
      <c r="D736" s="3" t="s">
        <v>66</v>
      </c>
      <c r="E736" s="3" t="s">
        <v>1092</v>
      </c>
      <c r="F736" s="3" t="s">
        <v>27</v>
      </c>
      <c r="G736" s="3" t="s">
        <v>114</v>
      </c>
      <c r="H736" s="3">
        <v>323</v>
      </c>
      <c r="I736" s="3">
        <v>0</v>
      </c>
      <c r="J736" s="3">
        <v>212</v>
      </c>
      <c r="K736" s="3">
        <v>313</v>
      </c>
      <c r="L736" s="3">
        <v>13</v>
      </c>
      <c r="M736" s="3">
        <v>6102.2813829999996</v>
      </c>
    </row>
    <row r="737" spans="1:13" ht="14.25" customHeight="1" x14ac:dyDescent="0.2">
      <c r="A737" s="3" t="s">
        <v>1093</v>
      </c>
      <c r="B737" s="3" t="s">
        <v>24</v>
      </c>
      <c r="C737" s="3" t="s">
        <v>35</v>
      </c>
      <c r="D737" s="3" t="s">
        <v>86</v>
      </c>
      <c r="E737" s="3" t="s">
        <v>96</v>
      </c>
      <c r="F737" s="3" t="s">
        <v>64</v>
      </c>
      <c r="G737" s="3" t="s">
        <v>19</v>
      </c>
      <c r="H737" s="3">
        <v>1833</v>
      </c>
      <c r="I737" s="3">
        <v>0</v>
      </c>
      <c r="J737" s="3">
        <v>268</v>
      </c>
      <c r="K737" s="3">
        <v>1259</v>
      </c>
      <c r="L737" s="3">
        <v>13</v>
      </c>
      <c r="M737" s="3">
        <v>6059.7917299999999</v>
      </c>
    </row>
    <row r="738" spans="1:13" ht="14.25" customHeight="1" x14ac:dyDescent="0.2">
      <c r="A738" s="3" t="s">
        <v>1094</v>
      </c>
      <c r="B738" s="3" t="s">
        <v>14</v>
      </c>
      <c r="C738" s="3" t="s">
        <v>15</v>
      </c>
      <c r="D738" s="3" t="s">
        <v>66</v>
      </c>
      <c r="E738" s="3" t="s">
        <v>1095</v>
      </c>
      <c r="F738" s="3" t="s">
        <v>22</v>
      </c>
      <c r="G738" s="3" t="s">
        <v>19</v>
      </c>
      <c r="H738" s="3">
        <v>202</v>
      </c>
      <c r="I738" s="3">
        <v>0</v>
      </c>
      <c r="J738" s="3">
        <v>132</v>
      </c>
      <c r="K738" s="3">
        <v>186</v>
      </c>
      <c r="L738" s="3">
        <v>1</v>
      </c>
      <c r="M738" s="3">
        <v>5970.9530000000004</v>
      </c>
    </row>
    <row r="739" spans="1:13" ht="14.25" customHeight="1" x14ac:dyDescent="0.2">
      <c r="A739" s="3" t="s">
        <v>1096</v>
      </c>
      <c r="B739" s="3" t="s">
        <v>68</v>
      </c>
      <c r="C739" s="3" t="s">
        <v>35</v>
      </c>
      <c r="D739" s="3" t="s">
        <v>45</v>
      </c>
      <c r="E739" s="3" t="s">
        <v>938</v>
      </c>
      <c r="F739" s="3" t="s">
        <v>64</v>
      </c>
      <c r="G739" s="3" t="s">
        <v>19</v>
      </c>
      <c r="H739" s="3">
        <v>2120</v>
      </c>
      <c r="I739" s="3">
        <v>0</v>
      </c>
      <c r="J739" s="3">
        <v>1079</v>
      </c>
      <c r="K739" s="3">
        <v>1988</v>
      </c>
      <c r="L739" s="3">
        <v>3</v>
      </c>
      <c r="M739" s="3">
        <v>5935.4378559999996</v>
      </c>
    </row>
    <row r="740" spans="1:13" ht="14.25" customHeight="1" x14ac:dyDescent="0.2">
      <c r="A740" s="3" t="s">
        <v>1097</v>
      </c>
      <c r="B740" s="3" t="s">
        <v>24</v>
      </c>
      <c r="C740" s="3" t="s">
        <v>35</v>
      </c>
      <c r="D740" s="3" t="s">
        <v>25</v>
      </c>
      <c r="E740" s="3" t="s">
        <v>1098</v>
      </c>
      <c r="F740" s="3" t="s">
        <v>22</v>
      </c>
      <c r="G740" s="3" t="s">
        <v>19</v>
      </c>
      <c r="H740" s="3">
        <v>7691</v>
      </c>
      <c r="I740" s="3">
        <v>0</v>
      </c>
      <c r="J740" s="3">
        <v>3890</v>
      </c>
      <c r="K740" s="3">
        <v>5905</v>
      </c>
      <c r="L740" s="3">
        <v>1</v>
      </c>
      <c r="M740" s="3">
        <v>5927.8067879999999</v>
      </c>
    </row>
    <row r="741" spans="1:13" ht="14.25" customHeight="1" x14ac:dyDescent="0.2">
      <c r="A741" s="3" t="s">
        <v>1099</v>
      </c>
      <c r="B741" s="3" t="s">
        <v>14</v>
      </c>
      <c r="C741" s="3" t="s">
        <v>32</v>
      </c>
      <c r="D741" s="3" t="s">
        <v>25</v>
      </c>
      <c r="E741" s="3" t="s">
        <v>425</v>
      </c>
      <c r="F741" s="3" t="s">
        <v>64</v>
      </c>
      <c r="G741" s="3" t="s">
        <v>19</v>
      </c>
      <c r="H741" s="3">
        <v>488</v>
      </c>
      <c r="I741" s="3">
        <v>0</v>
      </c>
      <c r="J741" s="3">
        <v>254</v>
      </c>
      <c r="K741" s="3">
        <v>437</v>
      </c>
      <c r="L741" s="3">
        <v>13</v>
      </c>
      <c r="M741" s="3">
        <v>5924.6139830000002</v>
      </c>
    </row>
    <row r="742" spans="1:13" ht="14.25" customHeight="1" x14ac:dyDescent="0.2">
      <c r="A742" s="3" t="s">
        <v>1100</v>
      </c>
      <c r="B742" s="3" t="s">
        <v>24</v>
      </c>
      <c r="C742" s="3" t="s">
        <v>29</v>
      </c>
      <c r="D742" s="3" t="s">
        <v>25</v>
      </c>
      <c r="E742" s="3" t="s">
        <v>191</v>
      </c>
      <c r="F742" s="3" t="s">
        <v>27</v>
      </c>
      <c r="G742" s="3" t="s">
        <v>19</v>
      </c>
      <c r="H742" s="3">
        <v>3587</v>
      </c>
      <c r="I742" s="3">
        <v>0</v>
      </c>
      <c r="J742" s="3">
        <v>1771</v>
      </c>
      <c r="K742" s="3">
        <v>2989</v>
      </c>
      <c r="L742" s="3">
        <v>3</v>
      </c>
      <c r="M742" s="3">
        <v>5838.2390160000004</v>
      </c>
    </row>
    <row r="743" spans="1:13" ht="14.25" customHeight="1" x14ac:dyDescent="0.2">
      <c r="A743" s="3" t="s">
        <v>1101</v>
      </c>
      <c r="B743" s="3" t="s">
        <v>24</v>
      </c>
      <c r="C743" s="3" t="s">
        <v>15</v>
      </c>
      <c r="D743" s="3" t="s">
        <v>205</v>
      </c>
      <c r="E743" s="3" t="s">
        <v>1102</v>
      </c>
      <c r="F743" s="3" t="s">
        <v>27</v>
      </c>
      <c r="G743" s="3" t="s">
        <v>114</v>
      </c>
      <c r="H743" s="3">
        <v>240</v>
      </c>
      <c r="I743" s="3">
        <v>0</v>
      </c>
      <c r="J743" s="3">
        <v>151</v>
      </c>
      <c r="K743" s="3">
        <v>220</v>
      </c>
      <c r="L743" s="3">
        <v>24</v>
      </c>
      <c r="M743" s="3">
        <v>5829.9005200000001</v>
      </c>
    </row>
    <row r="744" spans="1:13" ht="14.25" customHeight="1" x14ac:dyDescent="0.2">
      <c r="A744" s="3" t="s">
        <v>1103</v>
      </c>
      <c r="B744" s="3" t="s">
        <v>14</v>
      </c>
      <c r="C744" s="3" t="s">
        <v>32</v>
      </c>
      <c r="D744" s="3" t="s">
        <v>25</v>
      </c>
      <c r="E744" s="3" t="s">
        <v>1104</v>
      </c>
      <c r="F744" s="3" t="s">
        <v>41</v>
      </c>
      <c r="G744" s="3" t="s">
        <v>19</v>
      </c>
      <c r="H744" s="3">
        <v>2005</v>
      </c>
      <c r="I744" s="3">
        <v>0</v>
      </c>
      <c r="J744" s="3">
        <v>802</v>
      </c>
      <c r="K744" s="3">
        <v>1927</v>
      </c>
      <c r="L744" s="3">
        <v>15</v>
      </c>
      <c r="M744" s="3">
        <v>5810.6545260000003</v>
      </c>
    </row>
    <row r="745" spans="1:13" ht="14.25" customHeight="1" x14ac:dyDescent="0.2">
      <c r="A745" s="3" t="s">
        <v>1105</v>
      </c>
      <c r="B745" s="3" t="s">
        <v>68</v>
      </c>
      <c r="C745" s="3" t="s">
        <v>32</v>
      </c>
      <c r="D745" s="3" t="s">
        <v>66</v>
      </c>
      <c r="E745" s="3" t="s">
        <v>1106</v>
      </c>
      <c r="F745" s="3" t="s">
        <v>27</v>
      </c>
      <c r="G745" s="3" t="s">
        <v>19</v>
      </c>
      <c r="H745" s="3">
        <v>2945</v>
      </c>
      <c r="I745" s="3">
        <v>0</v>
      </c>
      <c r="J745" s="3">
        <v>1499</v>
      </c>
      <c r="K745" s="3">
        <v>2675</v>
      </c>
      <c r="L745" s="3">
        <v>2</v>
      </c>
      <c r="M745" s="3">
        <v>5753.0671400000001</v>
      </c>
    </row>
    <row r="746" spans="1:13" ht="14.25" customHeight="1" x14ac:dyDescent="0.2">
      <c r="A746" s="3" t="s">
        <v>1107</v>
      </c>
      <c r="B746" s="3" t="s">
        <v>14</v>
      </c>
      <c r="C746" s="3" t="s">
        <v>32</v>
      </c>
      <c r="D746" s="3" t="s">
        <v>25</v>
      </c>
      <c r="E746" s="3" t="s">
        <v>618</v>
      </c>
      <c r="F746" s="3" t="s">
        <v>27</v>
      </c>
      <c r="G746" s="3" t="s">
        <v>19</v>
      </c>
      <c r="H746" s="3">
        <v>38396</v>
      </c>
      <c r="I746" s="3">
        <v>0</v>
      </c>
      <c r="J746" s="3">
        <v>6305</v>
      </c>
      <c r="K746" s="3">
        <v>35118</v>
      </c>
      <c r="L746" s="3">
        <v>1</v>
      </c>
      <c r="M746" s="3">
        <v>5740.164546</v>
      </c>
    </row>
    <row r="747" spans="1:13" ht="14.25" customHeight="1" x14ac:dyDescent="0.2">
      <c r="A747" s="3" t="s">
        <v>1108</v>
      </c>
      <c r="B747" s="3" t="s">
        <v>14</v>
      </c>
      <c r="C747" s="3" t="s">
        <v>35</v>
      </c>
      <c r="D747" s="3" t="s">
        <v>312</v>
      </c>
      <c r="E747" s="3" t="s">
        <v>684</v>
      </c>
      <c r="F747" s="3" t="s">
        <v>22</v>
      </c>
      <c r="G747" s="3" t="s">
        <v>19</v>
      </c>
      <c r="H747" s="3">
        <v>14047</v>
      </c>
      <c r="I747" s="3">
        <v>0</v>
      </c>
      <c r="J747" s="3">
        <v>9934</v>
      </c>
      <c r="K747" s="3">
        <v>13377</v>
      </c>
      <c r="L747" s="3">
        <v>1</v>
      </c>
      <c r="M747" s="3">
        <v>5729.6507549999997</v>
      </c>
    </row>
    <row r="748" spans="1:13" ht="14.25" customHeight="1" x14ac:dyDescent="0.2">
      <c r="A748" s="3" t="s">
        <v>1109</v>
      </c>
      <c r="B748" s="3" t="s">
        <v>14</v>
      </c>
      <c r="C748" s="3" t="s">
        <v>29</v>
      </c>
      <c r="D748" s="3" t="s">
        <v>532</v>
      </c>
      <c r="E748" s="3" t="s">
        <v>1044</v>
      </c>
      <c r="F748" s="3" t="s">
        <v>27</v>
      </c>
      <c r="G748" s="3" t="s">
        <v>19</v>
      </c>
      <c r="H748" s="3">
        <v>3913</v>
      </c>
      <c r="I748" s="3">
        <v>0</v>
      </c>
      <c r="J748" s="3">
        <v>2727</v>
      </c>
      <c r="K748" s="3">
        <v>3667</v>
      </c>
      <c r="L748" s="3">
        <v>3</v>
      </c>
      <c r="M748" s="3">
        <v>5727.0978150000001</v>
      </c>
    </row>
    <row r="749" spans="1:13" ht="14.25" customHeight="1" x14ac:dyDescent="0.2">
      <c r="A749" s="2" t="s">
        <v>1110</v>
      </c>
      <c r="B749" s="2" t="s">
        <v>14</v>
      </c>
      <c r="C749" s="3" t="s">
        <v>32</v>
      </c>
      <c r="D749" s="2" t="s">
        <v>86</v>
      </c>
      <c r="E749" s="2" t="s">
        <v>437</v>
      </c>
      <c r="F749" s="2" t="s">
        <v>27</v>
      </c>
      <c r="G749" s="3" t="s">
        <v>19</v>
      </c>
      <c r="H749" s="2">
        <v>6899</v>
      </c>
      <c r="I749" s="2">
        <v>0</v>
      </c>
      <c r="J749" s="2">
        <v>5552</v>
      </c>
      <c r="K749" s="2">
        <v>6680</v>
      </c>
      <c r="L749" s="2">
        <v>1</v>
      </c>
      <c r="M749" s="2">
        <v>5693.369224</v>
      </c>
    </row>
    <row r="750" spans="1:13" ht="14.25" customHeight="1" x14ac:dyDescent="0.2">
      <c r="A750" s="3" t="s">
        <v>1111</v>
      </c>
      <c r="B750" s="3" t="s">
        <v>14</v>
      </c>
      <c r="C750" s="3" t="s">
        <v>32</v>
      </c>
      <c r="D750" s="3" t="s">
        <v>25</v>
      </c>
      <c r="E750" s="3" t="s">
        <v>1112</v>
      </c>
      <c r="F750" s="3" t="s">
        <v>27</v>
      </c>
      <c r="G750" s="3" t="s">
        <v>19</v>
      </c>
      <c r="H750" s="3">
        <v>1313</v>
      </c>
      <c r="I750" s="3">
        <v>0</v>
      </c>
      <c r="J750" s="3">
        <v>631</v>
      </c>
      <c r="K750" s="3">
        <v>1203</v>
      </c>
      <c r="L750" s="3">
        <v>3</v>
      </c>
      <c r="M750" s="3">
        <v>5628.4334760000002</v>
      </c>
    </row>
    <row r="751" spans="1:13" ht="14.25" customHeight="1" x14ac:dyDescent="0.2">
      <c r="A751" s="3" t="s">
        <v>1113</v>
      </c>
      <c r="B751" s="3" t="s">
        <v>24</v>
      </c>
      <c r="C751" s="3" t="s">
        <v>35</v>
      </c>
      <c r="D751" s="3" t="s">
        <v>25</v>
      </c>
      <c r="E751" s="3" t="s">
        <v>1114</v>
      </c>
      <c r="F751" s="3" t="s">
        <v>27</v>
      </c>
      <c r="G751" s="3" t="s">
        <v>19</v>
      </c>
      <c r="H751" s="3">
        <v>751</v>
      </c>
      <c r="I751" s="3">
        <v>0</v>
      </c>
      <c r="J751" s="3">
        <v>455</v>
      </c>
      <c r="K751" s="3">
        <v>693</v>
      </c>
      <c r="L751" s="3">
        <v>11</v>
      </c>
      <c r="M751" s="3">
        <v>5586.0837849999998</v>
      </c>
    </row>
    <row r="752" spans="1:13" ht="14.25" customHeight="1" x14ac:dyDescent="0.2">
      <c r="A752" s="3" t="s">
        <v>1115</v>
      </c>
      <c r="B752" s="3" t="s">
        <v>24</v>
      </c>
      <c r="C752" s="3" t="s">
        <v>15</v>
      </c>
      <c r="D752" s="3" t="s">
        <v>205</v>
      </c>
      <c r="E752" s="3" t="s">
        <v>1116</v>
      </c>
      <c r="F752" s="3" t="s">
        <v>27</v>
      </c>
      <c r="G752" s="3" t="s">
        <v>19</v>
      </c>
      <c r="H752" s="3">
        <v>532</v>
      </c>
      <c r="I752" s="3">
        <v>0</v>
      </c>
      <c r="J752" s="3">
        <v>60</v>
      </c>
      <c r="K752" s="3">
        <v>481</v>
      </c>
      <c r="L752" s="3">
        <v>5</v>
      </c>
      <c r="M752" s="3">
        <v>5500.683497</v>
      </c>
    </row>
    <row r="753" spans="1:13" ht="14.25" customHeight="1" x14ac:dyDescent="0.2">
      <c r="A753" s="3" t="s">
        <v>1117</v>
      </c>
      <c r="B753" s="3" t="s">
        <v>68</v>
      </c>
      <c r="C753" s="3" t="s">
        <v>35</v>
      </c>
      <c r="D753" s="3" t="s">
        <v>86</v>
      </c>
      <c r="E753" s="3" t="s">
        <v>635</v>
      </c>
      <c r="F753" s="3" t="s">
        <v>38</v>
      </c>
      <c r="G753" s="3" t="s">
        <v>19</v>
      </c>
      <c r="H753" s="3">
        <v>19408</v>
      </c>
      <c r="I753" s="3">
        <v>0</v>
      </c>
      <c r="J753" s="3">
        <v>6596</v>
      </c>
      <c r="K753" s="3">
        <v>13880</v>
      </c>
      <c r="L753" s="3">
        <v>2</v>
      </c>
      <c r="M753" s="3">
        <v>5492.8216480000001</v>
      </c>
    </row>
    <row r="754" spans="1:13" ht="14.25" customHeight="1" x14ac:dyDescent="0.2">
      <c r="A754" s="3" t="s">
        <v>1118</v>
      </c>
      <c r="B754" s="3" t="s">
        <v>24</v>
      </c>
      <c r="C754" s="3" t="s">
        <v>29</v>
      </c>
      <c r="D754" s="3" t="s">
        <v>532</v>
      </c>
      <c r="E754" s="3" t="s">
        <v>684</v>
      </c>
      <c r="F754" s="3" t="s">
        <v>41</v>
      </c>
      <c r="G754" s="3" t="s">
        <v>19</v>
      </c>
      <c r="H754" s="3">
        <v>7029</v>
      </c>
      <c r="I754" s="3">
        <v>0</v>
      </c>
      <c r="J754" s="3">
        <v>4183</v>
      </c>
      <c r="K754" s="3">
        <v>6635</v>
      </c>
      <c r="L754" s="3">
        <v>1</v>
      </c>
      <c r="M754" s="3">
        <v>5455.9945250000001</v>
      </c>
    </row>
    <row r="755" spans="1:13" ht="14.25" customHeight="1" x14ac:dyDescent="0.2">
      <c r="A755" s="3" t="s">
        <v>1119</v>
      </c>
      <c r="B755" s="3" t="s">
        <v>14</v>
      </c>
      <c r="C755" s="3" t="s">
        <v>15</v>
      </c>
      <c r="D755" s="3" t="s">
        <v>91</v>
      </c>
      <c r="E755" s="3" t="s">
        <v>1120</v>
      </c>
      <c r="F755" s="3" t="s">
        <v>27</v>
      </c>
      <c r="G755" s="3" t="s">
        <v>19</v>
      </c>
      <c r="H755" s="3">
        <v>479</v>
      </c>
      <c r="I755" s="3">
        <v>0</v>
      </c>
      <c r="J755" s="3">
        <v>297</v>
      </c>
      <c r="K755" s="3">
        <v>444</v>
      </c>
      <c r="L755" s="3">
        <v>2</v>
      </c>
      <c r="M755" s="3">
        <v>5428.1842180000003</v>
      </c>
    </row>
    <row r="756" spans="1:13" ht="14.25" customHeight="1" x14ac:dyDescent="0.2">
      <c r="A756" s="3" t="s">
        <v>1121</v>
      </c>
      <c r="B756" s="3" t="s">
        <v>14</v>
      </c>
      <c r="C756" s="3" t="s">
        <v>15</v>
      </c>
      <c r="D756" s="3" t="s">
        <v>121</v>
      </c>
      <c r="E756" s="3" t="s">
        <v>79</v>
      </c>
      <c r="F756" s="3" t="s">
        <v>27</v>
      </c>
      <c r="G756" s="3" t="s">
        <v>19</v>
      </c>
      <c r="H756" s="3">
        <v>2471</v>
      </c>
      <c r="I756" s="3">
        <v>0</v>
      </c>
      <c r="J756" s="3">
        <v>1393</v>
      </c>
      <c r="K756" s="3">
        <v>1959</v>
      </c>
      <c r="L756" s="3">
        <v>2</v>
      </c>
      <c r="M756" s="3">
        <v>5401.0504650000003</v>
      </c>
    </row>
    <row r="757" spans="1:13" ht="14.25" customHeight="1" x14ac:dyDescent="0.2">
      <c r="A757" s="3" t="s">
        <v>1122</v>
      </c>
      <c r="B757" s="3" t="s">
        <v>14</v>
      </c>
      <c r="C757" s="3" t="s">
        <v>35</v>
      </c>
      <c r="D757" s="3" t="s">
        <v>84</v>
      </c>
      <c r="E757" s="3" t="s">
        <v>107</v>
      </c>
      <c r="F757" s="3" t="s">
        <v>22</v>
      </c>
      <c r="G757" s="3" t="s">
        <v>19</v>
      </c>
      <c r="H757" s="3">
        <v>38408</v>
      </c>
      <c r="I757" s="3">
        <v>0</v>
      </c>
      <c r="J757" s="3">
        <v>23557</v>
      </c>
      <c r="K757" s="3">
        <v>35247</v>
      </c>
      <c r="L757" s="3">
        <v>1</v>
      </c>
      <c r="M757" s="3">
        <v>5343.4594310000002</v>
      </c>
    </row>
    <row r="758" spans="1:13" ht="14.25" customHeight="1" x14ac:dyDescent="0.2">
      <c r="A758" s="3" t="s">
        <v>1123</v>
      </c>
      <c r="B758" s="3" t="s">
        <v>14</v>
      </c>
      <c r="C758" s="3" t="s">
        <v>35</v>
      </c>
      <c r="D758" s="3" t="s">
        <v>70</v>
      </c>
      <c r="E758" s="3" t="s">
        <v>72</v>
      </c>
      <c r="F758" s="3" t="s">
        <v>64</v>
      </c>
      <c r="G758" s="3" t="s">
        <v>19</v>
      </c>
      <c r="H758" s="3">
        <v>39794</v>
      </c>
      <c r="I758" s="3">
        <v>0</v>
      </c>
      <c r="J758" s="3">
        <v>17539</v>
      </c>
      <c r="K758" s="3">
        <v>37664</v>
      </c>
      <c r="L758" s="3">
        <v>12</v>
      </c>
      <c r="M758" s="3">
        <v>5328.5245139999997</v>
      </c>
    </row>
    <row r="759" spans="1:13" ht="14.25" customHeight="1" x14ac:dyDescent="0.2">
      <c r="A759" s="3" t="s">
        <v>1124</v>
      </c>
      <c r="B759" s="3" t="s">
        <v>14</v>
      </c>
      <c r="C759" s="3" t="s">
        <v>15</v>
      </c>
      <c r="D759" s="3" t="s">
        <v>66</v>
      </c>
      <c r="E759" s="3" t="s">
        <v>250</v>
      </c>
      <c r="F759" s="3" t="s">
        <v>38</v>
      </c>
      <c r="G759" s="3" t="s">
        <v>19</v>
      </c>
      <c r="H759" s="3">
        <v>14581</v>
      </c>
      <c r="I759" s="3">
        <v>0</v>
      </c>
      <c r="J759" s="3">
        <v>3821</v>
      </c>
      <c r="K759" s="3">
        <v>12741</v>
      </c>
      <c r="L759" s="3">
        <v>1</v>
      </c>
      <c r="M759" s="3">
        <v>5296.9700910000001</v>
      </c>
    </row>
    <row r="760" spans="1:13" ht="14.25" customHeight="1" x14ac:dyDescent="0.2">
      <c r="A760" s="3" t="s">
        <v>1125</v>
      </c>
      <c r="B760" s="3" t="s">
        <v>24</v>
      </c>
      <c r="C760" s="3" t="s">
        <v>35</v>
      </c>
      <c r="D760" s="3" t="s">
        <v>228</v>
      </c>
      <c r="E760" s="3" t="s">
        <v>48</v>
      </c>
      <c r="F760" s="3" t="s">
        <v>27</v>
      </c>
      <c r="G760" s="3" t="s">
        <v>19</v>
      </c>
      <c r="H760" s="3">
        <v>14730</v>
      </c>
      <c r="I760" s="3">
        <v>0</v>
      </c>
      <c r="J760" s="3">
        <v>6410</v>
      </c>
      <c r="K760" s="3">
        <v>10860</v>
      </c>
      <c r="L760" s="3">
        <v>1</v>
      </c>
      <c r="M760" s="3">
        <v>5287.5675279999996</v>
      </c>
    </row>
    <row r="761" spans="1:13" ht="14.25" customHeight="1" x14ac:dyDescent="0.2">
      <c r="A761" s="3" t="s">
        <v>1126</v>
      </c>
      <c r="B761" s="3" t="s">
        <v>24</v>
      </c>
      <c r="C761" s="3" t="s">
        <v>15</v>
      </c>
      <c r="D761" s="3" t="s">
        <v>16</v>
      </c>
      <c r="E761" s="3" t="s">
        <v>1127</v>
      </c>
      <c r="F761" s="3" t="s">
        <v>38</v>
      </c>
      <c r="G761" s="3" t="s">
        <v>19</v>
      </c>
      <c r="H761" s="3">
        <v>920</v>
      </c>
      <c r="I761" s="3">
        <v>0</v>
      </c>
      <c r="J761" s="3">
        <v>531</v>
      </c>
      <c r="K761" s="3">
        <v>766</v>
      </c>
      <c r="L761" s="3">
        <v>6</v>
      </c>
      <c r="M761" s="3">
        <v>5262.8049639999999</v>
      </c>
    </row>
    <row r="762" spans="1:13" ht="14.25" customHeight="1" x14ac:dyDescent="0.2">
      <c r="A762" s="3" t="s">
        <v>1128</v>
      </c>
      <c r="B762" s="3" t="s">
        <v>24</v>
      </c>
      <c r="C762" s="3" t="s">
        <v>15</v>
      </c>
      <c r="D762" s="3" t="s">
        <v>25</v>
      </c>
      <c r="E762" s="3" t="s">
        <v>805</v>
      </c>
      <c r="F762" s="3" t="s">
        <v>41</v>
      </c>
      <c r="G762" s="3" t="s">
        <v>19</v>
      </c>
      <c r="H762" s="3">
        <v>12136</v>
      </c>
      <c r="I762" s="3">
        <v>0</v>
      </c>
      <c r="J762" s="3">
        <v>2089</v>
      </c>
      <c r="K762" s="3">
        <v>11500</v>
      </c>
      <c r="L762" s="3">
        <v>1</v>
      </c>
      <c r="M762" s="3">
        <v>5224.9324630000001</v>
      </c>
    </row>
    <row r="763" spans="1:13" ht="14.25" customHeight="1" x14ac:dyDescent="0.2">
      <c r="A763" s="3" t="s">
        <v>1129</v>
      </c>
      <c r="B763" s="3" t="s">
        <v>24</v>
      </c>
      <c r="C763" s="3" t="s">
        <v>32</v>
      </c>
      <c r="D763" s="3" t="s">
        <v>91</v>
      </c>
      <c r="E763" s="3" t="s">
        <v>704</v>
      </c>
      <c r="F763" s="3" t="s">
        <v>27</v>
      </c>
      <c r="G763" s="3" t="s">
        <v>114</v>
      </c>
      <c r="H763" s="3">
        <v>511</v>
      </c>
      <c r="I763" s="3">
        <v>0</v>
      </c>
      <c r="J763" s="3">
        <v>232</v>
      </c>
      <c r="K763" s="3">
        <v>441</v>
      </c>
      <c r="L763" s="3">
        <v>2</v>
      </c>
      <c r="M763" s="3">
        <v>5209.6353879999997</v>
      </c>
    </row>
    <row r="764" spans="1:13" ht="14.25" customHeight="1" x14ac:dyDescent="0.2">
      <c r="A764" s="3" t="s">
        <v>1130</v>
      </c>
      <c r="B764" s="3" t="s">
        <v>24</v>
      </c>
      <c r="C764" s="3" t="s">
        <v>32</v>
      </c>
      <c r="D764" s="3" t="s">
        <v>25</v>
      </c>
      <c r="E764" s="3" t="s">
        <v>1131</v>
      </c>
      <c r="F764" s="3" t="s">
        <v>27</v>
      </c>
      <c r="G764" s="3" t="s">
        <v>114</v>
      </c>
      <c r="H764" s="3">
        <v>283</v>
      </c>
      <c r="I764" s="3">
        <v>0</v>
      </c>
      <c r="J764" s="3">
        <v>86</v>
      </c>
      <c r="K764" s="3">
        <v>248</v>
      </c>
      <c r="L764" s="3">
        <v>2</v>
      </c>
      <c r="M764" s="3">
        <v>5176.783273</v>
      </c>
    </row>
    <row r="765" spans="1:13" ht="14.25" customHeight="1" x14ac:dyDescent="0.2">
      <c r="A765" s="3" t="s">
        <v>1132</v>
      </c>
      <c r="B765" s="3" t="s">
        <v>24</v>
      </c>
      <c r="C765" s="3" t="s">
        <v>35</v>
      </c>
      <c r="D765" s="3" t="s">
        <v>16</v>
      </c>
      <c r="E765" s="3" t="s">
        <v>1133</v>
      </c>
      <c r="F765" s="3" t="s">
        <v>41</v>
      </c>
      <c r="G765" s="3" t="s">
        <v>114</v>
      </c>
      <c r="H765" s="3">
        <v>512</v>
      </c>
      <c r="I765" s="3">
        <v>0</v>
      </c>
      <c r="J765" s="3">
        <v>383</v>
      </c>
      <c r="K765" s="3">
        <v>488</v>
      </c>
      <c r="L765" s="3">
        <v>11</v>
      </c>
      <c r="M765" s="3">
        <v>5155.7567170000002</v>
      </c>
    </row>
    <row r="766" spans="1:13" ht="14.25" customHeight="1" x14ac:dyDescent="0.2">
      <c r="A766" s="3" t="s">
        <v>1134</v>
      </c>
      <c r="B766" s="3" t="s">
        <v>24</v>
      </c>
      <c r="C766" s="3" t="s">
        <v>15</v>
      </c>
      <c r="D766" s="3" t="s">
        <v>66</v>
      </c>
      <c r="E766" s="3" t="s">
        <v>643</v>
      </c>
      <c r="F766" s="3" t="s">
        <v>76</v>
      </c>
      <c r="G766" s="3" t="s">
        <v>19</v>
      </c>
      <c r="H766" s="3">
        <v>14599</v>
      </c>
      <c r="I766" s="3">
        <v>0</v>
      </c>
      <c r="J766" s="3">
        <v>1779</v>
      </c>
      <c r="K766" s="3">
        <v>12458</v>
      </c>
      <c r="L766" s="3">
        <v>1</v>
      </c>
      <c r="M766" s="3">
        <v>5092.5592150000002</v>
      </c>
    </row>
    <row r="767" spans="1:13" ht="14.25" customHeight="1" x14ac:dyDescent="0.2">
      <c r="A767" s="3" t="s">
        <v>1135</v>
      </c>
      <c r="B767" s="3" t="s">
        <v>24</v>
      </c>
      <c r="C767" s="3" t="s">
        <v>15</v>
      </c>
      <c r="D767" s="3" t="s">
        <v>25</v>
      </c>
      <c r="E767" s="3" t="s">
        <v>1136</v>
      </c>
      <c r="F767" s="3" t="s">
        <v>64</v>
      </c>
      <c r="G767" s="3" t="s">
        <v>114</v>
      </c>
      <c r="H767" s="3">
        <v>17075</v>
      </c>
      <c r="I767" s="3">
        <v>0</v>
      </c>
      <c r="J767" s="3">
        <v>5508</v>
      </c>
      <c r="K767" s="3">
        <v>11539</v>
      </c>
      <c r="L767" s="3">
        <v>10</v>
      </c>
      <c r="M767" s="3">
        <v>5086.0899600000002</v>
      </c>
    </row>
    <row r="768" spans="1:13" ht="14.25" customHeight="1" x14ac:dyDescent="0.2">
      <c r="A768" s="3" t="s">
        <v>1137</v>
      </c>
      <c r="B768" s="3" t="s">
        <v>14</v>
      </c>
      <c r="C768" s="3" t="s">
        <v>15</v>
      </c>
      <c r="D768" s="3" t="s">
        <v>45</v>
      </c>
      <c r="E768" s="3" t="s">
        <v>161</v>
      </c>
      <c r="F768" s="3" t="s">
        <v>22</v>
      </c>
      <c r="G768" s="3" t="s">
        <v>19</v>
      </c>
      <c r="H768" s="3">
        <v>3316</v>
      </c>
      <c r="I768" s="3">
        <v>0</v>
      </c>
      <c r="J768" s="3">
        <v>1436</v>
      </c>
      <c r="K768" s="3">
        <v>2554</v>
      </c>
      <c r="L768" s="3">
        <v>2</v>
      </c>
      <c r="M768" s="3">
        <v>5049.0476719999997</v>
      </c>
    </row>
    <row r="769" spans="1:13" ht="14.25" customHeight="1" x14ac:dyDescent="0.2">
      <c r="A769" s="3" t="s">
        <v>1138</v>
      </c>
      <c r="B769" s="3" t="s">
        <v>14</v>
      </c>
      <c r="C769" s="3" t="s">
        <v>35</v>
      </c>
      <c r="D769" s="3" t="s">
        <v>503</v>
      </c>
      <c r="E769" s="3" t="s">
        <v>1139</v>
      </c>
      <c r="F769" s="3" t="s">
        <v>287</v>
      </c>
      <c r="G769" s="3" t="s">
        <v>19</v>
      </c>
      <c r="H769" s="3">
        <v>223</v>
      </c>
      <c r="I769" s="3">
        <v>0</v>
      </c>
      <c r="J769" s="3">
        <v>142</v>
      </c>
      <c r="K769" s="3">
        <v>193</v>
      </c>
      <c r="L769" s="3">
        <v>4</v>
      </c>
      <c r="M769" s="3">
        <v>5013.5807359999999</v>
      </c>
    </row>
    <row r="770" spans="1:13" ht="14.25" customHeight="1" x14ac:dyDescent="0.2">
      <c r="A770" s="3" t="s">
        <v>1140</v>
      </c>
      <c r="B770" s="3" t="s">
        <v>14</v>
      </c>
      <c r="C770" s="3" t="s">
        <v>35</v>
      </c>
      <c r="D770" s="3" t="s">
        <v>25</v>
      </c>
      <c r="E770" s="3" t="s">
        <v>1141</v>
      </c>
      <c r="F770" s="3" t="s">
        <v>27</v>
      </c>
      <c r="G770" s="3" t="s">
        <v>19</v>
      </c>
      <c r="H770" s="3">
        <v>9153</v>
      </c>
      <c r="I770" s="3">
        <v>0</v>
      </c>
      <c r="J770" s="3">
        <v>4345</v>
      </c>
      <c r="K770" s="3">
        <v>8376</v>
      </c>
      <c r="L770" s="3">
        <v>14</v>
      </c>
      <c r="M770" s="3">
        <v>5007.5258050000002</v>
      </c>
    </row>
    <row r="771" spans="1:13" ht="14.25" customHeight="1" x14ac:dyDescent="0.2">
      <c r="A771" s="3" t="s">
        <v>1142</v>
      </c>
      <c r="B771" s="3" t="s">
        <v>24</v>
      </c>
      <c r="C771" s="3" t="s">
        <v>15</v>
      </c>
      <c r="D771" s="3" t="s">
        <v>16</v>
      </c>
      <c r="E771" s="3" t="s">
        <v>1143</v>
      </c>
      <c r="F771" s="3" t="s">
        <v>27</v>
      </c>
      <c r="G771" s="3" t="s">
        <v>19</v>
      </c>
      <c r="H771" s="3">
        <v>8111</v>
      </c>
      <c r="I771" s="3">
        <v>0</v>
      </c>
      <c r="J771" s="3">
        <v>4346</v>
      </c>
      <c r="K771" s="3">
        <v>6163</v>
      </c>
      <c r="L771" s="3">
        <v>1</v>
      </c>
      <c r="M771" s="3">
        <v>5000.7612060000001</v>
      </c>
    </row>
    <row r="772" spans="1:13" ht="14.25" customHeight="1" x14ac:dyDescent="0.2">
      <c r="A772" s="3" t="s">
        <v>1144</v>
      </c>
      <c r="B772" s="3" t="s">
        <v>14</v>
      </c>
      <c r="C772" s="3" t="s">
        <v>29</v>
      </c>
      <c r="D772" s="3" t="s">
        <v>45</v>
      </c>
      <c r="E772" s="3" t="s">
        <v>1145</v>
      </c>
      <c r="F772" s="3" t="s">
        <v>27</v>
      </c>
      <c r="G772" s="3" t="s">
        <v>19</v>
      </c>
      <c r="H772" s="3">
        <v>2775</v>
      </c>
      <c r="I772" s="3">
        <v>0</v>
      </c>
      <c r="J772" s="3">
        <v>1986</v>
      </c>
      <c r="K772" s="3">
        <v>2626</v>
      </c>
      <c r="L772" s="3">
        <v>2</v>
      </c>
      <c r="M772" s="3">
        <v>4962.9559559999998</v>
      </c>
    </row>
    <row r="773" spans="1:13" ht="14.25" customHeight="1" x14ac:dyDescent="0.2">
      <c r="A773" s="3" t="s">
        <v>1146</v>
      </c>
      <c r="B773" s="3" t="s">
        <v>24</v>
      </c>
      <c r="C773" s="3" t="s">
        <v>29</v>
      </c>
      <c r="D773" s="3" t="s">
        <v>25</v>
      </c>
      <c r="E773" s="3" t="s">
        <v>250</v>
      </c>
      <c r="F773" s="3" t="s">
        <v>22</v>
      </c>
      <c r="G773" s="3" t="s">
        <v>163</v>
      </c>
      <c r="H773" s="3">
        <v>10815</v>
      </c>
      <c r="I773" s="3">
        <v>0</v>
      </c>
      <c r="J773" s="3">
        <v>4321</v>
      </c>
      <c r="K773" s="3">
        <v>9646</v>
      </c>
      <c r="L773" s="3">
        <v>2</v>
      </c>
      <c r="M773" s="3">
        <v>4921.5948429999999</v>
      </c>
    </row>
    <row r="774" spans="1:13" ht="14.25" customHeight="1" x14ac:dyDescent="0.2">
      <c r="A774" s="3" t="s">
        <v>1147</v>
      </c>
      <c r="B774" s="3" t="s">
        <v>24</v>
      </c>
      <c r="C774" s="3" t="s">
        <v>15</v>
      </c>
      <c r="D774" s="3" t="s">
        <v>25</v>
      </c>
      <c r="E774" s="3" t="s">
        <v>998</v>
      </c>
      <c r="F774" s="3" t="s">
        <v>58</v>
      </c>
      <c r="G774" s="3" t="s">
        <v>114</v>
      </c>
      <c r="H774" s="3">
        <v>17833</v>
      </c>
      <c r="I774" s="3">
        <v>0</v>
      </c>
      <c r="J774" s="3">
        <v>8670</v>
      </c>
      <c r="K774" s="3">
        <v>16871</v>
      </c>
      <c r="L774" s="3">
        <v>1</v>
      </c>
      <c r="M774" s="3">
        <v>4899.1559550000002</v>
      </c>
    </row>
    <row r="775" spans="1:13" ht="14.25" customHeight="1" x14ac:dyDescent="0.2">
      <c r="A775" s="3" t="s">
        <v>1148</v>
      </c>
      <c r="B775" s="3" t="s">
        <v>14</v>
      </c>
      <c r="C775" s="3" t="s">
        <v>32</v>
      </c>
      <c r="D775" s="3" t="s">
        <v>70</v>
      </c>
      <c r="E775" s="3" t="s">
        <v>998</v>
      </c>
      <c r="F775" s="3" t="s">
        <v>323</v>
      </c>
      <c r="G775" s="3" t="s">
        <v>19</v>
      </c>
      <c r="H775" s="3">
        <v>7116</v>
      </c>
      <c r="I775" s="3">
        <v>0</v>
      </c>
      <c r="J775" s="3">
        <v>4758</v>
      </c>
      <c r="K775" s="3">
        <v>6661</v>
      </c>
      <c r="L775" s="3">
        <v>1</v>
      </c>
      <c r="M775" s="3">
        <v>4878.4591460000001</v>
      </c>
    </row>
    <row r="776" spans="1:13" ht="14.25" customHeight="1" x14ac:dyDescent="0.2">
      <c r="A776" s="3" t="s">
        <v>1149</v>
      </c>
      <c r="B776" s="3" t="s">
        <v>14</v>
      </c>
      <c r="C776" s="3" t="s">
        <v>15</v>
      </c>
      <c r="D776" s="3" t="s">
        <v>25</v>
      </c>
      <c r="E776" s="3" t="s">
        <v>1150</v>
      </c>
      <c r="F776" s="3" t="s">
        <v>41</v>
      </c>
      <c r="G776" s="3" t="s">
        <v>19</v>
      </c>
      <c r="H776" s="3">
        <v>3148</v>
      </c>
      <c r="I776" s="3">
        <v>0</v>
      </c>
      <c r="J776" s="3">
        <v>704</v>
      </c>
      <c r="K776" s="3">
        <v>2643</v>
      </c>
      <c r="L776" s="3">
        <v>2</v>
      </c>
      <c r="M776" s="3">
        <v>4796.5364419999996</v>
      </c>
    </row>
    <row r="777" spans="1:13" ht="14.25" customHeight="1" x14ac:dyDescent="0.2">
      <c r="A777" s="3" t="s">
        <v>1151</v>
      </c>
      <c r="B777" s="3" t="s">
        <v>68</v>
      </c>
      <c r="C777" s="3" t="s">
        <v>35</v>
      </c>
      <c r="D777" s="3" t="s">
        <v>91</v>
      </c>
      <c r="E777" s="3" t="s">
        <v>1152</v>
      </c>
      <c r="F777" s="3" t="s">
        <v>41</v>
      </c>
      <c r="G777" s="3" t="s">
        <v>19</v>
      </c>
      <c r="H777" s="3">
        <v>114723</v>
      </c>
      <c r="I777" s="3">
        <v>0</v>
      </c>
      <c r="J777" s="3">
        <v>14623</v>
      </c>
      <c r="K777" s="3">
        <v>92063</v>
      </c>
      <c r="L777" s="3">
        <v>4</v>
      </c>
      <c r="M777" s="3">
        <v>4742.0086369999999</v>
      </c>
    </row>
    <row r="778" spans="1:13" ht="14.25" customHeight="1" x14ac:dyDescent="0.2">
      <c r="A778" s="3" t="s">
        <v>1153</v>
      </c>
      <c r="B778" s="3" t="s">
        <v>24</v>
      </c>
      <c r="C778" s="3" t="s">
        <v>15</v>
      </c>
      <c r="D778" s="3" t="s">
        <v>16</v>
      </c>
      <c r="E778" s="3" t="s">
        <v>717</v>
      </c>
      <c r="F778" s="3" t="s">
        <v>38</v>
      </c>
      <c r="G778" s="3" t="s">
        <v>19</v>
      </c>
      <c r="H778" s="3">
        <v>1571</v>
      </c>
      <c r="I778" s="3">
        <v>0</v>
      </c>
      <c r="J778" s="3">
        <v>1304</v>
      </c>
      <c r="K778" s="3">
        <v>1513</v>
      </c>
      <c r="L778" s="3">
        <v>6</v>
      </c>
      <c r="M778" s="3">
        <v>4683.2355479999997</v>
      </c>
    </row>
    <row r="779" spans="1:13" ht="14.25" customHeight="1" x14ac:dyDescent="0.2">
      <c r="A779" s="3" t="s">
        <v>1154</v>
      </c>
      <c r="B779" s="3" t="s">
        <v>24</v>
      </c>
      <c r="C779" s="3" t="s">
        <v>15</v>
      </c>
      <c r="D779" s="3" t="s">
        <v>43</v>
      </c>
      <c r="E779" s="3" t="s">
        <v>740</v>
      </c>
      <c r="F779" s="3" t="s">
        <v>22</v>
      </c>
      <c r="G779" s="3" t="s">
        <v>163</v>
      </c>
      <c r="H779" s="3">
        <v>120902</v>
      </c>
      <c r="I779" s="3">
        <v>0</v>
      </c>
      <c r="J779" s="3">
        <v>9964</v>
      </c>
      <c r="K779" s="3">
        <v>70015</v>
      </c>
      <c r="L779" s="3">
        <v>15</v>
      </c>
      <c r="M779" s="3">
        <v>4669.0136689999999</v>
      </c>
    </row>
    <row r="780" spans="1:13" ht="14.25" customHeight="1" x14ac:dyDescent="0.2">
      <c r="A780" s="3" t="s">
        <v>1155</v>
      </c>
      <c r="B780" s="3" t="s">
        <v>24</v>
      </c>
      <c r="C780" s="3" t="s">
        <v>32</v>
      </c>
      <c r="D780" s="3" t="s">
        <v>78</v>
      </c>
      <c r="E780" s="3" t="s">
        <v>977</v>
      </c>
      <c r="F780" s="3" t="s">
        <v>27</v>
      </c>
      <c r="G780" s="3" t="s">
        <v>114</v>
      </c>
      <c r="H780" s="3">
        <v>24875</v>
      </c>
      <c r="I780" s="3">
        <v>0</v>
      </c>
      <c r="J780" s="3">
        <v>14213</v>
      </c>
      <c r="K780" s="3">
        <v>23455</v>
      </c>
      <c r="L780" s="3">
        <v>1</v>
      </c>
      <c r="M780" s="3">
        <v>4652.2420510000002</v>
      </c>
    </row>
    <row r="781" spans="1:13" ht="14.25" customHeight="1" x14ac:dyDescent="0.2">
      <c r="A781" s="3" t="s">
        <v>1156</v>
      </c>
      <c r="B781" s="3" t="s">
        <v>24</v>
      </c>
      <c r="C781" s="3" t="s">
        <v>29</v>
      </c>
      <c r="D781" s="3" t="s">
        <v>43</v>
      </c>
      <c r="E781" s="3" t="s">
        <v>1157</v>
      </c>
      <c r="F781" s="3" t="s">
        <v>22</v>
      </c>
      <c r="G781" s="3" t="s">
        <v>19</v>
      </c>
      <c r="H781" s="3">
        <v>8</v>
      </c>
      <c r="I781" s="3">
        <v>0</v>
      </c>
      <c r="J781" s="3">
        <v>6</v>
      </c>
      <c r="K781" s="3">
        <v>8</v>
      </c>
      <c r="L781" s="3">
        <v>4</v>
      </c>
      <c r="M781" s="3">
        <v>4589.2247189999998</v>
      </c>
    </row>
    <row r="782" spans="1:13" ht="14.25" customHeight="1" x14ac:dyDescent="0.2">
      <c r="A782" s="3" t="s">
        <v>1158</v>
      </c>
      <c r="B782" s="3" t="s">
        <v>14</v>
      </c>
      <c r="C782" s="3" t="s">
        <v>29</v>
      </c>
      <c r="D782" s="3" t="s">
        <v>16</v>
      </c>
      <c r="E782" s="3" t="s">
        <v>740</v>
      </c>
      <c r="F782" s="3" t="s">
        <v>22</v>
      </c>
      <c r="G782" s="3" t="s">
        <v>19</v>
      </c>
      <c r="H782" s="3">
        <v>45397</v>
      </c>
      <c r="I782" s="3">
        <v>0</v>
      </c>
      <c r="J782" s="3">
        <v>716</v>
      </c>
      <c r="K782" s="3">
        <v>6867</v>
      </c>
      <c r="L782" s="3">
        <v>15</v>
      </c>
      <c r="M782" s="3">
        <v>4582.4532909999998</v>
      </c>
    </row>
    <row r="783" spans="1:13" ht="14.25" customHeight="1" x14ac:dyDescent="0.2">
      <c r="A783" s="3" t="s">
        <v>1159</v>
      </c>
      <c r="B783" s="3" t="s">
        <v>24</v>
      </c>
      <c r="C783" s="3" t="s">
        <v>35</v>
      </c>
      <c r="D783" s="3" t="s">
        <v>45</v>
      </c>
      <c r="E783" s="3" t="s">
        <v>72</v>
      </c>
      <c r="F783" s="3" t="s">
        <v>27</v>
      </c>
      <c r="G783" s="3" t="s">
        <v>19</v>
      </c>
      <c r="H783" s="3">
        <v>23983</v>
      </c>
      <c r="I783" s="3">
        <v>0</v>
      </c>
      <c r="J783" s="3">
        <v>464</v>
      </c>
      <c r="K783" s="3">
        <v>19802</v>
      </c>
      <c r="L783" s="3">
        <v>5</v>
      </c>
      <c r="M783" s="3">
        <v>4574.3482700000004</v>
      </c>
    </row>
    <row r="784" spans="1:13" ht="14.25" customHeight="1" x14ac:dyDescent="0.2">
      <c r="A784" s="3" t="s">
        <v>1160</v>
      </c>
      <c r="B784" s="3" t="s">
        <v>24</v>
      </c>
      <c r="C784" s="3" t="s">
        <v>29</v>
      </c>
      <c r="D784" s="3" t="s">
        <v>343</v>
      </c>
      <c r="E784" s="3" t="s">
        <v>1161</v>
      </c>
      <c r="F784" s="3" t="s">
        <v>22</v>
      </c>
      <c r="G784" s="3" t="s">
        <v>114</v>
      </c>
      <c r="H784" s="3">
        <v>2156</v>
      </c>
      <c r="I784" s="3">
        <v>0</v>
      </c>
      <c r="J784" s="3">
        <v>747</v>
      </c>
      <c r="K784" s="3">
        <v>1970</v>
      </c>
      <c r="L784" s="3">
        <v>2</v>
      </c>
      <c r="M784" s="3">
        <v>4574.1130350000003</v>
      </c>
    </row>
    <row r="785" spans="1:13" ht="14.25" customHeight="1" x14ac:dyDescent="0.2">
      <c r="A785" s="3" t="s">
        <v>1162</v>
      </c>
      <c r="B785" s="3" t="s">
        <v>14</v>
      </c>
      <c r="C785" s="3" t="s">
        <v>15</v>
      </c>
      <c r="D785" s="3" t="s">
        <v>43</v>
      </c>
      <c r="E785" s="3" t="s">
        <v>1163</v>
      </c>
      <c r="F785" s="3" t="s">
        <v>27</v>
      </c>
      <c r="G785" s="3" t="s">
        <v>19</v>
      </c>
      <c r="H785" s="3">
        <v>747</v>
      </c>
      <c r="I785" s="3">
        <v>0</v>
      </c>
      <c r="J785" s="3">
        <v>239</v>
      </c>
      <c r="K785" s="3">
        <v>639</v>
      </c>
      <c r="L785" s="3">
        <v>5</v>
      </c>
      <c r="M785" s="3">
        <v>4520.8725169999998</v>
      </c>
    </row>
    <row r="786" spans="1:13" ht="14.25" customHeight="1" x14ac:dyDescent="0.2">
      <c r="A786" s="3" t="s">
        <v>1164</v>
      </c>
      <c r="B786" s="3" t="s">
        <v>68</v>
      </c>
      <c r="C786" s="3" t="s">
        <v>32</v>
      </c>
      <c r="D786" s="3" t="s">
        <v>45</v>
      </c>
      <c r="E786" s="3" t="s">
        <v>865</v>
      </c>
      <c r="F786" s="3" t="s">
        <v>22</v>
      </c>
      <c r="G786" s="3" t="s">
        <v>19</v>
      </c>
      <c r="H786" s="3">
        <v>1005</v>
      </c>
      <c r="I786" s="3">
        <v>0</v>
      </c>
      <c r="J786" s="3">
        <v>568</v>
      </c>
      <c r="K786" s="3">
        <v>826</v>
      </c>
      <c r="L786" s="3">
        <v>10</v>
      </c>
      <c r="M786" s="3">
        <v>4514.9293930000003</v>
      </c>
    </row>
    <row r="787" spans="1:13" ht="14.25" customHeight="1" x14ac:dyDescent="0.2">
      <c r="A787" s="3" t="s">
        <v>1165</v>
      </c>
      <c r="B787" s="3" t="s">
        <v>24</v>
      </c>
      <c r="C787" s="3" t="s">
        <v>15</v>
      </c>
      <c r="D787" s="3" t="s">
        <v>25</v>
      </c>
      <c r="E787" s="3" t="s">
        <v>1166</v>
      </c>
      <c r="F787" s="3" t="s">
        <v>81</v>
      </c>
      <c r="G787" s="3" t="s">
        <v>114</v>
      </c>
      <c r="H787" s="3">
        <v>394</v>
      </c>
      <c r="I787" s="3">
        <v>0</v>
      </c>
      <c r="J787" s="3">
        <v>246</v>
      </c>
      <c r="K787" s="3">
        <v>316</v>
      </c>
      <c r="L787" s="3">
        <v>2</v>
      </c>
      <c r="M787" s="3">
        <v>4490.2458399999996</v>
      </c>
    </row>
    <row r="788" spans="1:13" ht="14.25" customHeight="1" x14ac:dyDescent="0.2">
      <c r="A788" s="3" t="s">
        <v>1167</v>
      </c>
      <c r="B788" s="3" t="s">
        <v>14</v>
      </c>
      <c r="C788" s="3" t="s">
        <v>15</v>
      </c>
      <c r="D788" s="3" t="s">
        <v>16</v>
      </c>
      <c r="E788" s="3" t="s">
        <v>1168</v>
      </c>
      <c r="F788" s="3" t="s">
        <v>287</v>
      </c>
      <c r="G788" s="3" t="s">
        <v>19</v>
      </c>
      <c r="H788" s="3">
        <v>31</v>
      </c>
      <c r="I788" s="3">
        <v>0</v>
      </c>
      <c r="J788" s="3">
        <v>13</v>
      </c>
      <c r="K788" s="3">
        <v>26</v>
      </c>
      <c r="L788" s="3">
        <v>1</v>
      </c>
      <c r="M788" s="3">
        <v>4487.2815950000004</v>
      </c>
    </row>
    <row r="789" spans="1:13" ht="14.25" customHeight="1" x14ac:dyDescent="0.2">
      <c r="A789" s="3" t="s">
        <v>1169</v>
      </c>
      <c r="B789" s="3" t="s">
        <v>14</v>
      </c>
      <c r="C789" s="3" t="s">
        <v>29</v>
      </c>
      <c r="D789" s="3" t="s">
        <v>74</v>
      </c>
      <c r="E789" s="3" t="s">
        <v>1170</v>
      </c>
      <c r="F789" s="3" t="s">
        <v>27</v>
      </c>
      <c r="G789" s="3" t="s">
        <v>19</v>
      </c>
      <c r="H789" s="3">
        <v>69</v>
      </c>
      <c r="I789" s="3">
        <v>0</v>
      </c>
      <c r="J789" s="3">
        <v>55</v>
      </c>
      <c r="K789" s="3">
        <v>64</v>
      </c>
      <c r="L789" s="3">
        <v>15</v>
      </c>
      <c r="M789" s="3">
        <v>4482.3383819999999</v>
      </c>
    </row>
    <row r="790" spans="1:13" ht="14.25" customHeight="1" x14ac:dyDescent="0.2">
      <c r="A790" s="3" t="s">
        <v>1171</v>
      </c>
      <c r="B790" s="3" t="s">
        <v>14</v>
      </c>
      <c r="C790" s="3" t="s">
        <v>15</v>
      </c>
      <c r="D790" s="3" t="s">
        <v>16</v>
      </c>
      <c r="E790" s="3" t="s">
        <v>455</v>
      </c>
      <c r="F790" s="3" t="s">
        <v>22</v>
      </c>
      <c r="G790" s="3" t="s">
        <v>19</v>
      </c>
      <c r="H790" s="3">
        <v>3124</v>
      </c>
      <c r="I790" s="3">
        <v>0</v>
      </c>
      <c r="J790" s="3">
        <v>1710</v>
      </c>
      <c r="K790" s="3">
        <v>2916</v>
      </c>
      <c r="L790" s="3">
        <v>8</v>
      </c>
      <c r="M790" s="3">
        <v>4465.8975710000004</v>
      </c>
    </row>
    <row r="791" spans="1:13" ht="14.25" customHeight="1" x14ac:dyDescent="0.2">
      <c r="A791" s="3" t="s">
        <v>1172</v>
      </c>
      <c r="B791" s="3" t="s">
        <v>14</v>
      </c>
      <c r="C791" s="3" t="s">
        <v>32</v>
      </c>
      <c r="D791" s="3" t="s">
        <v>532</v>
      </c>
      <c r="E791" s="3" t="s">
        <v>1173</v>
      </c>
      <c r="F791" s="3" t="s">
        <v>33</v>
      </c>
      <c r="G791" s="3" t="s">
        <v>19</v>
      </c>
      <c r="H791" s="3">
        <v>2795</v>
      </c>
      <c r="I791" s="3">
        <v>0</v>
      </c>
      <c r="J791" s="3">
        <v>1911</v>
      </c>
      <c r="K791" s="3">
        <v>2685</v>
      </c>
      <c r="L791" s="3">
        <v>2</v>
      </c>
      <c r="M791" s="3">
        <v>4369.0946629999999</v>
      </c>
    </row>
    <row r="792" spans="1:13" ht="14.25" customHeight="1" x14ac:dyDescent="0.2">
      <c r="A792" s="3" t="s">
        <v>1174</v>
      </c>
      <c r="B792" s="3" t="s">
        <v>24</v>
      </c>
      <c r="C792" s="3" t="s">
        <v>32</v>
      </c>
      <c r="D792" s="3" t="s">
        <v>66</v>
      </c>
      <c r="E792" s="3" t="s">
        <v>1175</v>
      </c>
      <c r="F792" s="3" t="s">
        <v>27</v>
      </c>
      <c r="G792" s="3" t="s">
        <v>19</v>
      </c>
      <c r="H792" s="3">
        <v>3617</v>
      </c>
      <c r="I792" s="3">
        <v>0</v>
      </c>
      <c r="J792" s="3">
        <v>2362</v>
      </c>
      <c r="K792" s="3">
        <v>3513</v>
      </c>
      <c r="L792" s="3">
        <v>8</v>
      </c>
      <c r="M792" s="3">
        <v>4136.9128119999996</v>
      </c>
    </row>
    <row r="793" spans="1:13" ht="14.25" customHeight="1" x14ac:dyDescent="0.2">
      <c r="A793" s="3" t="s">
        <v>1176</v>
      </c>
      <c r="B793" s="3" t="s">
        <v>14</v>
      </c>
      <c r="C793" s="3" t="s">
        <v>29</v>
      </c>
      <c r="D793" s="3" t="s">
        <v>25</v>
      </c>
      <c r="E793" s="3" t="s">
        <v>1177</v>
      </c>
      <c r="F793" s="3" t="s">
        <v>27</v>
      </c>
      <c r="G793" s="3" t="s">
        <v>19</v>
      </c>
      <c r="H793" s="3">
        <v>272</v>
      </c>
      <c r="I793" s="3">
        <v>0</v>
      </c>
      <c r="J793" s="3">
        <v>196</v>
      </c>
      <c r="K793" s="3">
        <v>263</v>
      </c>
      <c r="L793" s="3">
        <v>13</v>
      </c>
      <c r="M793" s="3">
        <v>4090.7701860000002</v>
      </c>
    </row>
    <row r="794" spans="1:13" ht="14.25" customHeight="1" x14ac:dyDescent="0.2">
      <c r="A794" s="3" t="s">
        <v>1178</v>
      </c>
      <c r="B794" s="3" t="s">
        <v>68</v>
      </c>
      <c r="C794" s="3" t="s">
        <v>29</v>
      </c>
      <c r="D794" s="3" t="s">
        <v>86</v>
      </c>
      <c r="E794" s="3" t="s">
        <v>1179</v>
      </c>
      <c r="F794" s="3" t="s">
        <v>64</v>
      </c>
      <c r="G794" s="3" t="s">
        <v>19</v>
      </c>
      <c r="H794" s="3">
        <v>2060</v>
      </c>
      <c r="I794" s="3">
        <v>0</v>
      </c>
      <c r="J794" s="3">
        <v>542</v>
      </c>
      <c r="K794" s="3">
        <v>1543</v>
      </c>
      <c r="L794" s="3">
        <v>3</v>
      </c>
      <c r="M794" s="3">
        <v>4055.2492980000002</v>
      </c>
    </row>
    <row r="795" spans="1:13" ht="14.25" customHeight="1" x14ac:dyDescent="0.2">
      <c r="A795" s="3" t="s">
        <v>1180</v>
      </c>
      <c r="B795" s="3" t="s">
        <v>14</v>
      </c>
      <c r="C795" s="3" t="s">
        <v>29</v>
      </c>
      <c r="D795" s="3" t="s">
        <v>45</v>
      </c>
      <c r="E795" s="3" t="s">
        <v>478</v>
      </c>
      <c r="F795" s="3" t="s">
        <v>38</v>
      </c>
      <c r="G795" s="3" t="s">
        <v>19</v>
      </c>
      <c r="H795" s="3">
        <v>918</v>
      </c>
      <c r="I795" s="3">
        <v>0</v>
      </c>
      <c r="J795" s="3">
        <v>164</v>
      </c>
      <c r="K795" s="3">
        <v>359</v>
      </c>
      <c r="L795" s="3">
        <v>2</v>
      </c>
      <c r="M795" s="3">
        <v>3995.8518389999999</v>
      </c>
    </row>
    <row r="796" spans="1:13" ht="14.25" customHeight="1" x14ac:dyDescent="0.2">
      <c r="A796" s="3" t="s">
        <v>1181</v>
      </c>
      <c r="B796" s="3" t="s">
        <v>14</v>
      </c>
      <c r="C796" s="3" t="s">
        <v>35</v>
      </c>
      <c r="D796" s="3" t="s">
        <v>45</v>
      </c>
      <c r="E796" s="3" t="s">
        <v>1182</v>
      </c>
      <c r="F796" s="3" t="s">
        <v>287</v>
      </c>
      <c r="G796" s="3" t="s">
        <v>19</v>
      </c>
      <c r="H796" s="3">
        <v>1698</v>
      </c>
      <c r="I796" s="3">
        <v>0</v>
      </c>
      <c r="J796" s="3">
        <v>914</v>
      </c>
      <c r="K796" s="3">
        <v>1564</v>
      </c>
      <c r="L796" s="3">
        <v>4</v>
      </c>
      <c r="M796" s="3">
        <v>3945.591109</v>
      </c>
    </row>
    <row r="797" spans="1:13" ht="14.25" customHeight="1" x14ac:dyDescent="0.2">
      <c r="A797" s="3" t="s">
        <v>1183</v>
      </c>
      <c r="B797" s="3" t="s">
        <v>24</v>
      </c>
      <c r="C797" s="3" t="s">
        <v>29</v>
      </c>
      <c r="D797" s="3" t="s">
        <v>165</v>
      </c>
      <c r="E797" s="3" t="s">
        <v>1184</v>
      </c>
      <c r="F797" s="3" t="s">
        <v>27</v>
      </c>
      <c r="G797" s="3" t="s">
        <v>114</v>
      </c>
      <c r="H797" s="3">
        <v>416</v>
      </c>
      <c r="I797" s="3">
        <v>0</v>
      </c>
      <c r="J797" s="3">
        <v>315</v>
      </c>
      <c r="K797" s="3">
        <v>329</v>
      </c>
      <c r="L797" s="3">
        <v>2</v>
      </c>
      <c r="M797" s="3">
        <v>3929.8257840000001</v>
      </c>
    </row>
    <row r="798" spans="1:13" ht="14.25" customHeight="1" x14ac:dyDescent="0.2">
      <c r="A798" s="3" t="s">
        <v>1185</v>
      </c>
      <c r="B798" s="3" t="s">
        <v>14</v>
      </c>
      <c r="C798" s="3" t="s">
        <v>32</v>
      </c>
      <c r="D798" s="3" t="s">
        <v>25</v>
      </c>
      <c r="E798" s="3" t="s">
        <v>478</v>
      </c>
      <c r="F798" s="3" t="s">
        <v>27</v>
      </c>
      <c r="G798" s="3" t="s">
        <v>19</v>
      </c>
      <c r="H798" s="3">
        <v>12209</v>
      </c>
      <c r="I798" s="3">
        <v>0</v>
      </c>
      <c r="J798" s="3">
        <v>3976</v>
      </c>
      <c r="K798" s="3">
        <v>5219</v>
      </c>
      <c r="L798" s="3">
        <v>1</v>
      </c>
      <c r="M798" s="3">
        <v>3818.9551820000001</v>
      </c>
    </row>
    <row r="799" spans="1:13" ht="14.25" customHeight="1" x14ac:dyDescent="0.2">
      <c r="A799" s="3" t="s">
        <v>1186</v>
      </c>
      <c r="B799" s="3" t="s">
        <v>14</v>
      </c>
      <c r="C799" s="3" t="s">
        <v>29</v>
      </c>
      <c r="D799" s="3" t="s">
        <v>447</v>
      </c>
      <c r="E799" s="3" t="s">
        <v>1187</v>
      </c>
      <c r="F799" s="3" t="s">
        <v>27</v>
      </c>
      <c r="G799" s="3" t="s">
        <v>19</v>
      </c>
      <c r="H799" s="3">
        <v>41</v>
      </c>
      <c r="I799" s="3">
        <v>0</v>
      </c>
      <c r="J799" s="3">
        <v>2</v>
      </c>
      <c r="K799" s="3">
        <v>36</v>
      </c>
      <c r="L799" s="3">
        <v>3</v>
      </c>
      <c r="M799" s="3">
        <v>3692.967114</v>
      </c>
    </row>
    <row r="800" spans="1:13" ht="14.25" customHeight="1" x14ac:dyDescent="0.2">
      <c r="A800" s="3" t="s">
        <v>1188</v>
      </c>
      <c r="B800" s="3" t="s">
        <v>14</v>
      </c>
      <c r="C800" s="3" t="s">
        <v>15</v>
      </c>
      <c r="D800" s="3" t="s">
        <v>45</v>
      </c>
      <c r="E800" s="3" t="s">
        <v>1189</v>
      </c>
      <c r="F800" s="3" t="s">
        <v>27</v>
      </c>
      <c r="G800" s="3" t="s">
        <v>19</v>
      </c>
      <c r="H800" s="3">
        <v>929</v>
      </c>
      <c r="I800" s="3">
        <v>0</v>
      </c>
      <c r="J800" s="3">
        <v>753</v>
      </c>
      <c r="K800" s="3">
        <v>868</v>
      </c>
      <c r="L800" s="3">
        <v>9</v>
      </c>
      <c r="M800" s="3">
        <v>3683.2410150000001</v>
      </c>
    </row>
    <row r="801" spans="1:13" ht="14.25" customHeight="1" x14ac:dyDescent="0.2">
      <c r="A801" s="3" t="s">
        <v>1190</v>
      </c>
      <c r="B801" s="3" t="s">
        <v>14</v>
      </c>
      <c r="C801" s="3" t="s">
        <v>32</v>
      </c>
      <c r="D801" s="3" t="s">
        <v>205</v>
      </c>
      <c r="E801" s="3" t="s">
        <v>166</v>
      </c>
      <c r="F801" s="3" t="s">
        <v>27</v>
      </c>
      <c r="G801" s="3" t="s">
        <v>19</v>
      </c>
      <c r="H801" s="3">
        <v>4547</v>
      </c>
      <c r="I801" s="3">
        <v>0</v>
      </c>
      <c r="J801" s="3">
        <v>3228</v>
      </c>
      <c r="K801" s="3">
        <v>4323</v>
      </c>
      <c r="L801" s="3">
        <v>10</v>
      </c>
      <c r="M801" s="3">
        <v>3650.365393</v>
      </c>
    </row>
    <row r="802" spans="1:13" ht="14.25" customHeight="1" x14ac:dyDescent="0.2">
      <c r="A802" s="3" t="s">
        <v>1191</v>
      </c>
      <c r="B802" s="3" t="s">
        <v>24</v>
      </c>
      <c r="C802" s="3" t="s">
        <v>15</v>
      </c>
      <c r="D802" s="3" t="s">
        <v>16</v>
      </c>
      <c r="E802" s="3" t="s">
        <v>1192</v>
      </c>
      <c r="F802" s="3" t="s">
        <v>76</v>
      </c>
      <c r="G802" s="3" t="s">
        <v>19</v>
      </c>
      <c r="H802" s="3">
        <v>1896</v>
      </c>
      <c r="I802" s="3">
        <v>0</v>
      </c>
      <c r="J802" s="3">
        <v>1417</v>
      </c>
      <c r="K802" s="3">
        <v>1799</v>
      </c>
      <c r="L802" s="3">
        <v>3</v>
      </c>
      <c r="M802" s="3">
        <v>3545.7246180000002</v>
      </c>
    </row>
    <row r="803" spans="1:13" ht="14.25" customHeight="1" x14ac:dyDescent="0.2">
      <c r="A803" s="3" t="s">
        <v>1193</v>
      </c>
      <c r="B803" s="3" t="s">
        <v>14</v>
      </c>
      <c r="C803" s="3" t="s">
        <v>15</v>
      </c>
      <c r="D803" s="3" t="s">
        <v>205</v>
      </c>
      <c r="E803" s="3" t="s">
        <v>1194</v>
      </c>
      <c r="F803" s="3" t="s">
        <v>27</v>
      </c>
      <c r="G803" s="3" t="s">
        <v>19</v>
      </c>
      <c r="H803" s="3">
        <v>5732</v>
      </c>
      <c r="I803" s="3">
        <v>0</v>
      </c>
      <c r="J803" s="3">
        <v>2741</v>
      </c>
      <c r="K803" s="3">
        <v>5257</v>
      </c>
      <c r="L803" s="3">
        <v>2</v>
      </c>
      <c r="M803" s="3">
        <v>3496.0468900000001</v>
      </c>
    </row>
    <row r="804" spans="1:13" ht="14.25" customHeight="1" x14ac:dyDescent="0.2">
      <c r="A804" s="3" t="s">
        <v>1195</v>
      </c>
      <c r="B804" s="3" t="s">
        <v>14</v>
      </c>
      <c r="C804" s="3" t="s">
        <v>15</v>
      </c>
      <c r="D804" s="3" t="s">
        <v>66</v>
      </c>
      <c r="E804" s="3" t="s">
        <v>191</v>
      </c>
      <c r="F804" s="3" t="s">
        <v>38</v>
      </c>
      <c r="G804" s="3" t="s">
        <v>19</v>
      </c>
      <c r="H804" s="3">
        <v>3438</v>
      </c>
      <c r="I804" s="3">
        <v>0</v>
      </c>
      <c r="J804" s="3">
        <v>1290</v>
      </c>
      <c r="K804" s="3">
        <v>2475</v>
      </c>
      <c r="L804" s="3">
        <v>10</v>
      </c>
      <c r="M804" s="3">
        <v>3470.6319830000002</v>
      </c>
    </row>
    <row r="805" spans="1:13" ht="14.25" customHeight="1" x14ac:dyDescent="0.2">
      <c r="A805" s="3" t="s">
        <v>1196</v>
      </c>
      <c r="B805" s="3" t="s">
        <v>24</v>
      </c>
      <c r="C805" s="3" t="s">
        <v>15</v>
      </c>
      <c r="D805" s="3" t="s">
        <v>16</v>
      </c>
      <c r="E805" s="3" t="s">
        <v>1197</v>
      </c>
      <c r="F805" s="3" t="s">
        <v>27</v>
      </c>
      <c r="G805" s="3" t="s">
        <v>114</v>
      </c>
      <c r="H805" s="3">
        <v>3762</v>
      </c>
      <c r="I805" s="3">
        <v>0</v>
      </c>
      <c r="J805" s="3">
        <v>1562</v>
      </c>
      <c r="K805" s="3">
        <v>2423</v>
      </c>
      <c r="L805" s="3">
        <v>15</v>
      </c>
      <c r="M805" s="3">
        <v>3453.1385810000002</v>
      </c>
    </row>
    <row r="806" spans="1:13" ht="14.25" customHeight="1" x14ac:dyDescent="0.2">
      <c r="A806" s="3" t="s">
        <v>1198</v>
      </c>
      <c r="B806" s="3" t="s">
        <v>14</v>
      </c>
      <c r="C806" s="3" t="s">
        <v>15</v>
      </c>
      <c r="D806" s="3" t="s">
        <v>447</v>
      </c>
      <c r="E806" s="3" t="s">
        <v>149</v>
      </c>
      <c r="F806" s="3" t="s">
        <v>38</v>
      </c>
      <c r="G806" s="3" t="s">
        <v>19</v>
      </c>
      <c r="H806" s="3">
        <v>15399</v>
      </c>
      <c r="I806" s="3">
        <v>0</v>
      </c>
      <c r="J806" s="3">
        <v>3398</v>
      </c>
      <c r="K806" s="3">
        <v>4324</v>
      </c>
      <c r="L806" s="3">
        <v>1</v>
      </c>
      <c r="M806" s="3">
        <v>3434.7311530000002</v>
      </c>
    </row>
    <row r="807" spans="1:13" ht="14.25" customHeight="1" x14ac:dyDescent="0.2">
      <c r="A807" s="3" t="s">
        <v>1199</v>
      </c>
      <c r="B807" s="3" t="s">
        <v>14</v>
      </c>
      <c r="C807" s="3" t="s">
        <v>32</v>
      </c>
      <c r="D807" s="3" t="s">
        <v>304</v>
      </c>
      <c r="E807" s="3" t="s">
        <v>962</v>
      </c>
      <c r="F807" s="3" t="s">
        <v>18</v>
      </c>
      <c r="G807" s="3" t="s">
        <v>19</v>
      </c>
      <c r="H807" s="3">
        <v>2328</v>
      </c>
      <c r="I807" s="3">
        <v>0</v>
      </c>
      <c r="J807" s="3">
        <v>1400</v>
      </c>
      <c r="K807" s="3">
        <v>2171</v>
      </c>
      <c r="L807" s="3">
        <v>2</v>
      </c>
      <c r="M807" s="3">
        <v>3424.0070000000001</v>
      </c>
    </row>
    <row r="808" spans="1:13" ht="14.25" customHeight="1" x14ac:dyDescent="0.2">
      <c r="A808" s="3" t="s">
        <v>1200</v>
      </c>
      <c r="B808" s="3" t="s">
        <v>24</v>
      </c>
      <c r="C808" s="3" t="s">
        <v>35</v>
      </c>
      <c r="D808" s="3" t="s">
        <v>60</v>
      </c>
      <c r="E808" s="3" t="s">
        <v>1201</v>
      </c>
      <c r="F808" s="3" t="s">
        <v>22</v>
      </c>
      <c r="G808" s="3" t="s">
        <v>114</v>
      </c>
      <c r="H808" s="3">
        <v>2230</v>
      </c>
      <c r="I808" s="3">
        <v>0</v>
      </c>
      <c r="J808" s="3">
        <v>97</v>
      </c>
      <c r="K808" s="3">
        <v>356</v>
      </c>
      <c r="L808" s="3">
        <v>2</v>
      </c>
      <c r="M808" s="3">
        <v>3368.7110579999999</v>
      </c>
    </row>
    <row r="809" spans="1:13" ht="14.25" customHeight="1" x14ac:dyDescent="0.2">
      <c r="A809" s="3" t="s">
        <v>1202</v>
      </c>
      <c r="B809" s="3" t="s">
        <v>24</v>
      </c>
      <c r="C809" s="3" t="s">
        <v>15</v>
      </c>
      <c r="D809" s="3" t="s">
        <v>121</v>
      </c>
      <c r="E809" s="3" t="s">
        <v>659</v>
      </c>
      <c r="F809" s="3" t="s">
        <v>38</v>
      </c>
      <c r="G809" s="3" t="s">
        <v>114</v>
      </c>
      <c r="H809" s="3">
        <v>3290</v>
      </c>
      <c r="I809" s="3">
        <v>0</v>
      </c>
      <c r="J809" s="3">
        <v>1847</v>
      </c>
      <c r="K809" s="3">
        <v>2887</v>
      </c>
      <c r="L809" s="3">
        <v>1</v>
      </c>
      <c r="M809" s="3">
        <v>3357.0793480000002</v>
      </c>
    </row>
    <row r="810" spans="1:13" ht="14.25" customHeight="1" x14ac:dyDescent="0.2">
      <c r="A810" s="3" t="s">
        <v>1203</v>
      </c>
      <c r="B810" s="3" t="s">
        <v>14</v>
      </c>
      <c r="C810" s="3" t="s">
        <v>29</v>
      </c>
      <c r="D810" s="3" t="s">
        <v>43</v>
      </c>
      <c r="E810" s="3" t="s">
        <v>1204</v>
      </c>
      <c r="F810" s="3" t="s">
        <v>27</v>
      </c>
      <c r="G810" s="3" t="s">
        <v>19</v>
      </c>
      <c r="H810" s="3">
        <v>19</v>
      </c>
      <c r="I810" s="3">
        <v>0</v>
      </c>
      <c r="J810" s="3">
        <v>7</v>
      </c>
      <c r="K810" s="3">
        <v>19</v>
      </c>
      <c r="L810" s="3">
        <v>2</v>
      </c>
      <c r="M810" s="3">
        <v>3264.0141979999999</v>
      </c>
    </row>
    <row r="811" spans="1:13" ht="14.25" customHeight="1" x14ac:dyDescent="0.2">
      <c r="A811" s="3" t="s">
        <v>1205</v>
      </c>
      <c r="B811" s="3" t="s">
        <v>14</v>
      </c>
      <c r="C811" s="3" t="s">
        <v>35</v>
      </c>
      <c r="D811" s="3" t="s">
        <v>16</v>
      </c>
      <c r="E811" s="3" t="s">
        <v>1206</v>
      </c>
      <c r="F811" s="3" t="s">
        <v>27</v>
      </c>
      <c r="G811" s="3" t="s">
        <v>19</v>
      </c>
      <c r="H811" s="3">
        <v>60</v>
      </c>
      <c r="I811" s="3">
        <v>0</v>
      </c>
      <c r="J811" s="3">
        <v>45</v>
      </c>
      <c r="K811" s="3">
        <v>59</v>
      </c>
      <c r="L811" s="3">
        <v>3</v>
      </c>
      <c r="M811" s="3">
        <v>3177.9966629999999</v>
      </c>
    </row>
    <row r="812" spans="1:13" ht="14.25" customHeight="1" x14ac:dyDescent="0.2">
      <c r="A812" s="3" t="s">
        <v>1207</v>
      </c>
      <c r="B812" s="3" t="s">
        <v>24</v>
      </c>
      <c r="C812" s="3" t="s">
        <v>35</v>
      </c>
      <c r="D812" s="3" t="s">
        <v>16</v>
      </c>
      <c r="E812" s="3" t="s">
        <v>1208</v>
      </c>
      <c r="F812" s="3" t="s">
        <v>22</v>
      </c>
      <c r="G812" s="3" t="s">
        <v>114</v>
      </c>
      <c r="H812" s="3">
        <v>988</v>
      </c>
      <c r="I812" s="3">
        <v>0</v>
      </c>
      <c r="J812" s="3">
        <v>572</v>
      </c>
      <c r="K812" s="3">
        <v>675</v>
      </c>
      <c r="L812" s="3">
        <v>13</v>
      </c>
      <c r="M812" s="3">
        <v>3114.2796149999999</v>
      </c>
    </row>
    <row r="813" spans="1:13" ht="14.25" customHeight="1" x14ac:dyDescent="0.2">
      <c r="A813" s="3" t="s">
        <v>1209</v>
      </c>
      <c r="B813" s="3" t="s">
        <v>14</v>
      </c>
      <c r="C813" s="3" t="s">
        <v>35</v>
      </c>
      <c r="D813" s="3" t="s">
        <v>66</v>
      </c>
      <c r="E813" s="3" t="s">
        <v>1210</v>
      </c>
      <c r="F813" s="3" t="s">
        <v>76</v>
      </c>
      <c r="G813" s="3" t="s">
        <v>19</v>
      </c>
      <c r="H813" s="3">
        <v>2770</v>
      </c>
      <c r="I813" s="3">
        <v>0</v>
      </c>
      <c r="J813" s="3">
        <v>1248</v>
      </c>
      <c r="K813" s="3">
        <v>1958</v>
      </c>
      <c r="L813" s="3">
        <v>26</v>
      </c>
      <c r="M813" s="3">
        <v>3094.7335779999999</v>
      </c>
    </row>
    <row r="814" spans="1:13" ht="14.25" customHeight="1" x14ac:dyDescent="0.2">
      <c r="A814" s="3" t="s">
        <v>1211</v>
      </c>
      <c r="B814" s="3" t="s">
        <v>24</v>
      </c>
      <c r="C814" s="3" t="s">
        <v>15</v>
      </c>
      <c r="D814" s="3" t="s">
        <v>25</v>
      </c>
      <c r="E814" s="3" t="s">
        <v>747</v>
      </c>
      <c r="F814" s="3" t="s">
        <v>38</v>
      </c>
      <c r="G814" s="3" t="s">
        <v>19</v>
      </c>
      <c r="H814" s="3">
        <v>775</v>
      </c>
      <c r="I814" s="3">
        <v>0</v>
      </c>
      <c r="J814" s="3">
        <v>173</v>
      </c>
      <c r="K814" s="3">
        <v>716</v>
      </c>
      <c r="L814" s="3">
        <v>6</v>
      </c>
      <c r="M814" s="3">
        <v>2997.1808369999999</v>
      </c>
    </row>
    <row r="815" spans="1:13" ht="14.25" customHeight="1" x14ac:dyDescent="0.2">
      <c r="A815" s="3" t="s">
        <v>1212</v>
      </c>
      <c r="B815" s="3" t="s">
        <v>24</v>
      </c>
      <c r="C815" s="3" t="s">
        <v>15</v>
      </c>
      <c r="D815" s="3" t="s">
        <v>66</v>
      </c>
      <c r="E815" s="3" t="s">
        <v>1213</v>
      </c>
      <c r="F815" s="3" t="s">
        <v>22</v>
      </c>
      <c r="G815" s="3" t="s">
        <v>114</v>
      </c>
      <c r="H815" s="3">
        <v>24464</v>
      </c>
      <c r="I815" s="3">
        <v>0</v>
      </c>
      <c r="J815" s="3">
        <v>3275</v>
      </c>
      <c r="K815" s="3">
        <v>21993</v>
      </c>
      <c r="L815" s="3">
        <v>2</v>
      </c>
      <c r="M815" s="3">
        <v>2959.1149730000002</v>
      </c>
    </row>
    <row r="816" spans="1:13" ht="14.25" customHeight="1" x14ac:dyDescent="0.2">
      <c r="A816" s="3" t="s">
        <v>1214</v>
      </c>
      <c r="B816" s="3" t="s">
        <v>24</v>
      </c>
      <c r="C816" s="3" t="s">
        <v>32</v>
      </c>
      <c r="D816" s="3" t="s">
        <v>43</v>
      </c>
      <c r="E816" s="3" t="s">
        <v>684</v>
      </c>
      <c r="F816" s="3" t="s">
        <v>22</v>
      </c>
      <c r="G816" s="3" t="s">
        <v>19</v>
      </c>
      <c r="H816" s="3">
        <v>20278</v>
      </c>
      <c r="I816" s="3">
        <v>0</v>
      </c>
      <c r="J816" s="3">
        <v>14227</v>
      </c>
      <c r="K816" s="3">
        <v>19480</v>
      </c>
      <c r="L816" s="3">
        <v>3</v>
      </c>
      <c r="M816" s="3">
        <v>2921.1102070000002</v>
      </c>
    </row>
    <row r="817" spans="1:13" ht="14.25" customHeight="1" x14ac:dyDescent="0.2">
      <c r="A817" s="3" t="s">
        <v>1215</v>
      </c>
      <c r="B817" s="3" t="s">
        <v>14</v>
      </c>
      <c r="C817" s="3" t="s">
        <v>29</v>
      </c>
      <c r="D817" s="3" t="s">
        <v>25</v>
      </c>
      <c r="E817" s="3" t="s">
        <v>119</v>
      </c>
      <c r="F817" s="3" t="s">
        <v>64</v>
      </c>
      <c r="G817" s="3" t="s">
        <v>19</v>
      </c>
      <c r="H817" s="3">
        <v>3219</v>
      </c>
      <c r="I817" s="3">
        <v>0</v>
      </c>
      <c r="J817" s="3">
        <v>2025</v>
      </c>
      <c r="K817" s="3">
        <v>2551</v>
      </c>
      <c r="L817" s="3">
        <v>2</v>
      </c>
      <c r="M817" s="3">
        <v>2896.593108</v>
      </c>
    </row>
    <row r="818" spans="1:13" ht="14.25" customHeight="1" x14ac:dyDescent="0.2">
      <c r="A818" s="3" t="s">
        <v>1216</v>
      </c>
      <c r="B818" s="3" t="s">
        <v>24</v>
      </c>
      <c r="C818" s="3" t="s">
        <v>15</v>
      </c>
      <c r="D818" s="3" t="s">
        <v>16</v>
      </c>
      <c r="E818" s="3" t="s">
        <v>1217</v>
      </c>
      <c r="F818" s="3" t="s">
        <v>41</v>
      </c>
      <c r="G818" s="3" t="s">
        <v>19</v>
      </c>
      <c r="H818" s="3">
        <v>5</v>
      </c>
      <c r="I818" s="3">
        <v>0</v>
      </c>
      <c r="J818" s="3">
        <v>0</v>
      </c>
      <c r="K818" s="3">
        <v>4</v>
      </c>
      <c r="L818" s="3">
        <v>8</v>
      </c>
      <c r="M818" s="3">
        <v>2872.5753589999999</v>
      </c>
    </row>
    <row r="819" spans="1:13" ht="14.25" customHeight="1" x14ac:dyDescent="0.2">
      <c r="A819" s="3" t="s">
        <v>1218</v>
      </c>
      <c r="B819" s="3" t="s">
        <v>14</v>
      </c>
      <c r="C819" s="3" t="s">
        <v>32</v>
      </c>
      <c r="D819" s="3" t="s">
        <v>60</v>
      </c>
      <c r="E819" s="3" t="s">
        <v>533</v>
      </c>
      <c r="F819" s="3" t="s">
        <v>38</v>
      </c>
      <c r="G819" s="3" t="s">
        <v>19</v>
      </c>
      <c r="H819" s="3">
        <v>29</v>
      </c>
      <c r="I819" s="3">
        <v>0</v>
      </c>
      <c r="J819" s="3">
        <v>18</v>
      </c>
      <c r="K819" s="3">
        <v>20</v>
      </c>
      <c r="L819" s="3">
        <v>24</v>
      </c>
      <c r="M819" s="3">
        <v>2870.20397</v>
      </c>
    </row>
    <row r="820" spans="1:13" ht="14.25" customHeight="1" x14ac:dyDescent="0.2">
      <c r="A820" s="3" t="s">
        <v>1219</v>
      </c>
      <c r="B820" s="3" t="s">
        <v>14</v>
      </c>
      <c r="C820" s="3" t="s">
        <v>35</v>
      </c>
      <c r="D820" s="3" t="s">
        <v>43</v>
      </c>
      <c r="E820" s="3" t="s">
        <v>1220</v>
      </c>
      <c r="F820" s="3" t="s">
        <v>27</v>
      </c>
      <c r="G820" s="3" t="s">
        <v>19</v>
      </c>
      <c r="H820" s="3">
        <v>25</v>
      </c>
      <c r="I820" s="3">
        <v>0</v>
      </c>
      <c r="J820" s="3">
        <v>20</v>
      </c>
      <c r="K820" s="3">
        <v>24</v>
      </c>
      <c r="L820" s="3">
        <v>15</v>
      </c>
      <c r="M820" s="3">
        <v>2834.4605139999999</v>
      </c>
    </row>
    <row r="821" spans="1:13" ht="14.25" customHeight="1" x14ac:dyDescent="0.2">
      <c r="A821" s="3" t="s">
        <v>1221</v>
      </c>
      <c r="B821" s="3" t="s">
        <v>24</v>
      </c>
      <c r="C821" s="3" t="s">
        <v>32</v>
      </c>
      <c r="D821" s="3" t="s">
        <v>21</v>
      </c>
      <c r="E821" s="3" t="s">
        <v>1143</v>
      </c>
      <c r="F821" s="3" t="s">
        <v>22</v>
      </c>
      <c r="G821" s="3" t="s">
        <v>114</v>
      </c>
      <c r="H821" s="3">
        <v>876</v>
      </c>
      <c r="I821" s="3">
        <v>0</v>
      </c>
      <c r="J821" s="3">
        <v>500</v>
      </c>
      <c r="K821" s="3">
        <v>659</v>
      </c>
      <c r="L821" s="3">
        <v>11</v>
      </c>
      <c r="M821" s="3">
        <v>2759.3689639999998</v>
      </c>
    </row>
    <row r="822" spans="1:13" ht="14.25" customHeight="1" x14ac:dyDescent="0.2">
      <c r="A822" s="3" t="s">
        <v>1222</v>
      </c>
      <c r="B822" s="3" t="s">
        <v>24</v>
      </c>
      <c r="C822" s="3" t="s">
        <v>32</v>
      </c>
      <c r="D822" s="3" t="s">
        <v>66</v>
      </c>
      <c r="E822" s="3" t="s">
        <v>1223</v>
      </c>
      <c r="F822" s="3" t="s">
        <v>27</v>
      </c>
      <c r="G822" s="3" t="s">
        <v>114</v>
      </c>
      <c r="H822" s="3">
        <v>261</v>
      </c>
      <c r="I822" s="3">
        <v>0</v>
      </c>
      <c r="J822" s="3">
        <v>178</v>
      </c>
      <c r="K822" s="3">
        <v>221</v>
      </c>
      <c r="L822" s="3">
        <v>21</v>
      </c>
      <c r="M822" s="3">
        <v>2730.1106690000001</v>
      </c>
    </row>
    <row r="823" spans="1:13" ht="14.25" customHeight="1" x14ac:dyDescent="0.2">
      <c r="A823" s="3" t="s">
        <v>1224</v>
      </c>
      <c r="B823" s="3" t="s">
        <v>14</v>
      </c>
      <c r="C823" s="3" t="s">
        <v>15</v>
      </c>
      <c r="D823" s="3" t="s">
        <v>121</v>
      </c>
      <c r="E823" s="3" t="s">
        <v>891</v>
      </c>
      <c r="F823" s="3" t="s">
        <v>27</v>
      </c>
      <c r="G823" s="3" t="s">
        <v>19</v>
      </c>
      <c r="H823" s="3">
        <v>3489</v>
      </c>
      <c r="I823" s="3">
        <v>0</v>
      </c>
      <c r="J823" s="3">
        <v>2061</v>
      </c>
      <c r="K823" s="3">
        <v>3281</v>
      </c>
      <c r="L823" s="3">
        <v>19</v>
      </c>
      <c r="M823" s="3">
        <v>2723.562109</v>
      </c>
    </row>
    <row r="824" spans="1:13" ht="14.25" customHeight="1" x14ac:dyDescent="0.2">
      <c r="A824" s="3" t="s">
        <v>1225</v>
      </c>
      <c r="B824" s="3" t="s">
        <v>14</v>
      </c>
      <c r="C824" s="3" t="s">
        <v>32</v>
      </c>
      <c r="D824" s="3" t="s">
        <v>21</v>
      </c>
      <c r="E824" s="3" t="s">
        <v>1226</v>
      </c>
      <c r="F824" s="3" t="s">
        <v>50</v>
      </c>
      <c r="G824" s="3" t="s">
        <v>19</v>
      </c>
      <c r="H824" s="3">
        <v>33</v>
      </c>
      <c r="I824" s="3">
        <v>0</v>
      </c>
      <c r="J824" s="3">
        <v>9</v>
      </c>
      <c r="K824" s="3">
        <v>28</v>
      </c>
      <c r="L824" s="3">
        <v>3</v>
      </c>
      <c r="M824" s="3">
        <v>2720.3259670000002</v>
      </c>
    </row>
    <row r="825" spans="1:13" ht="14.25" customHeight="1" x14ac:dyDescent="0.2">
      <c r="A825" s="3" t="s">
        <v>1227</v>
      </c>
      <c r="B825" s="3" t="s">
        <v>24</v>
      </c>
      <c r="C825" s="3" t="s">
        <v>15</v>
      </c>
      <c r="D825" s="3" t="s">
        <v>25</v>
      </c>
      <c r="E825" s="3" t="s">
        <v>1120</v>
      </c>
      <c r="F825" s="3" t="s">
        <v>27</v>
      </c>
      <c r="G825" s="3" t="s">
        <v>19</v>
      </c>
      <c r="H825" s="3">
        <v>2203</v>
      </c>
      <c r="I825" s="3">
        <v>0</v>
      </c>
      <c r="J825" s="3">
        <v>1479</v>
      </c>
      <c r="K825" s="3">
        <v>2087</v>
      </c>
      <c r="L825" s="3">
        <v>10</v>
      </c>
      <c r="M825" s="3">
        <v>2677.313349</v>
      </c>
    </row>
    <row r="826" spans="1:13" ht="14.25" customHeight="1" x14ac:dyDescent="0.2">
      <c r="A826" s="3" t="s">
        <v>1228</v>
      </c>
      <c r="B826" s="3" t="s">
        <v>14</v>
      </c>
      <c r="C826" s="3" t="s">
        <v>32</v>
      </c>
      <c r="D826" s="3" t="s">
        <v>86</v>
      </c>
      <c r="E826" s="3" t="s">
        <v>1229</v>
      </c>
      <c r="F826" s="3" t="s">
        <v>27</v>
      </c>
      <c r="G826" s="3" t="s">
        <v>19</v>
      </c>
      <c r="H826" s="3">
        <v>54</v>
      </c>
      <c r="I826" s="3">
        <v>0</v>
      </c>
      <c r="J826" s="3">
        <v>29</v>
      </c>
      <c r="K826" s="3">
        <v>43</v>
      </c>
      <c r="L826" s="3">
        <v>3</v>
      </c>
      <c r="M826" s="3">
        <v>2649.5558850000002</v>
      </c>
    </row>
    <row r="827" spans="1:13" ht="14.25" customHeight="1" x14ac:dyDescent="0.2">
      <c r="A827" s="3" t="s">
        <v>1230</v>
      </c>
      <c r="B827" s="3" t="s">
        <v>24</v>
      </c>
      <c r="C827" s="3" t="s">
        <v>32</v>
      </c>
      <c r="D827" s="3" t="s">
        <v>25</v>
      </c>
      <c r="E827" s="3" t="s">
        <v>1152</v>
      </c>
      <c r="F827" s="3" t="s">
        <v>27</v>
      </c>
      <c r="G827" s="3" t="s">
        <v>19</v>
      </c>
      <c r="H827" s="3">
        <v>14581</v>
      </c>
      <c r="I827" s="3">
        <v>0</v>
      </c>
      <c r="J827" s="3">
        <v>6970</v>
      </c>
      <c r="K827" s="3">
        <v>8882</v>
      </c>
      <c r="L827" s="3">
        <v>4</v>
      </c>
      <c r="M827" s="3">
        <v>2636.2021239999999</v>
      </c>
    </row>
    <row r="828" spans="1:13" ht="14.25" customHeight="1" x14ac:dyDescent="0.2">
      <c r="A828" s="3" t="s">
        <v>1231</v>
      </c>
      <c r="B828" s="3" t="s">
        <v>14</v>
      </c>
      <c r="C828" s="3" t="s">
        <v>35</v>
      </c>
      <c r="D828" s="3" t="s">
        <v>43</v>
      </c>
      <c r="E828" s="3" t="s">
        <v>1232</v>
      </c>
      <c r="F828" s="3" t="s">
        <v>27</v>
      </c>
      <c r="G828" s="3" t="s">
        <v>19</v>
      </c>
      <c r="H828" s="3">
        <v>3183</v>
      </c>
      <c r="I828" s="3">
        <v>0</v>
      </c>
      <c r="J828" s="3">
        <v>2051</v>
      </c>
      <c r="K828" s="3">
        <v>3028</v>
      </c>
      <c r="L828" s="3">
        <v>4</v>
      </c>
      <c r="M828" s="3">
        <v>2568.1864430000001</v>
      </c>
    </row>
    <row r="829" spans="1:13" ht="14.25" customHeight="1" x14ac:dyDescent="0.2">
      <c r="A829" s="3" t="s">
        <v>1233</v>
      </c>
      <c r="B829" s="3" t="s">
        <v>14</v>
      </c>
      <c r="C829" s="3" t="s">
        <v>15</v>
      </c>
      <c r="D829" s="3" t="s">
        <v>16</v>
      </c>
      <c r="E829" s="3" t="s">
        <v>509</v>
      </c>
      <c r="F829" s="3" t="s">
        <v>27</v>
      </c>
      <c r="G829" s="3" t="s">
        <v>19</v>
      </c>
      <c r="H829" s="3">
        <v>3336</v>
      </c>
      <c r="I829" s="3">
        <v>0</v>
      </c>
      <c r="J829" s="3">
        <v>1516</v>
      </c>
      <c r="K829" s="3">
        <v>2892</v>
      </c>
      <c r="L829" s="3">
        <v>4</v>
      </c>
      <c r="M829" s="3">
        <v>2526.4483489999998</v>
      </c>
    </row>
    <row r="830" spans="1:13" ht="14.25" customHeight="1" x14ac:dyDescent="0.2">
      <c r="A830" s="3" t="s">
        <v>593</v>
      </c>
      <c r="B830" s="3" t="s">
        <v>24</v>
      </c>
      <c r="C830" s="3" t="s">
        <v>32</v>
      </c>
      <c r="D830" s="3" t="s">
        <v>16</v>
      </c>
      <c r="E830" s="3" t="s">
        <v>1234</v>
      </c>
      <c r="F830" s="3" t="s">
        <v>64</v>
      </c>
      <c r="G830" s="3" t="s">
        <v>114</v>
      </c>
      <c r="H830" s="3">
        <v>594</v>
      </c>
      <c r="I830" s="3">
        <v>0</v>
      </c>
      <c r="J830" s="3">
        <v>320</v>
      </c>
      <c r="K830" s="3">
        <v>563</v>
      </c>
      <c r="L830" s="3">
        <v>2</v>
      </c>
      <c r="M830" s="3">
        <v>2459.0883100000001</v>
      </c>
    </row>
    <row r="831" spans="1:13" ht="14.25" customHeight="1" x14ac:dyDescent="0.2">
      <c r="A831" s="3" t="s">
        <v>1235</v>
      </c>
      <c r="B831" s="3" t="s">
        <v>24</v>
      </c>
      <c r="C831" s="3" t="s">
        <v>15</v>
      </c>
      <c r="D831" s="3" t="s">
        <v>45</v>
      </c>
      <c r="E831" s="3" t="s">
        <v>1236</v>
      </c>
      <c r="F831" s="3" t="s">
        <v>27</v>
      </c>
      <c r="G831" s="3" t="s">
        <v>114</v>
      </c>
      <c r="H831" s="3">
        <v>3786</v>
      </c>
      <c r="I831" s="3">
        <v>0</v>
      </c>
      <c r="J831" s="3">
        <v>2713</v>
      </c>
      <c r="K831" s="3">
        <v>3473</v>
      </c>
      <c r="L831" s="3">
        <v>2</v>
      </c>
      <c r="M831" s="3">
        <v>2397.6242510000002</v>
      </c>
    </row>
    <row r="832" spans="1:13" ht="14.25" customHeight="1" x14ac:dyDescent="0.2">
      <c r="A832" s="3" t="s">
        <v>1237</v>
      </c>
      <c r="B832" s="3" t="s">
        <v>14</v>
      </c>
      <c r="C832" s="3" t="s">
        <v>29</v>
      </c>
      <c r="D832" s="3" t="s">
        <v>43</v>
      </c>
      <c r="E832" s="3" t="s">
        <v>1238</v>
      </c>
      <c r="F832" s="3" t="s">
        <v>64</v>
      </c>
      <c r="G832" s="3" t="s">
        <v>19</v>
      </c>
      <c r="H832" s="3">
        <v>948</v>
      </c>
      <c r="I832" s="3">
        <v>0</v>
      </c>
      <c r="J832" s="3">
        <v>94</v>
      </c>
      <c r="K832" s="3">
        <v>749</v>
      </c>
      <c r="L832" s="3">
        <v>15</v>
      </c>
      <c r="M832" s="3">
        <v>2389.1242729999999</v>
      </c>
    </row>
    <row r="833" spans="1:13" ht="14.25" customHeight="1" x14ac:dyDescent="0.2">
      <c r="A833" s="3" t="s">
        <v>1239</v>
      </c>
      <c r="B833" s="3" t="s">
        <v>24</v>
      </c>
      <c r="C833" s="3" t="s">
        <v>15</v>
      </c>
      <c r="D833" s="3" t="s">
        <v>84</v>
      </c>
      <c r="E833" s="3" t="s">
        <v>1240</v>
      </c>
      <c r="F833" s="3" t="s">
        <v>64</v>
      </c>
      <c r="G833" s="3" t="s">
        <v>19</v>
      </c>
      <c r="H833" s="3">
        <v>32</v>
      </c>
      <c r="I833" s="3">
        <v>0</v>
      </c>
      <c r="J833" s="3">
        <v>20</v>
      </c>
      <c r="K833" s="3">
        <v>29</v>
      </c>
      <c r="L833" s="3">
        <v>16</v>
      </c>
      <c r="M833" s="3">
        <v>2366.6597419999998</v>
      </c>
    </row>
    <row r="834" spans="1:13" ht="14.25" customHeight="1" x14ac:dyDescent="0.2">
      <c r="A834" s="3" t="s">
        <v>1241</v>
      </c>
      <c r="B834" s="3" t="s">
        <v>14</v>
      </c>
      <c r="C834" s="3" t="s">
        <v>15</v>
      </c>
      <c r="D834" s="3" t="s">
        <v>25</v>
      </c>
      <c r="E834" s="3" t="s">
        <v>1242</v>
      </c>
      <c r="F834" s="3" t="s">
        <v>27</v>
      </c>
      <c r="G834" s="3" t="s">
        <v>19</v>
      </c>
      <c r="H834" s="3">
        <v>60</v>
      </c>
      <c r="I834" s="3">
        <v>0</v>
      </c>
      <c r="J834" s="3">
        <v>33</v>
      </c>
      <c r="K834" s="3">
        <v>53</v>
      </c>
      <c r="L834" s="3">
        <v>3</v>
      </c>
      <c r="M834" s="3">
        <v>2358.4109480000002</v>
      </c>
    </row>
    <row r="835" spans="1:13" ht="14.25" customHeight="1" x14ac:dyDescent="0.2">
      <c r="A835" s="3" t="s">
        <v>1243</v>
      </c>
      <c r="B835" s="3" t="s">
        <v>24</v>
      </c>
      <c r="C835" s="3" t="s">
        <v>35</v>
      </c>
      <c r="D835" s="3" t="s">
        <v>16</v>
      </c>
      <c r="E835" s="3" t="s">
        <v>1244</v>
      </c>
      <c r="F835" s="3" t="s">
        <v>33</v>
      </c>
      <c r="G835" s="3" t="s">
        <v>114</v>
      </c>
      <c r="H835" s="3">
        <v>766</v>
      </c>
      <c r="I835" s="3">
        <v>0</v>
      </c>
      <c r="J835" s="3">
        <v>380</v>
      </c>
      <c r="K835" s="3">
        <v>557</v>
      </c>
      <c r="L835" s="3">
        <v>2</v>
      </c>
      <c r="M835" s="3">
        <v>2349.2580170000001</v>
      </c>
    </row>
    <row r="836" spans="1:13" ht="14.25" customHeight="1" x14ac:dyDescent="0.2">
      <c r="A836" s="3" t="s">
        <v>1245</v>
      </c>
      <c r="B836" s="3" t="s">
        <v>14</v>
      </c>
      <c r="C836" s="3" t="s">
        <v>32</v>
      </c>
      <c r="D836" s="3" t="s">
        <v>16</v>
      </c>
      <c r="E836" s="3" t="s">
        <v>1246</v>
      </c>
      <c r="F836" s="3" t="s">
        <v>38</v>
      </c>
      <c r="G836" s="3" t="s">
        <v>19</v>
      </c>
      <c r="H836" s="3">
        <v>343</v>
      </c>
      <c r="I836" s="3">
        <v>0</v>
      </c>
      <c r="J836" s="3">
        <v>239</v>
      </c>
      <c r="K836" s="3">
        <v>322</v>
      </c>
      <c r="L836" s="3">
        <v>3</v>
      </c>
      <c r="M836" s="3">
        <v>2300.5029589999999</v>
      </c>
    </row>
    <row r="837" spans="1:13" ht="14.25" customHeight="1" x14ac:dyDescent="0.2">
      <c r="A837" s="3" t="s">
        <v>1247</v>
      </c>
      <c r="B837" s="3" t="s">
        <v>24</v>
      </c>
      <c r="C837" s="3" t="s">
        <v>32</v>
      </c>
      <c r="D837" s="3" t="s">
        <v>16</v>
      </c>
      <c r="E837" s="3" t="s">
        <v>244</v>
      </c>
      <c r="F837" s="3" t="s">
        <v>27</v>
      </c>
      <c r="G837" s="3" t="s">
        <v>114</v>
      </c>
      <c r="H837" s="3">
        <v>665</v>
      </c>
      <c r="I837" s="3">
        <v>0</v>
      </c>
      <c r="J837" s="3">
        <v>236</v>
      </c>
      <c r="K837" s="3">
        <v>504</v>
      </c>
      <c r="L837" s="3">
        <v>2</v>
      </c>
      <c r="M837" s="3">
        <v>2294.4872340000002</v>
      </c>
    </row>
    <row r="838" spans="1:13" ht="14.25" customHeight="1" x14ac:dyDescent="0.2">
      <c r="A838" s="3" t="s">
        <v>1248</v>
      </c>
      <c r="B838" s="3" t="s">
        <v>14</v>
      </c>
      <c r="C838" s="3" t="s">
        <v>15</v>
      </c>
      <c r="D838" s="3" t="s">
        <v>16</v>
      </c>
      <c r="E838" s="3" t="s">
        <v>1189</v>
      </c>
      <c r="F838" s="3" t="s">
        <v>27</v>
      </c>
      <c r="G838" s="3" t="s">
        <v>19</v>
      </c>
      <c r="H838" s="3">
        <v>1163</v>
      </c>
      <c r="I838" s="3">
        <v>0</v>
      </c>
      <c r="J838" s="3">
        <v>924</v>
      </c>
      <c r="K838" s="3">
        <v>1092</v>
      </c>
      <c r="L838" s="3">
        <v>2</v>
      </c>
      <c r="M838" s="3">
        <v>2284.349866</v>
      </c>
    </row>
    <row r="839" spans="1:13" ht="14.25" customHeight="1" x14ac:dyDescent="0.2">
      <c r="A839" s="3" t="s">
        <v>1249</v>
      </c>
      <c r="B839" s="3" t="s">
        <v>24</v>
      </c>
      <c r="C839" s="3" t="s">
        <v>15</v>
      </c>
      <c r="D839" s="3" t="s">
        <v>66</v>
      </c>
      <c r="E839" s="3" t="s">
        <v>1010</v>
      </c>
      <c r="F839" s="3" t="s">
        <v>27</v>
      </c>
      <c r="G839" s="3" t="s">
        <v>19</v>
      </c>
      <c r="H839" s="3">
        <v>4283</v>
      </c>
      <c r="I839" s="3">
        <v>0</v>
      </c>
      <c r="J839" s="3">
        <v>3231</v>
      </c>
      <c r="K839" s="3">
        <v>4078</v>
      </c>
      <c r="L839" s="3">
        <v>11</v>
      </c>
      <c r="M839" s="3">
        <v>2253.7511800000002</v>
      </c>
    </row>
    <row r="840" spans="1:13" ht="14.25" customHeight="1" x14ac:dyDescent="0.2">
      <c r="A840" s="3" t="s">
        <v>1250</v>
      </c>
      <c r="B840" s="3" t="s">
        <v>24</v>
      </c>
      <c r="C840" s="3" t="s">
        <v>32</v>
      </c>
      <c r="D840" s="3" t="s">
        <v>66</v>
      </c>
      <c r="E840" s="3" t="s">
        <v>48</v>
      </c>
      <c r="F840" s="3" t="s">
        <v>27</v>
      </c>
      <c r="G840" s="3" t="s">
        <v>19</v>
      </c>
      <c r="H840" s="3">
        <v>12988</v>
      </c>
      <c r="I840" s="3">
        <v>0</v>
      </c>
      <c r="J840" s="3">
        <v>6514</v>
      </c>
      <c r="K840" s="3">
        <v>9378</v>
      </c>
      <c r="L840" s="3">
        <v>1</v>
      </c>
      <c r="M840" s="3">
        <v>2236.485099</v>
      </c>
    </row>
    <row r="841" spans="1:13" ht="14.25" customHeight="1" x14ac:dyDescent="0.2">
      <c r="A841" s="3" t="s">
        <v>1251</v>
      </c>
      <c r="B841" s="3" t="s">
        <v>68</v>
      </c>
      <c r="C841" s="3" t="s">
        <v>15</v>
      </c>
      <c r="D841" s="3" t="s">
        <v>86</v>
      </c>
      <c r="E841" s="3" t="s">
        <v>1252</v>
      </c>
      <c r="F841" s="3" t="s">
        <v>22</v>
      </c>
      <c r="G841" s="3" t="s">
        <v>19</v>
      </c>
      <c r="H841" s="3">
        <v>2704</v>
      </c>
      <c r="I841" s="3">
        <v>0</v>
      </c>
      <c r="J841" s="3">
        <v>579</v>
      </c>
      <c r="K841" s="3">
        <v>2184</v>
      </c>
      <c r="L841" s="3">
        <v>11</v>
      </c>
      <c r="M841" s="3">
        <v>2202.3477790000002</v>
      </c>
    </row>
    <row r="842" spans="1:13" ht="14.25" customHeight="1" x14ac:dyDescent="0.2">
      <c r="A842" s="3" t="s">
        <v>1253</v>
      </c>
      <c r="B842" s="3" t="s">
        <v>14</v>
      </c>
      <c r="C842" s="3" t="s">
        <v>35</v>
      </c>
      <c r="D842" s="3" t="s">
        <v>205</v>
      </c>
      <c r="E842" s="3" t="s">
        <v>136</v>
      </c>
      <c r="F842" s="3" t="s">
        <v>27</v>
      </c>
      <c r="G842" s="3" t="s">
        <v>19</v>
      </c>
      <c r="H842" s="3">
        <v>17752</v>
      </c>
      <c r="I842" s="3">
        <v>0</v>
      </c>
      <c r="J842" s="3">
        <v>5855</v>
      </c>
      <c r="K842" s="3">
        <v>15753</v>
      </c>
      <c r="L842" s="3">
        <v>1</v>
      </c>
      <c r="M842" s="3">
        <v>2200.297094</v>
      </c>
    </row>
    <row r="843" spans="1:13" ht="14.25" customHeight="1" x14ac:dyDescent="0.2">
      <c r="A843" s="3" t="s">
        <v>1254</v>
      </c>
      <c r="B843" s="3" t="s">
        <v>24</v>
      </c>
      <c r="C843" s="3" t="s">
        <v>29</v>
      </c>
      <c r="D843" s="3" t="s">
        <v>447</v>
      </c>
      <c r="E843" s="3" t="s">
        <v>1255</v>
      </c>
      <c r="F843" s="3" t="s">
        <v>38</v>
      </c>
      <c r="G843" s="3" t="s">
        <v>19</v>
      </c>
      <c r="H843" s="3">
        <v>177</v>
      </c>
      <c r="I843" s="3">
        <v>0</v>
      </c>
      <c r="J843" s="3">
        <v>80</v>
      </c>
      <c r="K843" s="3">
        <v>155</v>
      </c>
      <c r="L843" s="3">
        <v>10</v>
      </c>
      <c r="M843" s="3">
        <v>2192.5613130000002</v>
      </c>
    </row>
    <row r="844" spans="1:13" ht="14.25" customHeight="1" x14ac:dyDescent="0.2">
      <c r="A844" s="3" t="s">
        <v>1256</v>
      </c>
      <c r="B844" s="3" t="s">
        <v>24</v>
      </c>
      <c r="C844" s="3" t="s">
        <v>29</v>
      </c>
      <c r="D844" s="3" t="s">
        <v>84</v>
      </c>
      <c r="E844" s="3" t="s">
        <v>1257</v>
      </c>
      <c r="F844" s="3" t="s">
        <v>58</v>
      </c>
      <c r="G844" s="3" t="s">
        <v>114</v>
      </c>
      <c r="H844" s="3">
        <v>31</v>
      </c>
      <c r="I844" s="3">
        <v>0</v>
      </c>
      <c r="J844" s="3">
        <v>24</v>
      </c>
      <c r="K844" s="3">
        <v>29</v>
      </c>
      <c r="L844" s="3">
        <v>2</v>
      </c>
      <c r="M844" s="3">
        <v>2180.6744709999998</v>
      </c>
    </row>
    <row r="845" spans="1:13" ht="14.25" customHeight="1" x14ac:dyDescent="0.2">
      <c r="A845" s="3" t="s">
        <v>1258</v>
      </c>
      <c r="B845" s="3" t="s">
        <v>24</v>
      </c>
      <c r="C845" s="3" t="s">
        <v>29</v>
      </c>
      <c r="D845" s="3" t="s">
        <v>16</v>
      </c>
      <c r="E845" s="3" t="s">
        <v>63</v>
      </c>
      <c r="F845" s="3" t="s">
        <v>76</v>
      </c>
      <c r="G845" s="3" t="s">
        <v>19</v>
      </c>
      <c r="H845" s="3">
        <v>45402</v>
      </c>
      <c r="I845" s="3">
        <v>0</v>
      </c>
      <c r="J845" s="3">
        <v>17284</v>
      </c>
      <c r="K845" s="3">
        <v>27542</v>
      </c>
      <c r="L845" s="3">
        <v>3</v>
      </c>
      <c r="M845" s="3">
        <v>2163.2653460000001</v>
      </c>
    </row>
    <row r="846" spans="1:13" ht="14.25" customHeight="1" x14ac:dyDescent="0.2">
      <c r="A846" s="3" t="s">
        <v>1259</v>
      </c>
      <c r="B846" s="3" t="s">
        <v>14</v>
      </c>
      <c r="C846" s="3" t="s">
        <v>32</v>
      </c>
      <c r="D846" s="3" t="s">
        <v>25</v>
      </c>
      <c r="E846" s="3" t="s">
        <v>1260</v>
      </c>
      <c r="F846" s="3" t="s">
        <v>27</v>
      </c>
      <c r="G846" s="3" t="s">
        <v>19</v>
      </c>
      <c r="H846" s="3">
        <v>7220</v>
      </c>
      <c r="I846" s="3">
        <v>0</v>
      </c>
      <c r="J846" s="3">
        <v>4201</v>
      </c>
      <c r="K846" s="3">
        <v>6207</v>
      </c>
      <c r="L846" s="3">
        <v>1</v>
      </c>
      <c r="M846" s="3">
        <v>2148.2261319999998</v>
      </c>
    </row>
    <row r="847" spans="1:13" ht="14.25" customHeight="1" x14ac:dyDescent="0.2">
      <c r="A847" s="3" t="s">
        <v>1261</v>
      </c>
      <c r="B847" s="3" t="s">
        <v>24</v>
      </c>
      <c r="C847" s="3" t="s">
        <v>35</v>
      </c>
      <c r="D847" s="3" t="s">
        <v>205</v>
      </c>
      <c r="E847" s="3" t="s">
        <v>57</v>
      </c>
      <c r="F847" s="3" t="s">
        <v>27</v>
      </c>
      <c r="G847" s="3" t="s">
        <v>163</v>
      </c>
      <c r="H847" s="3">
        <v>17049</v>
      </c>
      <c r="I847" s="3">
        <v>0</v>
      </c>
      <c r="J847" s="3">
        <v>191</v>
      </c>
      <c r="K847" s="3">
        <v>15564</v>
      </c>
      <c r="L847" s="3">
        <v>15</v>
      </c>
      <c r="M847" s="3">
        <v>2144.489587</v>
      </c>
    </row>
    <row r="848" spans="1:13" ht="14.25" customHeight="1" x14ac:dyDescent="0.2">
      <c r="A848" s="3" t="s">
        <v>1262</v>
      </c>
      <c r="B848" s="3" t="s">
        <v>14</v>
      </c>
      <c r="C848" s="3" t="s">
        <v>29</v>
      </c>
      <c r="D848" s="3" t="s">
        <v>25</v>
      </c>
      <c r="E848" s="3" t="s">
        <v>635</v>
      </c>
      <c r="F848" s="3" t="s">
        <v>27</v>
      </c>
      <c r="G848" s="3" t="s">
        <v>19</v>
      </c>
      <c r="H848" s="3">
        <v>19212</v>
      </c>
      <c r="I848" s="3">
        <v>0</v>
      </c>
      <c r="J848" s="3">
        <v>6872</v>
      </c>
      <c r="K848" s="3">
        <v>14248</v>
      </c>
      <c r="L848" s="3">
        <v>10</v>
      </c>
      <c r="M848" s="3">
        <v>2133.0771129999998</v>
      </c>
    </row>
    <row r="849" spans="1:13" ht="14.25" customHeight="1" x14ac:dyDescent="0.2">
      <c r="A849" s="3" t="s">
        <v>1263</v>
      </c>
      <c r="B849" s="3" t="s">
        <v>24</v>
      </c>
      <c r="C849" s="3" t="s">
        <v>29</v>
      </c>
      <c r="D849" s="3" t="s">
        <v>25</v>
      </c>
      <c r="E849" s="3" t="s">
        <v>1264</v>
      </c>
      <c r="F849" s="3" t="s">
        <v>64</v>
      </c>
      <c r="G849" s="3" t="s">
        <v>19</v>
      </c>
      <c r="H849" s="3">
        <v>15047</v>
      </c>
      <c r="I849" s="3">
        <v>0</v>
      </c>
      <c r="J849" s="3">
        <v>5653</v>
      </c>
      <c r="K849" s="3">
        <v>14459</v>
      </c>
      <c r="L849" s="3">
        <v>1</v>
      </c>
      <c r="M849" s="3">
        <v>2127.495962</v>
      </c>
    </row>
    <row r="850" spans="1:13" ht="14.25" customHeight="1" x14ac:dyDescent="0.2">
      <c r="A850" s="3" t="s">
        <v>1265</v>
      </c>
      <c r="B850" s="3" t="s">
        <v>24</v>
      </c>
      <c r="C850" s="3" t="s">
        <v>15</v>
      </c>
      <c r="D850" s="3" t="s">
        <v>21</v>
      </c>
      <c r="E850" s="3" t="s">
        <v>1266</v>
      </c>
      <c r="F850" s="3" t="s">
        <v>27</v>
      </c>
      <c r="G850" s="3" t="s">
        <v>114</v>
      </c>
      <c r="H850" s="3">
        <v>11</v>
      </c>
      <c r="I850" s="3">
        <v>0</v>
      </c>
      <c r="J850" s="3">
        <v>0</v>
      </c>
      <c r="K850" s="3">
        <v>11</v>
      </c>
      <c r="L850" s="3">
        <v>2</v>
      </c>
      <c r="M850" s="3">
        <v>2119.764979</v>
      </c>
    </row>
    <row r="851" spans="1:13" ht="14.25" customHeight="1" x14ac:dyDescent="0.2">
      <c r="A851" s="3" t="s">
        <v>1267</v>
      </c>
      <c r="B851" s="3" t="s">
        <v>14</v>
      </c>
      <c r="C851" s="3" t="s">
        <v>15</v>
      </c>
      <c r="D851" s="3" t="s">
        <v>45</v>
      </c>
      <c r="E851" s="3" t="s">
        <v>1268</v>
      </c>
      <c r="F851" s="3" t="s">
        <v>27</v>
      </c>
      <c r="G851" s="3" t="s">
        <v>19</v>
      </c>
      <c r="H851" s="3">
        <v>145</v>
      </c>
      <c r="I851" s="3">
        <v>0</v>
      </c>
      <c r="J851" s="3">
        <v>88</v>
      </c>
      <c r="K851" s="3">
        <v>115</v>
      </c>
      <c r="L851" s="3">
        <v>15</v>
      </c>
      <c r="M851" s="3">
        <v>2088.9519270000001</v>
      </c>
    </row>
    <row r="852" spans="1:13" ht="14.25" customHeight="1" x14ac:dyDescent="0.2">
      <c r="A852" s="3" t="s">
        <v>1269</v>
      </c>
      <c r="B852" s="3" t="s">
        <v>14</v>
      </c>
      <c r="C852" s="3" t="s">
        <v>29</v>
      </c>
      <c r="D852" s="3" t="s">
        <v>16</v>
      </c>
      <c r="E852" s="3" t="s">
        <v>1210</v>
      </c>
      <c r="F852" s="3" t="s">
        <v>22</v>
      </c>
      <c r="G852" s="3" t="s">
        <v>19</v>
      </c>
      <c r="H852" s="3">
        <v>603</v>
      </c>
      <c r="I852" s="3">
        <v>0</v>
      </c>
      <c r="J852" s="3">
        <v>461</v>
      </c>
      <c r="K852" s="3">
        <v>519</v>
      </c>
      <c r="L852" s="3">
        <v>2</v>
      </c>
      <c r="M852" s="3">
        <v>2075.8729669999998</v>
      </c>
    </row>
    <row r="853" spans="1:13" ht="14.25" customHeight="1" x14ac:dyDescent="0.2">
      <c r="A853" s="3" t="s">
        <v>1270</v>
      </c>
      <c r="B853" s="3" t="s">
        <v>14</v>
      </c>
      <c r="C853" s="3" t="s">
        <v>29</v>
      </c>
      <c r="D853" s="3" t="s">
        <v>66</v>
      </c>
      <c r="E853" s="3" t="s">
        <v>1271</v>
      </c>
      <c r="F853" s="3" t="s">
        <v>27</v>
      </c>
      <c r="G853" s="3" t="s">
        <v>19</v>
      </c>
      <c r="H853" s="3">
        <v>10</v>
      </c>
      <c r="I853" s="3">
        <v>0</v>
      </c>
      <c r="J853" s="3">
        <v>3</v>
      </c>
      <c r="K853" s="3">
        <v>10</v>
      </c>
      <c r="L853" s="3">
        <v>2</v>
      </c>
      <c r="M853" s="3">
        <v>2063.9158980000002</v>
      </c>
    </row>
    <row r="854" spans="1:13" ht="14.25" customHeight="1" x14ac:dyDescent="0.2">
      <c r="A854" s="3" t="s">
        <v>1272</v>
      </c>
      <c r="B854" s="3" t="s">
        <v>24</v>
      </c>
      <c r="C854" s="3" t="s">
        <v>35</v>
      </c>
      <c r="D854" s="3" t="s">
        <v>25</v>
      </c>
      <c r="E854" s="3" t="s">
        <v>142</v>
      </c>
      <c r="F854" s="3" t="s">
        <v>27</v>
      </c>
      <c r="G854" s="3" t="s">
        <v>114</v>
      </c>
      <c r="H854" s="3">
        <v>4857</v>
      </c>
      <c r="I854" s="3">
        <v>0</v>
      </c>
      <c r="J854" s="3">
        <v>3302</v>
      </c>
      <c r="K854" s="3">
        <v>4518</v>
      </c>
      <c r="L854" s="3">
        <v>2</v>
      </c>
      <c r="M854" s="3">
        <v>2055.3323540000001</v>
      </c>
    </row>
    <row r="855" spans="1:13" ht="14.25" customHeight="1" x14ac:dyDescent="0.2">
      <c r="A855" s="3" t="s">
        <v>1273</v>
      </c>
      <c r="B855" s="3" t="s">
        <v>14</v>
      </c>
      <c r="C855" s="3" t="s">
        <v>35</v>
      </c>
      <c r="D855" s="3" t="s">
        <v>66</v>
      </c>
      <c r="E855" s="3" t="s">
        <v>1274</v>
      </c>
      <c r="F855" s="3" t="s">
        <v>41</v>
      </c>
      <c r="G855" s="3" t="s">
        <v>19</v>
      </c>
      <c r="H855" s="3">
        <v>2</v>
      </c>
      <c r="I855" s="3">
        <v>0</v>
      </c>
      <c r="J855" s="3">
        <v>0</v>
      </c>
      <c r="K855" s="3">
        <v>1</v>
      </c>
      <c r="L855" s="3">
        <v>2</v>
      </c>
      <c r="M855" s="3">
        <v>2036.0680769999999</v>
      </c>
    </row>
    <row r="856" spans="1:13" ht="14.25" customHeight="1" x14ac:dyDescent="0.2">
      <c r="A856" s="3" t="s">
        <v>1275</v>
      </c>
      <c r="B856" s="3" t="s">
        <v>14</v>
      </c>
      <c r="C856" s="3" t="s">
        <v>32</v>
      </c>
      <c r="D856" s="3" t="s">
        <v>91</v>
      </c>
      <c r="E856" s="3" t="s">
        <v>1276</v>
      </c>
      <c r="F856" s="3" t="s">
        <v>18</v>
      </c>
      <c r="G856" s="3" t="s">
        <v>19</v>
      </c>
      <c r="H856" s="3">
        <v>16288</v>
      </c>
      <c r="I856" s="3">
        <v>0</v>
      </c>
      <c r="J856" s="3">
        <v>5304</v>
      </c>
      <c r="K856" s="3">
        <v>10731</v>
      </c>
      <c r="L856" s="3">
        <v>1</v>
      </c>
      <c r="M856" s="3">
        <v>2030.142709</v>
      </c>
    </row>
    <row r="857" spans="1:13" ht="14.25" customHeight="1" x14ac:dyDescent="0.2">
      <c r="A857" s="3" t="s">
        <v>1277</v>
      </c>
      <c r="B857" s="3" t="s">
        <v>14</v>
      </c>
      <c r="C857" s="3" t="s">
        <v>35</v>
      </c>
      <c r="D857" s="3" t="s">
        <v>16</v>
      </c>
      <c r="E857" s="3" t="s">
        <v>1278</v>
      </c>
      <c r="F857" s="3" t="s">
        <v>27</v>
      </c>
      <c r="G857" s="3" t="s">
        <v>19</v>
      </c>
      <c r="H857" s="3">
        <v>58</v>
      </c>
      <c r="I857" s="3">
        <v>0</v>
      </c>
      <c r="J857" s="3">
        <v>45</v>
      </c>
      <c r="K857" s="3">
        <v>57</v>
      </c>
      <c r="L857" s="3">
        <v>3</v>
      </c>
      <c r="M857" s="3">
        <v>2016.5086650000001</v>
      </c>
    </row>
    <row r="858" spans="1:13" ht="14.25" customHeight="1" x14ac:dyDescent="0.2">
      <c r="A858" s="3" t="s">
        <v>1279</v>
      </c>
      <c r="B858" s="3" t="s">
        <v>14</v>
      </c>
      <c r="C858" s="3" t="s">
        <v>35</v>
      </c>
      <c r="D858" s="3" t="s">
        <v>66</v>
      </c>
      <c r="E858" s="3" t="s">
        <v>1260</v>
      </c>
      <c r="F858" s="3" t="s">
        <v>27</v>
      </c>
      <c r="G858" s="3" t="s">
        <v>19</v>
      </c>
      <c r="H858" s="3">
        <v>12606</v>
      </c>
      <c r="I858" s="3">
        <v>0</v>
      </c>
      <c r="J858" s="3">
        <v>8332</v>
      </c>
      <c r="K858" s="3">
        <v>11170</v>
      </c>
      <c r="L858" s="3">
        <v>3</v>
      </c>
      <c r="M858" s="3">
        <v>2002.5379889999999</v>
      </c>
    </row>
    <row r="859" spans="1:13" ht="14.25" customHeight="1" x14ac:dyDescent="0.2">
      <c r="A859" s="3" t="s">
        <v>1280</v>
      </c>
      <c r="B859" s="3" t="s">
        <v>24</v>
      </c>
      <c r="C859" s="3" t="s">
        <v>15</v>
      </c>
      <c r="D859" s="3" t="s">
        <v>16</v>
      </c>
      <c r="E859" s="3" t="s">
        <v>1281</v>
      </c>
      <c r="F859" s="3" t="s">
        <v>22</v>
      </c>
      <c r="G859" s="3" t="s">
        <v>114</v>
      </c>
      <c r="H859" s="3">
        <v>3867</v>
      </c>
      <c r="I859" s="3">
        <v>0</v>
      </c>
      <c r="J859" s="3">
        <v>78</v>
      </c>
      <c r="K859" s="3">
        <v>223</v>
      </c>
      <c r="L859" s="3">
        <v>2</v>
      </c>
      <c r="M859" s="3">
        <v>1992.0004939999999</v>
      </c>
    </row>
    <row r="860" spans="1:13" ht="14.25" customHeight="1" x14ac:dyDescent="0.2">
      <c r="A860" s="3" t="s">
        <v>1282</v>
      </c>
      <c r="B860" s="3" t="s">
        <v>24</v>
      </c>
      <c r="C860" s="3" t="s">
        <v>35</v>
      </c>
      <c r="D860" s="3" t="s">
        <v>43</v>
      </c>
      <c r="E860" s="3" t="s">
        <v>72</v>
      </c>
      <c r="F860" s="3" t="s">
        <v>27</v>
      </c>
      <c r="G860" s="3" t="s">
        <v>114</v>
      </c>
      <c r="H860" s="3">
        <v>55692</v>
      </c>
      <c r="I860" s="3">
        <v>0</v>
      </c>
      <c r="J860" s="3">
        <v>3596</v>
      </c>
      <c r="K860" s="3">
        <v>51209</v>
      </c>
      <c r="L860" s="3">
        <v>11</v>
      </c>
      <c r="M860" s="3">
        <v>1981.0502879999999</v>
      </c>
    </row>
    <row r="861" spans="1:13" ht="14.25" customHeight="1" x14ac:dyDescent="0.2">
      <c r="A861" s="3" t="s">
        <v>1283</v>
      </c>
      <c r="B861" s="3" t="s">
        <v>24</v>
      </c>
      <c r="C861" s="3" t="s">
        <v>35</v>
      </c>
      <c r="D861" s="3" t="s">
        <v>165</v>
      </c>
      <c r="E861" s="3" t="s">
        <v>1284</v>
      </c>
      <c r="F861" s="3" t="s">
        <v>38</v>
      </c>
      <c r="G861" s="3" t="s">
        <v>114</v>
      </c>
      <c r="H861" s="3">
        <v>849</v>
      </c>
      <c r="I861" s="3">
        <v>0</v>
      </c>
      <c r="J861" s="3">
        <v>249</v>
      </c>
      <c r="K861" s="3">
        <v>623</v>
      </c>
      <c r="L861" s="3">
        <v>2</v>
      </c>
      <c r="M861" s="3">
        <v>1974.566513</v>
      </c>
    </row>
    <row r="862" spans="1:13" ht="14.25" customHeight="1" x14ac:dyDescent="0.2">
      <c r="A862" s="3" t="s">
        <v>1285</v>
      </c>
      <c r="B862" s="3" t="s">
        <v>24</v>
      </c>
      <c r="C862" s="3" t="s">
        <v>32</v>
      </c>
      <c r="D862" s="3" t="s">
        <v>25</v>
      </c>
      <c r="E862" s="3" t="s">
        <v>111</v>
      </c>
      <c r="F862" s="3" t="s">
        <v>38</v>
      </c>
      <c r="G862" s="3" t="s">
        <v>114</v>
      </c>
      <c r="H862" s="3">
        <v>4231</v>
      </c>
      <c r="I862" s="3">
        <v>0</v>
      </c>
      <c r="J862" s="3">
        <v>1168</v>
      </c>
      <c r="K862" s="3">
        <v>3589</v>
      </c>
      <c r="L862" s="3">
        <v>1</v>
      </c>
      <c r="M862" s="3">
        <v>1972.70163</v>
      </c>
    </row>
    <row r="863" spans="1:13" ht="14.25" customHeight="1" x14ac:dyDescent="0.2">
      <c r="A863" s="3" t="s">
        <v>1286</v>
      </c>
      <c r="B863" s="3" t="s">
        <v>14</v>
      </c>
      <c r="C863" s="3" t="s">
        <v>32</v>
      </c>
      <c r="D863" s="3" t="s">
        <v>21</v>
      </c>
      <c r="E863" s="3" t="s">
        <v>1068</v>
      </c>
      <c r="F863" s="3" t="s">
        <v>415</v>
      </c>
      <c r="G863" s="3" t="s">
        <v>19</v>
      </c>
      <c r="H863" s="3">
        <v>237</v>
      </c>
      <c r="I863" s="3">
        <v>0</v>
      </c>
      <c r="J863" s="3">
        <v>100</v>
      </c>
      <c r="K863" s="3">
        <v>173</v>
      </c>
      <c r="L863" s="3">
        <v>4</v>
      </c>
      <c r="M863" s="3">
        <v>1971.258292</v>
      </c>
    </row>
    <row r="864" spans="1:13" ht="14.25" customHeight="1" x14ac:dyDescent="0.2">
      <c r="A864" s="3" t="s">
        <v>1287</v>
      </c>
      <c r="B864" s="3" t="s">
        <v>14</v>
      </c>
      <c r="C864" s="3" t="s">
        <v>32</v>
      </c>
      <c r="D864" s="3" t="s">
        <v>165</v>
      </c>
      <c r="E864" s="3" t="s">
        <v>1085</v>
      </c>
      <c r="F864" s="3" t="s">
        <v>22</v>
      </c>
      <c r="G864" s="3" t="s">
        <v>19</v>
      </c>
      <c r="H864" s="3">
        <v>3559</v>
      </c>
      <c r="I864" s="3">
        <v>0</v>
      </c>
      <c r="J864" s="3">
        <v>757</v>
      </c>
      <c r="K864" s="3">
        <v>3290</v>
      </c>
      <c r="L864" s="3">
        <v>21</v>
      </c>
      <c r="M864" s="3">
        <v>1960.819847</v>
      </c>
    </row>
    <row r="865" spans="1:13" ht="14.25" customHeight="1" x14ac:dyDescent="0.2">
      <c r="A865" s="3" t="s">
        <v>1288</v>
      </c>
      <c r="B865" s="3" t="s">
        <v>24</v>
      </c>
      <c r="C865" s="3" t="s">
        <v>29</v>
      </c>
      <c r="D865" s="3" t="s">
        <v>205</v>
      </c>
      <c r="E865" s="3" t="s">
        <v>1173</v>
      </c>
      <c r="F865" s="3" t="s">
        <v>22</v>
      </c>
      <c r="G865" s="3" t="s">
        <v>19</v>
      </c>
      <c r="H865" s="3">
        <v>611</v>
      </c>
      <c r="I865" s="3">
        <v>0</v>
      </c>
      <c r="J865" s="3">
        <v>335</v>
      </c>
      <c r="K865" s="3">
        <v>575</v>
      </c>
      <c r="L865" s="3">
        <v>4</v>
      </c>
      <c r="M865" s="3">
        <v>1953.4696630000001</v>
      </c>
    </row>
    <row r="866" spans="1:13" ht="14.25" customHeight="1" x14ac:dyDescent="0.2">
      <c r="A866" s="3" t="s">
        <v>1289</v>
      </c>
      <c r="B866" s="3" t="s">
        <v>24</v>
      </c>
      <c r="C866" s="3" t="s">
        <v>29</v>
      </c>
      <c r="D866" s="3" t="s">
        <v>25</v>
      </c>
      <c r="E866" s="3" t="s">
        <v>1290</v>
      </c>
      <c r="F866" s="3" t="s">
        <v>33</v>
      </c>
      <c r="G866" s="3" t="s">
        <v>114</v>
      </c>
      <c r="H866" s="3">
        <v>32</v>
      </c>
      <c r="I866" s="3">
        <v>0</v>
      </c>
      <c r="J866" s="3">
        <v>2</v>
      </c>
      <c r="K866" s="3">
        <v>9</v>
      </c>
      <c r="L866" s="3">
        <v>2</v>
      </c>
      <c r="M866" s="3">
        <v>1948.727314</v>
      </c>
    </row>
    <row r="867" spans="1:13" ht="14.25" customHeight="1" x14ac:dyDescent="0.2">
      <c r="A867" s="3" t="s">
        <v>1291</v>
      </c>
      <c r="B867" s="3" t="s">
        <v>24</v>
      </c>
      <c r="C867" s="3" t="s">
        <v>35</v>
      </c>
      <c r="D867" s="3" t="s">
        <v>43</v>
      </c>
      <c r="E867" s="3" t="s">
        <v>72</v>
      </c>
      <c r="F867" s="3" t="s">
        <v>22</v>
      </c>
      <c r="G867" s="3" t="s">
        <v>163</v>
      </c>
      <c r="H867" s="3">
        <v>63460</v>
      </c>
      <c r="I867" s="3">
        <v>0</v>
      </c>
      <c r="J867" s="3">
        <v>26978</v>
      </c>
      <c r="K867" s="3">
        <v>59516</v>
      </c>
      <c r="L867" s="3">
        <v>2</v>
      </c>
      <c r="M867" s="3">
        <v>1945.433188</v>
      </c>
    </row>
    <row r="868" spans="1:13" ht="14.25" customHeight="1" x14ac:dyDescent="0.2">
      <c r="A868" s="3" t="s">
        <v>1292</v>
      </c>
      <c r="B868" s="3" t="s">
        <v>24</v>
      </c>
      <c r="C868" s="3" t="s">
        <v>32</v>
      </c>
      <c r="D868" s="3" t="s">
        <v>66</v>
      </c>
      <c r="E868" s="3" t="s">
        <v>17</v>
      </c>
      <c r="F868" s="3" t="s">
        <v>64</v>
      </c>
      <c r="G868" s="3" t="s">
        <v>163</v>
      </c>
      <c r="H868" s="3">
        <v>13075</v>
      </c>
      <c r="I868" s="3">
        <v>0</v>
      </c>
      <c r="J868" s="3">
        <v>5980</v>
      </c>
      <c r="K868" s="3">
        <v>12114</v>
      </c>
      <c r="L868" s="3">
        <v>15</v>
      </c>
      <c r="M868" s="3">
        <v>1936.1307979999999</v>
      </c>
    </row>
    <row r="869" spans="1:13" ht="14.25" customHeight="1" x14ac:dyDescent="0.2">
      <c r="A869" s="3" t="s">
        <v>1293</v>
      </c>
      <c r="B869" s="3" t="s">
        <v>68</v>
      </c>
      <c r="C869" s="3" t="s">
        <v>29</v>
      </c>
      <c r="D869" s="3" t="s">
        <v>228</v>
      </c>
      <c r="E869" s="3" t="s">
        <v>796</v>
      </c>
      <c r="F869" s="3" t="s">
        <v>41</v>
      </c>
      <c r="G869" s="3" t="s">
        <v>19</v>
      </c>
      <c r="H869" s="3">
        <v>23410</v>
      </c>
      <c r="I869" s="3">
        <v>0</v>
      </c>
      <c r="J869" s="3">
        <v>13626</v>
      </c>
      <c r="K869" s="3">
        <v>22109</v>
      </c>
      <c r="L869" s="3">
        <v>1</v>
      </c>
      <c r="M869" s="3">
        <v>1930.180523</v>
      </c>
    </row>
    <row r="870" spans="1:13" ht="14.25" customHeight="1" x14ac:dyDescent="0.2">
      <c r="A870" s="3" t="s">
        <v>1294</v>
      </c>
      <c r="B870" s="3" t="s">
        <v>24</v>
      </c>
      <c r="C870" s="3" t="s">
        <v>29</v>
      </c>
      <c r="D870" s="3" t="s">
        <v>43</v>
      </c>
      <c r="E870" s="3" t="s">
        <v>1295</v>
      </c>
      <c r="F870" s="3" t="s">
        <v>27</v>
      </c>
      <c r="G870" s="3" t="s">
        <v>19</v>
      </c>
      <c r="H870" s="3">
        <v>24</v>
      </c>
      <c r="I870" s="3">
        <v>0</v>
      </c>
      <c r="J870" s="3">
        <v>21</v>
      </c>
      <c r="K870" s="3">
        <v>23</v>
      </c>
      <c r="L870" s="3">
        <v>12</v>
      </c>
      <c r="M870" s="3">
        <v>1927.16443</v>
      </c>
    </row>
    <row r="871" spans="1:13" ht="14.25" customHeight="1" x14ac:dyDescent="0.2">
      <c r="A871" s="3" t="s">
        <v>1296</v>
      </c>
      <c r="B871" s="3" t="s">
        <v>24</v>
      </c>
      <c r="C871" s="3" t="s">
        <v>32</v>
      </c>
      <c r="D871" s="3" t="s">
        <v>66</v>
      </c>
      <c r="E871" s="3" t="s">
        <v>1080</v>
      </c>
      <c r="F871" s="3" t="s">
        <v>22</v>
      </c>
      <c r="G871" s="3" t="s">
        <v>114</v>
      </c>
      <c r="H871" s="3">
        <v>63</v>
      </c>
      <c r="I871" s="3">
        <v>0</v>
      </c>
      <c r="J871" s="3">
        <v>44</v>
      </c>
      <c r="K871" s="3">
        <v>58</v>
      </c>
      <c r="L871" s="3">
        <v>9</v>
      </c>
      <c r="M871" s="3">
        <v>1926.8220510000001</v>
      </c>
    </row>
    <row r="872" spans="1:13" ht="14.25" customHeight="1" x14ac:dyDescent="0.2">
      <c r="A872" s="3" t="s">
        <v>1297</v>
      </c>
      <c r="B872" s="3" t="s">
        <v>24</v>
      </c>
      <c r="C872" s="3" t="s">
        <v>29</v>
      </c>
      <c r="D872" s="3" t="s">
        <v>25</v>
      </c>
      <c r="E872" s="3" t="s">
        <v>244</v>
      </c>
      <c r="F872" s="3" t="s">
        <v>64</v>
      </c>
      <c r="G872" s="3" t="s">
        <v>19</v>
      </c>
      <c r="H872" s="3">
        <v>61227</v>
      </c>
      <c r="I872" s="3">
        <v>0</v>
      </c>
      <c r="J872" s="3">
        <v>10434</v>
      </c>
      <c r="K872" s="3">
        <v>53104</v>
      </c>
      <c r="L872" s="3">
        <v>8</v>
      </c>
      <c r="M872" s="3">
        <v>1919.553678</v>
      </c>
    </row>
    <row r="873" spans="1:13" ht="14.25" customHeight="1" x14ac:dyDescent="0.2">
      <c r="A873" s="3" t="s">
        <v>1298</v>
      </c>
      <c r="B873" s="3" t="s">
        <v>14</v>
      </c>
      <c r="C873" s="3" t="s">
        <v>15</v>
      </c>
      <c r="D873" s="3" t="s">
        <v>70</v>
      </c>
      <c r="E873" s="3" t="s">
        <v>286</v>
      </c>
      <c r="F873" s="3" t="s">
        <v>27</v>
      </c>
      <c r="G873" s="3" t="s">
        <v>19</v>
      </c>
      <c r="H873" s="3">
        <v>9059</v>
      </c>
      <c r="I873" s="3">
        <v>0</v>
      </c>
      <c r="J873" s="3">
        <v>589</v>
      </c>
      <c r="K873" s="3">
        <v>7480</v>
      </c>
      <c r="L873" s="3">
        <v>1</v>
      </c>
      <c r="M873" s="3">
        <v>1908.5261170000001</v>
      </c>
    </row>
    <row r="874" spans="1:13" ht="14.25" customHeight="1" x14ac:dyDescent="0.2">
      <c r="A874" s="3" t="s">
        <v>1299</v>
      </c>
      <c r="B874" s="3" t="s">
        <v>24</v>
      </c>
      <c r="C874" s="3" t="s">
        <v>35</v>
      </c>
      <c r="D874" s="3" t="s">
        <v>70</v>
      </c>
      <c r="E874" s="3" t="s">
        <v>269</v>
      </c>
      <c r="F874" s="3" t="s">
        <v>27</v>
      </c>
      <c r="G874" s="3" t="s">
        <v>114</v>
      </c>
      <c r="H874" s="3">
        <v>176</v>
      </c>
      <c r="I874" s="3">
        <v>0</v>
      </c>
      <c r="J874" s="3">
        <v>75</v>
      </c>
      <c r="K874" s="3">
        <v>136</v>
      </c>
      <c r="L874" s="3">
        <v>24</v>
      </c>
      <c r="M874" s="3">
        <v>1907.87202</v>
      </c>
    </row>
    <row r="875" spans="1:13" ht="14.25" customHeight="1" x14ac:dyDescent="0.2">
      <c r="A875" s="3" t="s">
        <v>1300</v>
      </c>
      <c r="B875" s="3" t="s">
        <v>24</v>
      </c>
      <c r="C875" s="3" t="s">
        <v>35</v>
      </c>
      <c r="D875" s="3" t="s">
        <v>43</v>
      </c>
      <c r="E875" s="3" t="s">
        <v>702</v>
      </c>
      <c r="F875" s="3" t="s">
        <v>18</v>
      </c>
      <c r="G875" s="3" t="s">
        <v>19</v>
      </c>
      <c r="H875" s="3">
        <v>8437</v>
      </c>
      <c r="I875" s="3">
        <v>0</v>
      </c>
      <c r="J875" s="3">
        <v>5271</v>
      </c>
      <c r="K875" s="3">
        <v>7065</v>
      </c>
      <c r="L875" s="3">
        <v>1</v>
      </c>
      <c r="M875" s="3">
        <v>1880.5331679999999</v>
      </c>
    </row>
    <row r="876" spans="1:13" ht="14.25" customHeight="1" x14ac:dyDescent="0.2">
      <c r="A876" s="3" t="s">
        <v>1301</v>
      </c>
      <c r="B876" s="3" t="s">
        <v>14</v>
      </c>
      <c r="C876" s="3" t="s">
        <v>15</v>
      </c>
      <c r="D876" s="3" t="s">
        <v>66</v>
      </c>
      <c r="E876" s="3" t="s">
        <v>1302</v>
      </c>
      <c r="F876" s="3" t="s">
        <v>27</v>
      </c>
      <c r="G876" s="3" t="s">
        <v>19</v>
      </c>
      <c r="H876" s="3">
        <v>21</v>
      </c>
      <c r="I876" s="3">
        <v>0</v>
      </c>
      <c r="J876" s="3">
        <v>8</v>
      </c>
      <c r="K876" s="3">
        <v>17</v>
      </c>
      <c r="L876" s="3">
        <v>10</v>
      </c>
      <c r="M876" s="3">
        <v>1877.183608</v>
      </c>
    </row>
    <row r="877" spans="1:13" ht="14.25" customHeight="1" x14ac:dyDescent="0.2">
      <c r="A877" s="3" t="s">
        <v>1303</v>
      </c>
      <c r="B877" s="3" t="s">
        <v>68</v>
      </c>
      <c r="C877" s="3" t="s">
        <v>35</v>
      </c>
      <c r="D877" s="3" t="s">
        <v>343</v>
      </c>
      <c r="E877" s="3" t="s">
        <v>1304</v>
      </c>
      <c r="F877" s="3" t="s">
        <v>33</v>
      </c>
      <c r="G877" s="3" t="s">
        <v>19</v>
      </c>
      <c r="H877" s="3">
        <v>581</v>
      </c>
      <c r="I877" s="3">
        <v>0</v>
      </c>
      <c r="J877" s="3">
        <v>237</v>
      </c>
      <c r="K877" s="3">
        <v>559</v>
      </c>
      <c r="L877" s="3">
        <v>3</v>
      </c>
      <c r="M877" s="3">
        <v>1865.2028889999999</v>
      </c>
    </row>
    <row r="878" spans="1:13" ht="14.25" customHeight="1" x14ac:dyDescent="0.2">
      <c r="A878" s="3" t="s">
        <v>1305</v>
      </c>
      <c r="B878" s="3" t="s">
        <v>14</v>
      </c>
      <c r="C878" s="3" t="s">
        <v>29</v>
      </c>
      <c r="D878" s="3" t="s">
        <v>66</v>
      </c>
      <c r="E878" s="3" t="s">
        <v>1210</v>
      </c>
      <c r="F878" s="3" t="s">
        <v>22</v>
      </c>
      <c r="G878" s="3" t="s">
        <v>19</v>
      </c>
      <c r="H878" s="3">
        <v>7229</v>
      </c>
      <c r="I878" s="3">
        <v>0</v>
      </c>
      <c r="J878" s="3">
        <v>1428</v>
      </c>
      <c r="K878" s="3">
        <v>5759</v>
      </c>
      <c r="L878" s="3">
        <v>1</v>
      </c>
      <c r="M878" s="3">
        <v>1859.0441519999999</v>
      </c>
    </row>
    <row r="879" spans="1:13" ht="14.25" customHeight="1" x14ac:dyDescent="0.2">
      <c r="A879" s="3" t="s">
        <v>1306</v>
      </c>
      <c r="B879" s="3" t="s">
        <v>24</v>
      </c>
      <c r="C879" s="3" t="s">
        <v>35</v>
      </c>
      <c r="D879" s="3" t="s">
        <v>66</v>
      </c>
      <c r="E879" s="3" t="s">
        <v>1307</v>
      </c>
      <c r="F879" s="3" t="s">
        <v>27</v>
      </c>
      <c r="G879" s="3" t="s">
        <v>114</v>
      </c>
      <c r="H879" s="3">
        <v>3645</v>
      </c>
      <c r="I879" s="3">
        <v>0</v>
      </c>
      <c r="J879" s="3">
        <v>540</v>
      </c>
      <c r="K879" s="3">
        <v>3103</v>
      </c>
      <c r="L879" s="3">
        <v>2</v>
      </c>
      <c r="M879" s="3">
        <v>1852.8041109999999</v>
      </c>
    </row>
    <row r="880" spans="1:13" ht="14.25" customHeight="1" x14ac:dyDescent="0.2">
      <c r="A880" s="3" t="s">
        <v>1308</v>
      </c>
      <c r="B880" s="3" t="s">
        <v>14</v>
      </c>
      <c r="C880" s="3" t="s">
        <v>15</v>
      </c>
      <c r="D880" s="3" t="s">
        <v>25</v>
      </c>
      <c r="E880" s="3" t="s">
        <v>1309</v>
      </c>
      <c r="F880" s="3" t="s">
        <v>27</v>
      </c>
      <c r="G880" s="3" t="s">
        <v>19</v>
      </c>
      <c r="H880" s="3">
        <v>1564</v>
      </c>
      <c r="I880" s="3">
        <v>0</v>
      </c>
      <c r="J880" s="3">
        <v>339</v>
      </c>
      <c r="K880" s="3">
        <v>1244</v>
      </c>
      <c r="L880" s="3">
        <v>21</v>
      </c>
      <c r="M880" s="3">
        <v>1834.4147559999999</v>
      </c>
    </row>
    <row r="881" spans="1:13" ht="14.25" customHeight="1" x14ac:dyDescent="0.2">
      <c r="A881" s="3" t="s">
        <v>1310</v>
      </c>
      <c r="B881" s="3" t="s">
        <v>24</v>
      </c>
      <c r="C881" s="3" t="s">
        <v>15</v>
      </c>
      <c r="D881" s="3" t="s">
        <v>21</v>
      </c>
      <c r="E881" s="3" t="s">
        <v>1311</v>
      </c>
      <c r="F881" s="3" t="s">
        <v>27</v>
      </c>
      <c r="G881" s="3" t="s">
        <v>19</v>
      </c>
      <c r="H881" s="3">
        <v>70</v>
      </c>
      <c r="I881" s="3">
        <v>0</v>
      </c>
      <c r="J881" s="3">
        <v>28</v>
      </c>
      <c r="K881" s="3">
        <v>62</v>
      </c>
      <c r="L881" s="3">
        <v>3</v>
      </c>
      <c r="M881" s="3">
        <v>1833.11814</v>
      </c>
    </row>
    <row r="882" spans="1:13" ht="14.25" customHeight="1" x14ac:dyDescent="0.2">
      <c r="A882" s="3" t="s">
        <v>1312</v>
      </c>
      <c r="B882" s="3" t="s">
        <v>24</v>
      </c>
      <c r="C882" s="3" t="s">
        <v>35</v>
      </c>
      <c r="D882" s="3" t="s">
        <v>70</v>
      </c>
      <c r="E882" s="3" t="s">
        <v>1313</v>
      </c>
      <c r="F882" s="3" t="s">
        <v>287</v>
      </c>
      <c r="G882" s="3" t="s">
        <v>114</v>
      </c>
      <c r="H882" s="3">
        <v>3719</v>
      </c>
      <c r="I882" s="3">
        <v>0</v>
      </c>
      <c r="J882" s="3">
        <v>2092</v>
      </c>
      <c r="K882" s="3">
        <v>3456</v>
      </c>
      <c r="L882" s="3">
        <v>11</v>
      </c>
      <c r="M882" s="3">
        <v>1820.78144</v>
      </c>
    </row>
    <row r="883" spans="1:13" ht="14.25" customHeight="1" x14ac:dyDescent="0.2">
      <c r="A883" s="3" t="s">
        <v>1314</v>
      </c>
      <c r="B883" s="3" t="s">
        <v>14</v>
      </c>
      <c r="C883" s="3" t="s">
        <v>35</v>
      </c>
      <c r="D883" s="3" t="s">
        <v>16</v>
      </c>
      <c r="E883" s="3" t="s">
        <v>79</v>
      </c>
      <c r="F883" s="3" t="s">
        <v>41</v>
      </c>
      <c r="G883" s="3" t="s">
        <v>19</v>
      </c>
      <c r="H883" s="3">
        <v>61848</v>
      </c>
      <c r="I883" s="3">
        <v>0</v>
      </c>
      <c r="J883" s="3">
        <v>6581</v>
      </c>
      <c r="K883" s="3">
        <v>44917</v>
      </c>
      <c r="L883" s="3">
        <v>19</v>
      </c>
      <c r="M883" s="3">
        <v>1819.8936020000001</v>
      </c>
    </row>
    <row r="884" spans="1:13" ht="14.25" customHeight="1" x14ac:dyDescent="0.2">
      <c r="A884" s="3" t="s">
        <v>1315</v>
      </c>
      <c r="B884" s="3" t="s">
        <v>24</v>
      </c>
      <c r="C884" s="3" t="s">
        <v>15</v>
      </c>
      <c r="D884" s="3" t="s">
        <v>25</v>
      </c>
      <c r="E884" s="3" t="s">
        <v>684</v>
      </c>
      <c r="F884" s="3" t="s">
        <v>27</v>
      </c>
      <c r="G884" s="3" t="s">
        <v>19</v>
      </c>
      <c r="H884" s="3">
        <v>13132</v>
      </c>
      <c r="I884" s="3">
        <v>0</v>
      </c>
      <c r="J884" s="3">
        <v>6133</v>
      </c>
      <c r="K884" s="3">
        <v>12377</v>
      </c>
      <c r="L884" s="3">
        <v>1</v>
      </c>
      <c r="M884" s="3">
        <v>1807.6931420000001</v>
      </c>
    </row>
    <row r="885" spans="1:13" ht="14.25" customHeight="1" x14ac:dyDescent="0.2">
      <c r="A885" s="3" t="s">
        <v>1316</v>
      </c>
      <c r="B885" s="3" t="s">
        <v>14</v>
      </c>
      <c r="C885" s="3" t="s">
        <v>15</v>
      </c>
      <c r="D885" s="3" t="s">
        <v>16</v>
      </c>
      <c r="E885" s="3" t="s">
        <v>618</v>
      </c>
      <c r="F885" s="3" t="s">
        <v>27</v>
      </c>
      <c r="G885" s="3" t="s">
        <v>19</v>
      </c>
      <c r="H885" s="3">
        <v>10012</v>
      </c>
      <c r="I885" s="3">
        <v>0</v>
      </c>
      <c r="J885" s="3">
        <v>5734</v>
      </c>
      <c r="K885" s="3">
        <v>9413</v>
      </c>
      <c r="L885" s="3">
        <v>1</v>
      </c>
      <c r="M885" s="3">
        <v>1805.9260859999999</v>
      </c>
    </row>
    <row r="886" spans="1:13" ht="14.25" customHeight="1" x14ac:dyDescent="0.2">
      <c r="A886" s="3" t="s">
        <v>1317</v>
      </c>
      <c r="B886" s="3" t="s">
        <v>68</v>
      </c>
      <c r="C886" s="3" t="s">
        <v>29</v>
      </c>
      <c r="D886" s="3" t="s">
        <v>45</v>
      </c>
      <c r="E886" s="3" t="s">
        <v>831</v>
      </c>
      <c r="F886" s="3" t="s">
        <v>38</v>
      </c>
      <c r="G886" s="3" t="s">
        <v>19</v>
      </c>
      <c r="H886" s="3">
        <v>20417</v>
      </c>
      <c r="I886" s="3">
        <v>0</v>
      </c>
      <c r="J886" s="3">
        <v>1016</v>
      </c>
      <c r="K886" s="3">
        <v>13468</v>
      </c>
      <c r="L886" s="3">
        <v>2</v>
      </c>
      <c r="M886" s="3">
        <v>1805.6005130000001</v>
      </c>
    </row>
    <row r="887" spans="1:13" ht="14.25" customHeight="1" x14ac:dyDescent="0.2">
      <c r="A887" s="3" t="s">
        <v>1318</v>
      </c>
      <c r="B887" s="3" t="s">
        <v>14</v>
      </c>
      <c r="C887" s="3" t="s">
        <v>15</v>
      </c>
      <c r="D887" s="3" t="s">
        <v>43</v>
      </c>
      <c r="E887" s="3" t="s">
        <v>1319</v>
      </c>
      <c r="F887" s="3" t="s">
        <v>27</v>
      </c>
      <c r="G887" s="3" t="s">
        <v>19</v>
      </c>
      <c r="H887" s="3">
        <v>764</v>
      </c>
      <c r="I887" s="3">
        <v>0</v>
      </c>
      <c r="J887" s="3">
        <v>628</v>
      </c>
      <c r="K887" s="3">
        <v>674</v>
      </c>
      <c r="L887" s="3">
        <v>8</v>
      </c>
      <c r="M887" s="3">
        <v>1804.2230199999999</v>
      </c>
    </row>
    <row r="888" spans="1:13" ht="14.25" customHeight="1" x14ac:dyDescent="0.2">
      <c r="A888" s="3" t="s">
        <v>1320</v>
      </c>
      <c r="B888" s="3" t="s">
        <v>24</v>
      </c>
      <c r="C888" s="3" t="s">
        <v>32</v>
      </c>
      <c r="D888" s="3" t="s">
        <v>36</v>
      </c>
      <c r="E888" s="3" t="s">
        <v>1321</v>
      </c>
      <c r="F888" s="3" t="s">
        <v>22</v>
      </c>
      <c r="G888" s="3" t="s">
        <v>19</v>
      </c>
      <c r="H888" s="3">
        <v>604</v>
      </c>
      <c r="I888" s="3">
        <v>0</v>
      </c>
      <c r="J888" s="3">
        <v>323</v>
      </c>
      <c r="K888" s="3">
        <v>571</v>
      </c>
      <c r="L888" s="3">
        <v>9</v>
      </c>
      <c r="M888" s="3">
        <v>1795.7353169999999</v>
      </c>
    </row>
    <row r="889" spans="1:13" ht="14.25" customHeight="1" x14ac:dyDescent="0.2">
      <c r="A889" s="3" t="s">
        <v>1322</v>
      </c>
      <c r="B889" s="3" t="s">
        <v>24</v>
      </c>
      <c r="C889" s="3" t="s">
        <v>35</v>
      </c>
      <c r="D889" s="3" t="s">
        <v>205</v>
      </c>
      <c r="E889" s="3" t="s">
        <v>98</v>
      </c>
      <c r="F889" s="3" t="s">
        <v>64</v>
      </c>
      <c r="G889" s="3" t="s">
        <v>19</v>
      </c>
      <c r="H889" s="3">
        <v>643</v>
      </c>
      <c r="I889" s="3">
        <v>0</v>
      </c>
      <c r="J889" s="3">
        <v>287</v>
      </c>
      <c r="K889" s="3">
        <v>613</v>
      </c>
      <c r="L889" s="3">
        <v>3</v>
      </c>
      <c r="M889" s="3">
        <v>1784.165561</v>
      </c>
    </row>
    <row r="890" spans="1:13" ht="14.25" customHeight="1" x14ac:dyDescent="0.2">
      <c r="A890" s="3" t="s">
        <v>1323</v>
      </c>
      <c r="B890" s="3" t="s">
        <v>14</v>
      </c>
      <c r="C890" s="3" t="s">
        <v>35</v>
      </c>
      <c r="D890" s="3" t="s">
        <v>70</v>
      </c>
      <c r="E890" s="3" t="s">
        <v>595</v>
      </c>
      <c r="F890" s="3" t="s">
        <v>22</v>
      </c>
      <c r="G890" s="3" t="s">
        <v>19</v>
      </c>
      <c r="H890" s="3">
        <v>68</v>
      </c>
      <c r="I890" s="3">
        <v>0</v>
      </c>
      <c r="J890" s="3">
        <v>4</v>
      </c>
      <c r="K890" s="3">
        <v>10</v>
      </c>
      <c r="L890" s="3">
        <v>2</v>
      </c>
      <c r="M890" s="3">
        <v>1783.6419860000001</v>
      </c>
    </row>
    <row r="891" spans="1:13" ht="14.25" customHeight="1" x14ac:dyDescent="0.2">
      <c r="A891" s="3" t="s">
        <v>1324</v>
      </c>
      <c r="B891" s="3" t="s">
        <v>14</v>
      </c>
      <c r="C891" s="3" t="s">
        <v>32</v>
      </c>
      <c r="D891" s="3" t="s">
        <v>205</v>
      </c>
      <c r="E891" s="3" t="s">
        <v>1325</v>
      </c>
      <c r="F891" s="3" t="s">
        <v>27</v>
      </c>
      <c r="G891" s="3" t="s">
        <v>19</v>
      </c>
      <c r="H891" s="3">
        <v>0</v>
      </c>
      <c r="I891" s="3">
        <v>0</v>
      </c>
      <c r="J891" s="3">
        <v>0</v>
      </c>
      <c r="K891" s="3">
        <v>0</v>
      </c>
      <c r="L891" s="3">
        <v>2</v>
      </c>
      <c r="M891" s="3">
        <v>1765.0406700000001</v>
      </c>
    </row>
    <row r="892" spans="1:13" ht="14.25" customHeight="1" x14ac:dyDescent="0.2">
      <c r="A892" s="3" t="s">
        <v>1326</v>
      </c>
      <c r="B892" s="3" t="s">
        <v>24</v>
      </c>
      <c r="C892" s="3" t="s">
        <v>32</v>
      </c>
      <c r="D892" s="3" t="s">
        <v>43</v>
      </c>
      <c r="E892" s="3" t="s">
        <v>1327</v>
      </c>
      <c r="F892" s="3" t="s">
        <v>27</v>
      </c>
      <c r="G892" s="3" t="s">
        <v>19</v>
      </c>
      <c r="H892" s="3">
        <v>8944</v>
      </c>
      <c r="I892" s="3">
        <v>0</v>
      </c>
      <c r="J892" s="3">
        <v>3002</v>
      </c>
      <c r="K892" s="3">
        <v>6361</v>
      </c>
      <c r="L892" s="3">
        <v>1</v>
      </c>
      <c r="M892" s="3">
        <v>1755.4845419999999</v>
      </c>
    </row>
    <row r="893" spans="1:13" ht="14.25" customHeight="1" x14ac:dyDescent="0.2">
      <c r="A893" s="3" t="s">
        <v>1328</v>
      </c>
      <c r="B893" s="3" t="s">
        <v>14</v>
      </c>
      <c r="C893" s="3" t="s">
        <v>15</v>
      </c>
      <c r="D893" s="3" t="s">
        <v>121</v>
      </c>
      <c r="E893" s="3" t="s">
        <v>1329</v>
      </c>
      <c r="F893" s="3" t="s">
        <v>27</v>
      </c>
      <c r="G893" s="3" t="s">
        <v>19</v>
      </c>
      <c r="H893" s="3">
        <v>1221</v>
      </c>
      <c r="I893" s="3">
        <v>0</v>
      </c>
      <c r="J893" s="3">
        <v>643</v>
      </c>
      <c r="K893" s="3">
        <v>1140</v>
      </c>
      <c r="L893" s="3">
        <v>1</v>
      </c>
      <c r="M893" s="3">
        <v>1752.2174090000001</v>
      </c>
    </row>
    <row r="894" spans="1:13" ht="14.25" customHeight="1" x14ac:dyDescent="0.2">
      <c r="A894" s="3" t="s">
        <v>1330</v>
      </c>
      <c r="B894" s="3" t="s">
        <v>24</v>
      </c>
      <c r="C894" s="3" t="s">
        <v>32</v>
      </c>
      <c r="D894" s="3" t="s">
        <v>312</v>
      </c>
      <c r="E894" s="3" t="s">
        <v>1331</v>
      </c>
      <c r="F894" s="3" t="s">
        <v>22</v>
      </c>
      <c r="G894" s="3" t="s">
        <v>114</v>
      </c>
      <c r="H894" s="3">
        <v>190</v>
      </c>
      <c r="I894" s="3">
        <v>0</v>
      </c>
      <c r="J894" s="3">
        <v>123</v>
      </c>
      <c r="K894" s="3">
        <v>172</v>
      </c>
      <c r="L894" s="3">
        <v>1</v>
      </c>
      <c r="M894" s="3">
        <v>1746.935526</v>
      </c>
    </row>
    <row r="895" spans="1:13" ht="14.25" customHeight="1" x14ac:dyDescent="0.2">
      <c r="A895" s="3" t="s">
        <v>1332</v>
      </c>
      <c r="B895" s="3" t="s">
        <v>24</v>
      </c>
      <c r="C895" s="3" t="s">
        <v>32</v>
      </c>
      <c r="D895" s="3" t="s">
        <v>86</v>
      </c>
      <c r="E895" s="3" t="s">
        <v>1217</v>
      </c>
      <c r="F895" s="3" t="s">
        <v>27</v>
      </c>
      <c r="G895" s="3" t="s">
        <v>163</v>
      </c>
      <c r="H895" s="3">
        <v>7470</v>
      </c>
      <c r="I895" s="3">
        <v>0</v>
      </c>
      <c r="J895" s="3">
        <v>6753</v>
      </c>
      <c r="K895" s="3">
        <v>7229</v>
      </c>
      <c r="L895" s="3">
        <v>1</v>
      </c>
      <c r="M895" s="3">
        <v>1738.9952820000001</v>
      </c>
    </row>
    <row r="896" spans="1:13" ht="14.25" customHeight="1" x14ac:dyDescent="0.2">
      <c r="A896" s="3" t="s">
        <v>1333</v>
      </c>
      <c r="B896" s="3" t="s">
        <v>24</v>
      </c>
      <c r="C896" s="3" t="s">
        <v>29</v>
      </c>
      <c r="D896" s="3" t="s">
        <v>121</v>
      </c>
      <c r="E896" s="3" t="s">
        <v>635</v>
      </c>
      <c r="F896" s="3" t="s">
        <v>27</v>
      </c>
      <c r="G896" s="3" t="s">
        <v>19</v>
      </c>
      <c r="H896" s="3">
        <v>37554</v>
      </c>
      <c r="I896" s="3">
        <v>0</v>
      </c>
      <c r="J896" s="3">
        <v>13128</v>
      </c>
      <c r="K896" s="3">
        <v>27596</v>
      </c>
      <c r="L896" s="3">
        <v>3</v>
      </c>
      <c r="M896" s="3">
        <v>1737.8434850000001</v>
      </c>
    </row>
    <row r="897" spans="1:13" ht="14.25" customHeight="1" x14ac:dyDescent="0.2">
      <c r="A897" s="3" t="s">
        <v>1334</v>
      </c>
      <c r="B897" s="3" t="s">
        <v>24</v>
      </c>
      <c r="C897" s="3" t="s">
        <v>35</v>
      </c>
      <c r="D897" s="3" t="s">
        <v>78</v>
      </c>
      <c r="E897" s="3" t="s">
        <v>1335</v>
      </c>
      <c r="F897" s="3" t="s">
        <v>27</v>
      </c>
      <c r="G897" s="3" t="s">
        <v>19</v>
      </c>
      <c r="H897" s="3">
        <v>257</v>
      </c>
      <c r="I897" s="3">
        <v>0</v>
      </c>
      <c r="J897" s="3">
        <v>154</v>
      </c>
      <c r="K897" s="3">
        <v>183</v>
      </c>
      <c r="L897" s="3">
        <v>8</v>
      </c>
      <c r="M897" s="3">
        <v>1737.3540519999999</v>
      </c>
    </row>
    <row r="898" spans="1:13" ht="14.25" customHeight="1" x14ac:dyDescent="0.2">
      <c r="A898" s="3" t="s">
        <v>1336</v>
      </c>
      <c r="B898" s="3" t="s">
        <v>14</v>
      </c>
      <c r="C898" s="3" t="s">
        <v>35</v>
      </c>
      <c r="D898" s="3" t="s">
        <v>43</v>
      </c>
      <c r="E898" s="3" t="s">
        <v>1337</v>
      </c>
      <c r="F898" s="3" t="s">
        <v>27</v>
      </c>
      <c r="G898" s="3" t="s">
        <v>19</v>
      </c>
      <c r="H898" s="3">
        <v>6</v>
      </c>
      <c r="I898" s="3">
        <v>0</v>
      </c>
      <c r="J898" s="3">
        <v>3</v>
      </c>
      <c r="K898" s="3">
        <v>6</v>
      </c>
      <c r="L898" s="3">
        <v>2</v>
      </c>
      <c r="M898" s="3">
        <v>1718.598804</v>
      </c>
    </row>
    <row r="899" spans="1:13" ht="14.25" customHeight="1" x14ac:dyDescent="0.2">
      <c r="A899" s="3" t="s">
        <v>1338</v>
      </c>
      <c r="B899" s="3" t="s">
        <v>24</v>
      </c>
      <c r="C899" s="3" t="s">
        <v>15</v>
      </c>
      <c r="D899" s="3" t="s">
        <v>16</v>
      </c>
      <c r="E899" s="3" t="s">
        <v>48</v>
      </c>
      <c r="F899" s="3" t="s">
        <v>22</v>
      </c>
      <c r="G899" s="3" t="s">
        <v>19</v>
      </c>
      <c r="H899" s="3">
        <v>7540</v>
      </c>
      <c r="I899" s="3">
        <v>0</v>
      </c>
      <c r="J899" s="3">
        <v>1475</v>
      </c>
      <c r="K899" s="3">
        <v>2054</v>
      </c>
      <c r="L899" s="3">
        <v>1</v>
      </c>
      <c r="M899" s="3">
        <v>1713.978863</v>
      </c>
    </row>
    <row r="900" spans="1:13" ht="14.25" customHeight="1" x14ac:dyDescent="0.2">
      <c r="A900" s="3" t="s">
        <v>1339</v>
      </c>
      <c r="B900" s="3" t="s">
        <v>24</v>
      </c>
      <c r="C900" s="3" t="s">
        <v>29</v>
      </c>
      <c r="D900" s="3" t="s">
        <v>16</v>
      </c>
      <c r="E900" s="3" t="s">
        <v>1340</v>
      </c>
      <c r="F900" s="3" t="s">
        <v>27</v>
      </c>
      <c r="G900" s="3" t="s">
        <v>19</v>
      </c>
      <c r="H900" s="3">
        <v>151</v>
      </c>
      <c r="I900" s="3">
        <v>0</v>
      </c>
      <c r="J900" s="3">
        <v>98</v>
      </c>
      <c r="K900" s="3">
        <v>120</v>
      </c>
      <c r="L900" s="3">
        <v>7</v>
      </c>
      <c r="M900" s="3">
        <v>1710.104094</v>
      </c>
    </row>
    <row r="901" spans="1:13" ht="14.25" customHeight="1" x14ac:dyDescent="0.2">
      <c r="A901" s="3" t="s">
        <v>1341</v>
      </c>
      <c r="B901" s="3" t="s">
        <v>14</v>
      </c>
      <c r="C901" s="3" t="s">
        <v>35</v>
      </c>
      <c r="D901" s="3" t="s">
        <v>16</v>
      </c>
      <c r="E901" s="3" t="s">
        <v>341</v>
      </c>
      <c r="F901" s="3" t="s">
        <v>27</v>
      </c>
      <c r="G901" s="3" t="s">
        <v>19</v>
      </c>
      <c r="H901" s="3">
        <v>7197</v>
      </c>
      <c r="I901" s="3">
        <v>0</v>
      </c>
      <c r="J901" s="3">
        <v>3537</v>
      </c>
      <c r="K901" s="3">
        <v>6033</v>
      </c>
      <c r="L901" s="3">
        <v>1</v>
      </c>
      <c r="M901" s="3">
        <v>1707.045464</v>
      </c>
    </row>
    <row r="902" spans="1:13" ht="14.25" customHeight="1" x14ac:dyDescent="0.2">
      <c r="A902" s="3" t="s">
        <v>1342</v>
      </c>
      <c r="B902" s="3" t="s">
        <v>24</v>
      </c>
      <c r="C902" s="3" t="s">
        <v>35</v>
      </c>
      <c r="D902" s="3" t="s">
        <v>25</v>
      </c>
      <c r="E902" s="3" t="s">
        <v>1343</v>
      </c>
      <c r="F902" s="3" t="s">
        <v>22</v>
      </c>
      <c r="G902" s="3" t="s">
        <v>114</v>
      </c>
      <c r="H902" s="3">
        <v>0</v>
      </c>
      <c r="I902" s="3">
        <v>0</v>
      </c>
      <c r="J902" s="3">
        <v>0</v>
      </c>
      <c r="K902" s="3">
        <v>0</v>
      </c>
      <c r="L902" s="3">
        <v>3</v>
      </c>
      <c r="M902" s="3">
        <v>1705.533819</v>
      </c>
    </row>
    <row r="903" spans="1:13" ht="14.25" customHeight="1" x14ac:dyDescent="0.2">
      <c r="A903" s="3" t="s">
        <v>1344</v>
      </c>
      <c r="B903" s="3" t="s">
        <v>14</v>
      </c>
      <c r="C903" s="3" t="s">
        <v>15</v>
      </c>
      <c r="D903" s="3" t="s">
        <v>1345</v>
      </c>
      <c r="E903" s="3" t="s">
        <v>159</v>
      </c>
      <c r="F903" s="3" t="s">
        <v>38</v>
      </c>
      <c r="G903" s="3" t="s">
        <v>19</v>
      </c>
      <c r="H903" s="3">
        <v>179</v>
      </c>
      <c r="I903" s="3">
        <v>0</v>
      </c>
      <c r="J903" s="3">
        <v>53</v>
      </c>
      <c r="K903" s="3">
        <v>148</v>
      </c>
      <c r="L903" s="3">
        <v>3</v>
      </c>
      <c r="M903" s="3">
        <v>1686.691212</v>
      </c>
    </row>
    <row r="904" spans="1:13" ht="14.25" customHeight="1" x14ac:dyDescent="0.2">
      <c r="A904" s="3" t="s">
        <v>1346</v>
      </c>
      <c r="B904" s="3" t="s">
        <v>24</v>
      </c>
      <c r="C904" s="3" t="s">
        <v>32</v>
      </c>
      <c r="D904" s="3" t="s">
        <v>91</v>
      </c>
      <c r="E904" s="3" t="s">
        <v>1347</v>
      </c>
      <c r="F904" s="3" t="s">
        <v>27</v>
      </c>
      <c r="G904" s="3" t="s">
        <v>114</v>
      </c>
      <c r="H904" s="3">
        <v>79</v>
      </c>
      <c r="I904" s="3">
        <v>0</v>
      </c>
      <c r="J904" s="3">
        <v>9</v>
      </c>
      <c r="K904" s="3">
        <v>72</v>
      </c>
      <c r="L904" s="3">
        <v>1</v>
      </c>
      <c r="M904" s="3">
        <v>1681.984072</v>
      </c>
    </row>
    <row r="905" spans="1:13" ht="14.25" customHeight="1" x14ac:dyDescent="0.2">
      <c r="A905" s="3" t="s">
        <v>1348</v>
      </c>
      <c r="B905" s="3" t="s">
        <v>24</v>
      </c>
      <c r="C905" s="3" t="s">
        <v>15</v>
      </c>
      <c r="D905" s="3" t="s">
        <v>70</v>
      </c>
      <c r="E905" s="3" t="s">
        <v>111</v>
      </c>
      <c r="F905" s="3" t="s">
        <v>22</v>
      </c>
      <c r="G905" s="3" t="s">
        <v>19</v>
      </c>
      <c r="H905" s="3">
        <v>10811</v>
      </c>
      <c r="I905" s="3">
        <v>0</v>
      </c>
      <c r="J905" s="3">
        <v>988</v>
      </c>
      <c r="K905" s="3">
        <v>2975</v>
      </c>
      <c r="L905" s="3">
        <v>1</v>
      </c>
      <c r="M905" s="3">
        <v>1679.833815</v>
      </c>
    </row>
    <row r="906" spans="1:13" ht="14.25" customHeight="1" x14ac:dyDescent="0.2">
      <c r="A906" s="3" t="s">
        <v>1349</v>
      </c>
      <c r="B906" s="3" t="s">
        <v>14</v>
      </c>
      <c r="C906" s="3" t="s">
        <v>35</v>
      </c>
      <c r="D906" s="3" t="s">
        <v>43</v>
      </c>
      <c r="E906" s="3" t="s">
        <v>1281</v>
      </c>
      <c r="F906" s="3" t="s">
        <v>33</v>
      </c>
      <c r="G906" s="3" t="s">
        <v>19</v>
      </c>
      <c r="H906" s="3">
        <v>4250</v>
      </c>
      <c r="I906" s="3">
        <v>0</v>
      </c>
      <c r="J906" s="3">
        <v>755</v>
      </c>
      <c r="K906" s="3">
        <v>2183</v>
      </c>
      <c r="L906" s="3">
        <v>24</v>
      </c>
      <c r="M906" s="3">
        <v>1678.707498</v>
      </c>
    </row>
    <row r="907" spans="1:13" ht="14.25" customHeight="1" x14ac:dyDescent="0.2">
      <c r="A907" s="3" t="s">
        <v>1350</v>
      </c>
      <c r="B907" s="3" t="s">
        <v>14</v>
      </c>
      <c r="C907" s="3" t="s">
        <v>35</v>
      </c>
      <c r="D907" s="3" t="s">
        <v>78</v>
      </c>
      <c r="E907" s="3" t="s">
        <v>1351</v>
      </c>
      <c r="F907" s="3" t="s">
        <v>22</v>
      </c>
      <c r="G907" s="3" t="s">
        <v>19</v>
      </c>
      <c r="H907" s="3">
        <v>10992</v>
      </c>
      <c r="I907" s="3">
        <v>0</v>
      </c>
      <c r="J907" s="3">
        <v>6677</v>
      </c>
      <c r="K907" s="3">
        <v>10132</v>
      </c>
      <c r="L907" s="3">
        <v>1</v>
      </c>
      <c r="M907" s="3">
        <v>1675.987427</v>
      </c>
    </row>
    <row r="908" spans="1:13" ht="14.25" customHeight="1" x14ac:dyDescent="0.2">
      <c r="A908" s="3" t="s">
        <v>1352</v>
      </c>
      <c r="B908" s="3" t="s">
        <v>14</v>
      </c>
      <c r="C908" s="3" t="s">
        <v>35</v>
      </c>
      <c r="D908" s="3" t="s">
        <v>16</v>
      </c>
      <c r="E908" s="3" t="s">
        <v>1353</v>
      </c>
      <c r="F908" s="3" t="s">
        <v>76</v>
      </c>
      <c r="G908" s="3" t="s">
        <v>19</v>
      </c>
      <c r="H908" s="3">
        <v>40</v>
      </c>
      <c r="I908" s="3">
        <v>0</v>
      </c>
      <c r="J908" s="3">
        <v>24</v>
      </c>
      <c r="K908" s="3">
        <v>38</v>
      </c>
      <c r="L908" s="3">
        <v>21</v>
      </c>
      <c r="M908" s="3">
        <v>1675.855515</v>
      </c>
    </row>
    <row r="909" spans="1:13" ht="14.25" customHeight="1" x14ac:dyDescent="0.2">
      <c r="A909" s="3" t="s">
        <v>1354</v>
      </c>
      <c r="B909" s="3" t="s">
        <v>24</v>
      </c>
      <c r="C909" s="3" t="s">
        <v>15</v>
      </c>
      <c r="D909" s="3" t="s">
        <v>25</v>
      </c>
      <c r="E909" s="3" t="s">
        <v>1355</v>
      </c>
      <c r="F909" s="3" t="s">
        <v>81</v>
      </c>
      <c r="G909" s="3" t="s">
        <v>114</v>
      </c>
      <c r="H909" s="3">
        <v>1835</v>
      </c>
      <c r="I909" s="3">
        <v>0</v>
      </c>
      <c r="J909" s="3">
        <v>604</v>
      </c>
      <c r="K909" s="3">
        <v>1546</v>
      </c>
      <c r="L909" s="3">
        <v>24</v>
      </c>
      <c r="M909" s="3">
        <v>1673.4899439999999</v>
      </c>
    </row>
    <row r="910" spans="1:13" ht="14.25" customHeight="1" x14ac:dyDescent="0.2">
      <c r="A910" s="3" t="s">
        <v>1356</v>
      </c>
      <c r="B910" s="3" t="s">
        <v>24</v>
      </c>
      <c r="C910" s="3" t="s">
        <v>15</v>
      </c>
      <c r="D910" s="3" t="s">
        <v>16</v>
      </c>
      <c r="E910" s="3" t="s">
        <v>1357</v>
      </c>
      <c r="F910" s="3" t="s">
        <v>81</v>
      </c>
      <c r="G910" s="3" t="s">
        <v>19</v>
      </c>
      <c r="H910" s="3">
        <v>135</v>
      </c>
      <c r="I910" s="3">
        <v>0</v>
      </c>
      <c r="J910" s="3">
        <v>82</v>
      </c>
      <c r="K910" s="3">
        <v>123</v>
      </c>
      <c r="L910" s="3">
        <v>3</v>
      </c>
      <c r="M910" s="3">
        <v>1672.26622</v>
      </c>
    </row>
    <row r="911" spans="1:13" ht="14.25" customHeight="1" x14ac:dyDescent="0.2">
      <c r="A911" s="3" t="s">
        <v>1358</v>
      </c>
      <c r="B911" s="3" t="s">
        <v>24</v>
      </c>
      <c r="C911" s="3" t="s">
        <v>29</v>
      </c>
      <c r="D911" s="3" t="s">
        <v>16</v>
      </c>
      <c r="E911" s="3" t="s">
        <v>1359</v>
      </c>
      <c r="F911" s="3" t="s">
        <v>41</v>
      </c>
      <c r="G911" s="3" t="s">
        <v>114</v>
      </c>
      <c r="H911" s="3">
        <v>1416</v>
      </c>
      <c r="I911" s="3">
        <v>0</v>
      </c>
      <c r="J911" s="3">
        <v>296</v>
      </c>
      <c r="K911" s="3">
        <v>1323</v>
      </c>
      <c r="L911" s="3">
        <v>21</v>
      </c>
      <c r="M911" s="3">
        <v>1670.664632</v>
      </c>
    </row>
    <row r="912" spans="1:13" ht="14.25" customHeight="1" x14ac:dyDescent="0.2">
      <c r="A912" s="3" t="s">
        <v>1360</v>
      </c>
      <c r="B912" s="3" t="s">
        <v>24</v>
      </c>
      <c r="C912" s="3" t="s">
        <v>35</v>
      </c>
      <c r="D912" s="3" t="s">
        <v>25</v>
      </c>
      <c r="E912" s="3" t="s">
        <v>831</v>
      </c>
      <c r="F912" s="3" t="s">
        <v>22</v>
      </c>
      <c r="G912" s="3" t="s">
        <v>19</v>
      </c>
      <c r="H912" s="3">
        <v>57917</v>
      </c>
      <c r="I912" s="3">
        <v>0</v>
      </c>
      <c r="J912" s="3">
        <v>3650</v>
      </c>
      <c r="K912" s="3">
        <v>55128</v>
      </c>
      <c r="L912" s="3">
        <v>3</v>
      </c>
      <c r="M912" s="3">
        <v>1669.7289049999999</v>
      </c>
    </row>
    <row r="913" spans="1:13" ht="14.25" customHeight="1" x14ac:dyDescent="0.2">
      <c r="A913" s="3" t="s">
        <v>1361</v>
      </c>
      <c r="B913" s="3" t="s">
        <v>14</v>
      </c>
      <c r="C913" s="3" t="s">
        <v>15</v>
      </c>
      <c r="D913" s="3" t="s">
        <v>78</v>
      </c>
      <c r="E913" s="3" t="s">
        <v>1362</v>
      </c>
      <c r="F913" s="3" t="s">
        <v>27</v>
      </c>
      <c r="G913" s="3" t="s">
        <v>19</v>
      </c>
      <c r="H913" s="3">
        <v>780</v>
      </c>
      <c r="I913" s="3">
        <v>0</v>
      </c>
      <c r="J913" s="3">
        <v>516</v>
      </c>
      <c r="K913" s="3">
        <v>734</v>
      </c>
      <c r="L913" s="3">
        <v>15</v>
      </c>
      <c r="M913" s="3">
        <v>1665.1853160000001</v>
      </c>
    </row>
    <row r="914" spans="1:13" ht="14.25" customHeight="1" x14ac:dyDescent="0.2">
      <c r="A914" s="3" t="s">
        <v>1363</v>
      </c>
      <c r="B914" s="3" t="s">
        <v>24</v>
      </c>
      <c r="C914" s="3" t="s">
        <v>29</v>
      </c>
      <c r="D914" s="3" t="s">
        <v>25</v>
      </c>
      <c r="E914" s="3" t="s">
        <v>1364</v>
      </c>
      <c r="F914" s="3" t="s">
        <v>64</v>
      </c>
      <c r="G914" s="3" t="s">
        <v>19</v>
      </c>
      <c r="H914" s="3">
        <v>11289</v>
      </c>
      <c r="I914" s="3">
        <v>0</v>
      </c>
      <c r="J914" s="3">
        <v>1345</v>
      </c>
      <c r="K914" s="3">
        <v>8187</v>
      </c>
      <c r="L914" s="3">
        <v>3</v>
      </c>
      <c r="M914" s="3">
        <v>1665.160445</v>
      </c>
    </row>
    <row r="915" spans="1:13" ht="14.25" customHeight="1" x14ac:dyDescent="0.2">
      <c r="A915" s="3" t="s">
        <v>1365</v>
      </c>
      <c r="B915" s="3" t="s">
        <v>24</v>
      </c>
      <c r="C915" s="3" t="s">
        <v>15</v>
      </c>
      <c r="D915" s="3" t="s">
        <v>91</v>
      </c>
      <c r="E915" s="3" t="s">
        <v>1366</v>
      </c>
      <c r="F915" s="3" t="s">
        <v>22</v>
      </c>
      <c r="G915" s="3" t="s">
        <v>114</v>
      </c>
      <c r="H915" s="3">
        <v>1849</v>
      </c>
      <c r="I915" s="3">
        <v>0</v>
      </c>
      <c r="J915" s="3">
        <v>225</v>
      </c>
      <c r="K915" s="3">
        <v>1511</v>
      </c>
      <c r="L915" s="3">
        <v>1</v>
      </c>
      <c r="M915" s="3">
        <v>1660.108103</v>
      </c>
    </row>
    <row r="916" spans="1:13" ht="14.25" customHeight="1" x14ac:dyDescent="0.2">
      <c r="A916" s="3" t="s">
        <v>1367</v>
      </c>
      <c r="B916" s="3" t="s">
        <v>14</v>
      </c>
      <c r="C916" s="3" t="s">
        <v>32</v>
      </c>
      <c r="D916" s="3" t="s">
        <v>43</v>
      </c>
      <c r="E916" s="3" t="s">
        <v>1368</v>
      </c>
      <c r="F916" s="3" t="s">
        <v>27</v>
      </c>
      <c r="G916" s="3" t="s">
        <v>19</v>
      </c>
      <c r="H916" s="3">
        <v>36</v>
      </c>
      <c r="I916" s="3">
        <v>0</v>
      </c>
      <c r="J916" s="3">
        <v>21</v>
      </c>
      <c r="K916" s="3">
        <v>26</v>
      </c>
      <c r="L916" s="3">
        <v>15</v>
      </c>
      <c r="M916" s="3">
        <v>1659.111257</v>
      </c>
    </row>
    <row r="917" spans="1:13" ht="14.25" customHeight="1" x14ac:dyDescent="0.2">
      <c r="A917" s="3" t="s">
        <v>1369</v>
      </c>
      <c r="B917" s="3" t="s">
        <v>24</v>
      </c>
      <c r="C917" s="3" t="s">
        <v>29</v>
      </c>
      <c r="D917" s="3" t="s">
        <v>165</v>
      </c>
      <c r="E917" s="3" t="s">
        <v>403</v>
      </c>
      <c r="F917" s="3" t="s">
        <v>38</v>
      </c>
      <c r="G917" s="3" t="s">
        <v>114</v>
      </c>
      <c r="H917" s="3">
        <v>16669</v>
      </c>
      <c r="I917" s="3">
        <v>0</v>
      </c>
      <c r="J917" s="3">
        <v>10961</v>
      </c>
      <c r="K917" s="3">
        <v>15451</v>
      </c>
      <c r="L917" s="3">
        <v>2</v>
      </c>
      <c r="M917" s="3">
        <v>1658.358536</v>
      </c>
    </row>
    <row r="918" spans="1:13" ht="14.25" customHeight="1" x14ac:dyDescent="0.2">
      <c r="A918" s="3" t="s">
        <v>1370</v>
      </c>
      <c r="B918" s="3" t="s">
        <v>68</v>
      </c>
      <c r="C918" s="3" t="s">
        <v>15</v>
      </c>
      <c r="D918" s="3" t="s">
        <v>447</v>
      </c>
      <c r="E918" s="3" t="s">
        <v>583</v>
      </c>
      <c r="F918" s="3" t="s">
        <v>38</v>
      </c>
      <c r="G918" s="3" t="s">
        <v>19</v>
      </c>
      <c r="H918" s="3">
        <v>6421</v>
      </c>
      <c r="I918" s="3">
        <v>0</v>
      </c>
      <c r="J918" s="3">
        <v>4367</v>
      </c>
      <c r="K918" s="3">
        <v>5947</v>
      </c>
      <c r="L918" s="3">
        <v>2</v>
      </c>
      <c r="M918" s="3">
        <v>1657.9039399999999</v>
      </c>
    </row>
    <row r="919" spans="1:13" ht="14.25" customHeight="1" x14ac:dyDescent="0.2">
      <c r="A919" s="3" t="s">
        <v>1371</v>
      </c>
      <c r="B919" s="3" t="s">
        <v>24</v>
      </c>
      <c r="C919" s="3" t="s">
        <v>15</v>
      </c>
      <c r="D919" s="3" t="s">
        <v>91</v>
      </c>
      <c r="E919" s="3" t="s">
        <v>403</v>
      </c>
      <c r="F919" s="3" t="s">
        <v>27</v>
      </c>
      <c r="G919" s="3" t="s">
        <v>19</v>
      </c>
      <c r="H919" s="3">
        <v>9130</v>
      </c>
      <c r="I919" s="3">
        <v>0</v>
      </c>
      <c r="J919" s="3">
        <v>3721</v>
      </c>
      <c r="K919" s="3">
        <v>5564</v>
      </c>
      <c r="L919" s="3">
        <v>1</v>
      </c>
      <c r="M919" s="3">
        <v>1655.7928569999999</v>
      </c>
    </row>
    <row r="920" spans="1:13" ht="14.25" customHeight="1" x14ac:dyDescent="0.2">
      <c r="A920" s="3" t="s">
        <v>1372</v>
      </c>
      <c r="B920" s="3" t="s">
        <v>24</v>
      </c>
      <c r="C920" s="3" t="s">
        <v>15</v>
      </c>
      <c r="D920" s="3" t="s">
        <v>86</v>
      </c>
      <c r="E920" s="3" t="s">
        <v>149</v>
      </c>
      <c r="F920" s="3" t="s">
        <v>64</v>
      </c>
      <c r="G920" s="3" t="s">
        <v>19</v>
      </c>
      <c r="H920" s="3">
        <v>15033</v>
      </c>
      <c r="I920" s="3">
        <v>0</v>
      </c>
      <c r="J920" s="3">
        <v>5495</v>
      </c>
      <c r="K920" s="3">
        <v>7050</v>
      </c>
      <c r="L920" s="3">
        <v>3</v>
      </c>
      <c r="M920" s="3">
        <v>1650.7230099999999</v>
      </c>
    </row>
    <row r="921" spans="1:13" ht="14.25" customHeight="1" x14ac:dyDescent="0.2">
      <c r="A921" s="3" t="s">
        <v>1373</v>
      </c>
      <c r="B921" s="3" t="s">
        <v>14</v>
      </c>
      <c r="C921" s="3" t="s">
        <v>32</v>
      </c>
      <c r="D921" s="3" t="s">
        <v>84</v>
      </c>
      <c r="E921" s="3" t="s">
        <v>1374</v>
      </c>
      <c r="F921" s="3" t="s">
        <v>27</v>
      </c>
      <c r="G921" s="3" t="s">
        <v>19</v>
      </c>
      <c r="H921" s="3">
        <v>68</v>
      </c>
      <c r="I921" s="3">
        <v>0</v>
      </c>
      <c r="J921" s="3">
        <v>31</v>
      </c>
      <c r="K921" s="3">
        <v>47</v>
      </c>
      <c r="L921" s="3">
        <v>2</v>
      </c>
      <c r="M921" s="3">
        <v>1650.328792</v>
      </c>
    </row>
    <row r="922" spans="1:13" ht="14.25" customHeight="1" x14ac:dyDescent="0.2">
      <c r="A922" s="3" t="s">
        <v>1375</v>
      </c>
      <c r="B922" s="3" t="s">
        <v>24</v>
      </c>
      <c r="C922" s="3" t="s">
        <v>15</v>
      </c>
      <c r="D922" s="3" t="s">
        <v>16</v>
      </c>
      <c r="E922" s="3" t="s">
        <v>643</v>
      </c>
      <c r="F922" s="3" t="s">
        <v>27</v>
      </c>
      <c r="G922" s="3" t="s">
        <v>114</v>
      </c>
      <c r="H922" s="3">
        <v>16175</v>
      </c>
      <c r="I922" s="3">
        <v>0</v>
      </c>
      <c r="J922" s="3">
        <v>1923</v>
      </c>
      <c r="K922" s="3">
        <v>15085</v>
      </c>
      <c r="L922" s="3">
        <v>2</v>
      </c>
      <c r="M922" s="3">
        <v>1649.069475</v>
      </c>
    </row>
    <row r="923" spans="1:13" ht="14.25" customHeight="1" x14ac:dyDescent="0.2">
      <c r="A923" s="3" t="s">
        <v>1376</v>
      </c>
      <c r="B923" s="3" t="s">
        <v>24</v>
      </c>
      <c r="C923" s="3" t="s">
        <v>35</v>
      </c>
      <c r="D923" s="3" t="s">
        <v>16</v>
      </c>
      <c r="E923" s="3" t="s">
        <v>119</v>
      </c>
      <c r="F923" s="3" t="s">
        <v>27</v>
      </c>
      <c r="G923" s="3" t="s">
        <v>114</v>
      </c>
      <c r="H923" s="3">
        <v>1445</v>
      </c>
      <c r="I923" s="3">
        <v>0</v>
      </c>
      <c r="J923" s="3">
        <v>353</v>
      </c>
      <c r="K923" s="3">
        <v>627</v>
      </c>
      <c r="L923" s="3">
        <v>1</v>
      </c>
      <c r="M923" s="3">
        <v>1648.422155</v>
      </c>
    </row>
    <row r="924" spans="1:13" ht="14.25" customHeight="1" x14ac:dyDescent="0.2">
      <c r="A924" s="3" t="s">
        <v>1377</v>
      </c>
      <c r="B924" s="3" t="s">
        <v>24</v>
      </c>
      <c r="C924" s="3" t="s">
        <v>32</v>
      </c>
      <c r="D924" s="3" t="s">
        <v>25</v>
      </c>
      <c r="E924" s="3" t="s">
        <v>1166</v>
      </c>
      <c r="F924" s="3" t="s">
        <v>27</v>
      </c>
      <c r="G924" s="3" t="s">
        <v>114</v>
      </c>
      <c r="H924" s="3">
        <v>1399</v>
      </c>
      <c r="I924" s="3">
        <v>0</v>
      </c>
      <c r="J924" s="3">
        <v>895</v>
      </c>
      <c r="K924" s="3">
        <v>1255</v>
      </c>
      <c r="L924" s="3">
        <v>10</v>
      </c>
      <c r="M924" s="3">
        <v>1637.084347</v>
      </c>
    </row>
    <row r="925" spans="1:13" ht="14.25" customHeight="1" x14ac:dyDescent="0.2">
      <c r="A925" s="3" t="s">
        <v>1378</v>
      </c>
      <c r="B925" s="3" t="s">
        <v>24</v>
      </c>
      <c r="C925" s="3" t="s">
        <v>15</v>
      </c>
      <c r="D925" s="3" t="s">
        <v>70</v>
      </c>
      <c r="E925" s="3" t="s">
        <v>831</v>
      </c>
      <c r="F925" s="3" t="s">
        <v>27</v>
      </c>
      <c r="G925" s="3" t="s">
        <v>19</v>
      </c>
      <c r="H925" s="3">
        <v>141157</v>
      </c>
      <c r="I925" s="3">
        <v>0</v>
      </c>
      <c r="J925" s="3">
        <v>8280</v>
      </c>
      <c r="K925" s="3">
        <v>107935</v>
      </c>
      <c r="L925" s="3">
        <v>4</v>
      </c>
      <c r="M925" s="3">
        <v>1631.7829489999999</v>
      </c>
    </row>
    <row r="926" spans="1:13" ht="14.25" customHeight="1" x14ac:dyDescent="0.2">
      <c r="A926" s="3" t="s">
        <v>1379</v>
      </c>
      <c r="B926" s="3" t="s">
        <v>14</v>
      </c>
      <c r="C926" s="3" t="s">
        <v>35</v>
      </c>
      <c r="D926" s="3" t="s">
        <v>45</v>
      </c>
      <c r="E926" s="3" t="s">
        <v>865</v>
      </c>
      <c r="F926" s="3" t="s">
        <v>22</v>
      </c>
      <c r="G926" s="3" t="s">
        <v>19</v>
      </c>
      <c r="H926" s="3">
        <v>597</v>
      </c>
      <c r="I926" s="3">
        <v>0</v>
      </c>
      <c r="J926" s="3">
        <v>157</v>
      </c>
      <c r="K926" s="3">
        <v>296</v>
      </c>
      <c r="L926" s="3">
        <v>8</v>
      </c>
      <c r="M926" s="3">
        <v>1624.2956489999999</v>
      </c>
    </row>
    <row r="927" spans="1:13" ht="14.25" customHeight="1" x14ac:dyDescent="0.2">
      <c r="A927" s="3" t="s">
        <v>1380</v>
      </c>
      <c r="B927" s="3" t="s">
        <v>14</v>
      </c>
      <c r="C927" s="3" t="s">
        <v>29</v>
      </c>
      <c r="D927" s="3" t="s">
        <v>16</v>
      </c>
      <c r="E927" s="3" t="s">
        <v>1381</v>
      </c>
      <c r="F927" s="3" t="s">
        <v>27</v>
      </c>
      <c r="G927" s="3" t="s">
        <v>19</v>
      </c>
      <c r="H927" s="3">
        <v>809</v>
      </c>
      <c r="I927" s="3">
        <v>0</v>
      </c>
      <c r="J927" s="3">
        <v>663</v>
      </c>
      <c r="K927" s="3">
        <v>757</v>
      </c>
      <c r="L927" s="3">
        <v>24</v>
      </c>
      <c r="M927" s="3">
        <v>1622.983583</v>
      </c>
    </row>
    <row r="928" spans="1:13" ht="14.25" customHeight="1" x14ac:dyDescent="0.2">
      <c r="A928" s="3" t="s">
        <v>1382</v>
      </c>
      <c r="B928" s="3" t="s">
        <v>24</v>
      </c>
      <c r="C928" s="3" t="s">
        <v>29</v>
      </c>
      <c r="D928" s="3" t="s">
        <v>84</v>
      </c>
      <c r="E928" s="3" t="s">
        <v>1383</v>
      </c>
      <c r="F928" s="3" t="s">
        <v>27</v>
      </c>
      <c r="G928" s="3" t="s">
        <v>114</v>
      </c>
      <c r="H928" s="3">
        <v>96</v>
      </c>
      <c r="I928" s="3">
        <v>0</v>
      </c>
      <c r="J928" s="3">
        <v>52</v>
      </c>
      <c r="K928" s="3">
        <v>91</v>
      </c>
      <c r="L928" s="3">
        <v>9</v>
      </c>
      <c r="M928" s="3">
        <v>1621.4337829999999</v>
      </c>
    </row>
    <row r="929" spans="1:13" ht="14.25" customHeight="1" x14ac:dyDescent="0.2">
      <c r="A929" s="3" t="s">
        <v>1384</v>
      </c>
      <c r="B929" s="3" t="s">
        <v>24</v>
      </c>
      <c r="C929" s="3" t="s">
        <v>29</v>
      </c>
      <c r="D929" s="3" t="s">
        <v>70</v>
      </c>
      <c r="E929" s="3" t="s">
        <v>1385</v>
      </c>
      <c r="F929" s="3" t="s">
        <v>64</v>
      </c>
      <c r="G929" s="3" t="s">
        <v>19</v>
      </c>
      <c r="H929" s="3">
        <v>538</v>
      </c>
      <c r="I929" s="3">
        <v>0</v>
      </c>
      <c r="J929" s="3">
        <v>435</v>
      </c>
      <c r="K929" s="3">
        <v>499</v>
      </c>
      <c r="L929" s="3">
        <v>3</v>
      </c>
      <c r="M929" s="3">
        <v>1621.341758</v>
      </c>
    </row>
    <row r="930" spans="1:13" ht="14.25" customHeight="1" x14ac:dyDescent="0.2">
      <c r="A930" s="3" t="s">
        <v>1386</v>
      </c>
      <c r="B930" s="3" t="s">
        <v>14</v>
      </c>
      <c r="C930" s="3" t="s">
        <v>32</v>
      </c>
      <c r="D930" s="3" t="s">
        <v>16</v>
      </c>
      <c r="E930" s="3" t="s">
        <v>159</v>
      </c>
      <c r="F930" s="3" t="s">
        <v>27</v>
      </c>
      <c r="G930" s="3" t="s">
        <v>19</v>
      </c>
      <c r="H930" s="3">
        <v>15441</v>
      </c>
      <c r="I930" s="3">
        <v>0</v>
      </c>
      <c r="J930" s="3">
        <v>7626</v>
      </c>
      <c r="K930" s="3">
        <v>14456</v>
      </c>
      <c r="L930" s="3">
        <v>19</v>
      </c>
      <c r="M930" s="3">
        <v>1614.309013</v>
      </c>
    </row>
    <row r="931" spans="1:13" ht="14.25" customHeight="1" x14ac:dyDescent="0.2">
      <c r="A931" s="3" t="s">
        <v>1387</v>
      </c>
      <c r="B931" s="3" t="s">
        <v>14</v>
      </c>
      <c r="C931" s="3" t="s">
        <v>15</v>
      </c>
      <c r="D931" s="3" t="s">
        <v>43</v>
      </c>
      <c r="E931" s="3" t="s">
        <v>1388</v>
      </c>
      <c r="F931" s="3" t="s">
        <v>33</v>
      </c>
      <c r="G931" s="3" t="s">
        <v>19</v>
      </c>
      <c r="H931" s="3">
        <v>37617</v>
      </c>
      <c r="I931" s="3">
        <v>0</v>
      </c>
      <c r="J931" s="3">
        <v>5092</v>
      </c>
      <c r="K931" s="3">
        <v>34373</v>
      </c>
      <c r="L931" s="3">
        <v>1</v>
      </c>
      <c r="M931" s="3">
        <v>1608.8829519999999</v>
      </c>
    </row>
    <row r="932" spans="1:13" ht="14.25" customHeight="1" x14ac:dyDescent="0.2">
      <c r="A932" s="3" t="s">
        <v>1389</v>
      </c>
      <c r="B932" s="3" t="s">
        <v>24</v>
      </c>
      <c r="C932" s="3" t="s">
        <v>35</v>
      </c>
      <c r="D932" s="3" t="s">
        <v>121</v>
      </c>
      <c r="E932" s="3" t="s">
        <v>1390</v>
      </c>
      <c r="F932" s="3" t="s">
        <v>64</v>
      </c>
      <c r="G932" s="3" t="s">
        <v>114</v>
      </c>
      <c r="H932" s="3">
        <v>1352</v>
      </c>
      <c r="I932" s="3">
        <v>0</v>
      </c>
      <c r="J932" s="3">
        <v>328</v>
      </c>
      <c r="K932" s="3">
        <v>448</v>
      </c>
      <c r="L932" s="3">
        <v>2</v>
      </c>
      <c r="M932" s="3">
        <v>1607.552972</v>
      </c>
    </row>
    <row r="933" spans="1:13" ht="14.25" customHeight="1" x14ac:dyDescent="0.2">
      <c r="A933" s="3" t="s">
        <v>1391</v>
      </c>
      <c r="B933" s="3" t="s">
        <v>24</v>
      </c>
      <c r="C933" s="3" t="s">
        <v>35</v>
      </c>
      <c r="D933" s="3" t="s">
        <v>84</v>
      </c>
      <c r="E933" s="3" t="s">
        <v>1392</v>
      </c>
      <c r="F933" s="3" t="s">
        <v>33</v>
      </c>
      <c r="G933" s="3" t="s">
        <v>19</v>
      </c>
      <c r="H933" s="3">
        <v>135</v>
      </c>
      <c r="I933" s="3">
        <v>0</v>
      </c>
      <c r="J933" s="3">
        <v>62</v>
      </c>
      <c r="K933" s="3">
        <v>110</v>
      </c>
      <c r="L933" s="3">
        <v>5</v>
      </c>
      <c r="M933" s="3">
        <v>1597.9572929999999</v>
      </c>
    </row>
    <row r="934" spans="1:13" ht="14.25" customHeight="1" x14ac:dyDescent="0.2">
      <c r="A934" s="3" t="s">
        <v>1393</v>
      </c>
      <c r="B934" s="3" t="s">
        <v>14</v>
      </c>
      <c r="C934" s="3" t="s">
        <v>15</v>
      </c>
      <c r="D934" s="3" t="s">
        <v>86</v>
      </c>
      <c r="E934" s="3" t="s">
        <v>543</v>
      </c>
      <c r="F934" s="3" t="s">
        <v>27</v>
      </c>
      <c r="G934" s="3" t="s">
        <v>19</v>
      </c>
      <c r="H934" s="3">
        <v>304377</v>
      </c>
      <c r="I934" s="3">
        <v>0</v>
      </c>
      <c r="J934" s="3">
        <v>27519</v>
      </c>
      <c r="K934" s="3">
        <v>270098</v>
      </c>
      <c r="L934" s="3">
        <v>63</v>
      </c>
      <c r="M934" s="3">
        <v>1595.48714</v>
      </c>
    </row>
    <row r="935" spans="1:13" ht="14.25" customHeight="1" x14ac:dyDescent="0.2">
      <c r="A935" s="3" t="s">
        <v>1394</v>
      </c>
      <c r="B935" s="3" t="s">
        <v>68</v>
      </c>
      <c r="C935" s="3" t="s">
        <v>35</v>
      </c>
      <c r="D935" s="3" t="s">
        <v>84</v>
      </c>
      <c r="E935" s="3" t="s">
        <v>618</v>
      </c>
      <c r="F935" s="3" t="s">
        <v>1395</v>
      </c>
      <c r="G935" s="3" t="s">
        <v>19</v>
      </c>
      <c r="H935" s="3">
        <v>12459</v>
      </c>
      <c r="I935" s="3">
        <v>0</v>
      </c>
      <c r="J935" s="3">
        <v>7290</v>
      </c>
      <c r="K935" s="3">
        <v>11731</v>
      </c>
      <c r="L935" s="3">
        <v>14</v>
      </c>
      <c r="M935" s="3">
        <v>1593.010399</v>
      </c>
    </row>
    <row r="936" spans="1:13" ht="14.25" customHeight="1" x14ac:dyDescent="0.2">
      <c r="A936" s="3" t="s">
        <v>1396</v>
      </c>
      <c r="B936" s="3" t="s">
        <v>24</v>
      </c>
      <c r="C936" s="3" t="s">
        <v>35</v>
      </c>
      <c r="D936" s="3" t="s">
        <v>91</v>
      </c>
      <c r="E936" s="3" t="s">
        <v>1397</v>
      </c>
      <c r="F936" s="3" t="s">
        <v>41</v>
      </c>
      <c r="G936" s="3" t="s">
        <v>114</v>
      </c>
      <c r="H936" s="3">
        <v>136</v>
      </c>
      <c r="I936" s="3">
        <v>0</v>
      </c>
      <c r="J936" s="3">
        <v>109</v>
      </c>
      <c r="K936" s="3">
        <v>131</v>
      </c>
      <c r="L936" s="3">
        <v>2</v>
      </c>
      <c r="M936" s="3">
        <v>1592.109907</v>
      </c>
    </row>
    <row r="937" spans="1:13" ht="14.25" customHeight="1" x14ac:dyDescent="0.2">
      <c r="A937" s="3" t="s">
        <v>1398</v>
      </c>
      <c r="B937" s="3" t="s">
        <v>24</v>
      </c>
      <c r="C937" s="3" t="s">
        <v>32</v>
      </c>
      <c r="D937" s="3" t="s">
        <v>78</v>
      </c>
      <c r="E937" s="3" t="s">
        <v>998</v>
      </c>
      <c r="F937" s="3" t="s">
        <v>27</v>
      </c>
      <c r="G937" s="3" t="s">
        <v>163</v>
      </c>
      <c r="H937" s="3">
        <v>16719</v>
      </c>
      <c r="I937" s="3">
        <v>0</v>
      </c>
      <c r="J937" s="3">
        <v>9944</v>
      </c>
      <c r="K937" s="3">
        <v>15714</v>
      </c>
      <c r="L937" s="3">
        <v>13</v>
      </c>
      <c r="M937" s="3">
        <v>1588.6475</v>
      </c>
    </row>
    <row r="938" spans="1:13" ht="14.25" customHeight="1" x14ac:dyDescent="0.2">
      <c r="A938" s="3" t="s">
        <v>1399</v>
      </c>
      <c r="B938" s="3" t="s">
        <v>24</v>
      </c>
      <c r="C938" s="3" t="s">
        <v>15</v>
      </c>
      <c r="D938" s="3" t="s">
        <v>66</v>
      </c>
      <c r="E938" s="3" t="s">
        <v>1400</v>
      </c>
      <c r="F938" s="3" t="s">
        <v>27</v>
      </c>
      <c r="G938" s="3" t="s">
        <v>114</v>
      </c>
      <c r="H938" s="3">
        <v>54</v>
      </c>
      <c r="I938" s="3">
        <v>0</v>
      </c>
      <c r="J938" s="3">
        <v>32</v>
      </c>
      <c r="K938" s="3">
        <v>48</v>
      </c>
      <c r="L938" s="3">
        <v>2</v>
      </c>
      <c r="M938" s="3">
        <v>1586.6604420000001</v>
      </c>
    </row>
    <row r="939" spans="1:13" ht="14.25" customHeight="1" x14ac:dyDescent="0.2">
      <c r="A939" s="3" t="s">
        <v>1401</v>
      </c>
      <c r="B939" s="3" t="s">
        <v>14</v>
      </c>
      <c r="C939" s="3" t="s">
        <v>15</v>
      </c>
      <c r="D939" s="3" t="s">
        <v>25</v>
      </c>
      <c r="E939" s="3" t="s">
        <v>263</v>
      </c>
      <c r="F939" s="3" t="s">
        <v>27</v>
      </c>
      <c r="G939" s="3" t="s">
        <v>19</v>
      </c>
      <c r="H939" s="3">
        <v>9222</v>
      </c>
      <c r="I939" s="3">
        <v>0</v>
      </c>
      <c r="J939" s="3">
        <v>5352</v>
      </c>
      <c r="K939" s="3">
        <v>8141</v>
      </c>
      <c r="L939" s="3">
        <v>1</v>
      </c>
      <c r="M939" s="3">
        <v>1583.1643019999999</v>
      </c>
    </row>
    <row r="940" spans="1:13" ht="14.25" customHeight="1" x14ac:dyDescent="0.2">
      <c r="A940" s="3" t="s">
        <v>1402</v>
      </c>
      <c r="B940" s="3" t="s">
        <v>24</v>
      </c>
      <c r="C940" s="3" t="s">
        <v>29</v>
      </c>
      <c r="D940" s="3" t="s">
        <v>36</v>
      </c>
      <c r="E940" s="3" t="s">
        <v>535</v>
      </c>
      <c r="F940" s="3" t="s">
        <v>41</v>
      </c>
      <c r="G940" s="3" t="s">
        <v>19</v>
      </c>
      <c r="H940" s="3">
        <v>14922</v>
      </c>
      <c r="I940" s="3">
        <v>0</v>
      </c>
      <c r="J940" s="3">
        <v>10713</v>
      </c>
      <c r="K940" s="3">
        <v>13992</v>
      </c>
      <c r="L940" s="3">
        <v>1</v>
      </c>
      <c r="M940" s="3">
        <v>1578.876432</v>
      </c>
    </row>
    <row r="941" spans="1:13" ht="14.25" customHeight="1" x14ac:dyDescent="0.2">
      <c r="A941" s="3" t="s">
        <v>1403</v>
      </c>
      <c r="B941" s="3" t="s">
        <v>24</v>
      </c>
      <c r="C941" s="3" t="s">
        <v>15</v>
      </c>
      <c r="D941" s="3" t="s">
        <v>91</v>
      </c>
      <c r="E941" s="3" t="s">
        <v>250</v>
      </c>
      <c r="F941" s="3" t="s">
        <v>41</v>
      </c>
      <c r="G941" s="3" t="s">
        <v>163</v>
      </c>
      <c r="H941" s="3">
        <v>11269</v>
      </c>
      <c r="I941" s="3">
        <v>0</v>
      </c>
      <c r="J941" s="3">
        <v>4992</v>
      </c>
      <c r="K941" s="3">
        <v>10245</v>
      </c>
      <c r="L941" s="3">
        <v>1</v>
      </c>
      <c r="M941" s="3">
        <v>1576.38921</v>
      </c>
    </row>
    <row r="942" spans="1:13" ht="14.25" customHeight="1" x14ac:dyDescent="0.2">
      <c r="A942" s="3" t="s">
        <v>1404</v>
      </c>
      <c r="B942" s="3" t="s">
        <v>24</v>
      </c>
      <c r="C942" s="3" t="s">
        <v>35</v>
      </c>
      <c r="D942" s="3" t="s">
        <v>43</v>
      </c>
      <c r="E942" s="3" t="s">
        <v>119</v>
      </c>
      <c r="F942" s="3" t="s">
        <v>27</v>
      </c>
      <c r="G942" s="3" t="s">
        <v>114</v>
      </c>
      <c r="H942" s="3">
        <v>16808</v>
      </c>
      <c r="I942" s="3">
        <v>0</v>
      </c>
      <c r="J942" s="3">
        <v>9211</v>
      </c>
      <c r="K942" s="3">
        <v>13372</v>
      </c>
      <c r="L942" s="3">
        <v>1</v>
      </c>
      <c r="M942" s="3">
        <v>1574.7912799999999</v>
      </c>
    </row>
    <row r="943" spans="1:13" ht="14.25" customHeight="1" x14ac:dyDescent="0.2">
      <c r="A943" s="3" t="s">
        <v>1405</v>
      </c>
      <c r="B943" s="3" t="s">
        <v>24</v>
      </c>
      <c r="C943" s="3" t="s">
        <v>35</v>
      </c>
      <c r="D943" s="3" t="s">
        <v>16</v>
      </c>
      <c r="E943" s="3" t="s">
        <v>818</v>
      </c>
      <c r="F943" s="3" t="s">
        <v>22</v>
      </c>
      <c r="G943" s="3" t="s">
        <v>163</v>
      </c>
      <c r="H943" s="3">
        <v>18028</v>
      </c>
      <c r="I943" s="3">
        <v>0</v>
      </c>
      <c r="J943" s="3">
        <v>1851</v>
      </c>
      <c r="K943" s="3">
        <v>14926</v>
      </c>
      <c r="L943" s="3">
        <v>24</v>
      </c>
      <c r="M943" s="3">
        <v>1572.24171</v>
      </c>
    </row>
    <row r="944" spans="1:13" ht="14.25" customHeight="1" x14ac:dyDescent="0.2">
      <c r="A944" s="3" t="s">
        <v>1406</v>
      </c>
      <c r="B944" s="3" t="s">
        <v>14</v>
      </c>
      <c r="C944" s="3" t="s">
        <v>29</v>
      </c>
      <c r="D944" s="3" t="s">
        <v>165</v>
      </c>
      <c r="E944" s="3" t="s">
        <v>1381</v>
      </c>
      <c r="F944" s="3" t="s">
        <v>27</v>
      </c>
      <c r="G944" s="3" t="s">
        <v>19</v>
      </c>
      <c r="H944" s="3">
        <v>208</v>
      </c>
      <c r="I944" s="3">
        <v>0</v>
      </c>
      <c r="J944" s="3">
        <v>159</v>
      </c>
      <c r="K944" s="3">
        <v>198</v>
      </c>
      <c r="L944" s="3">
        <v>3</v>
      </c>
      <c r="M944" s="3">
        <v>1567.583439</v>
      </c>
    </row>
    <row r="945" spans="1:13" ht="14.25" customHeight="1" x14ac:dyDescent="0.2">
      <c r="A945" s="3" t="s">
        <v>1407</v>
      </c>
      <c r="B945" s="3" t="s">
        <v>24</v>
      </c>
      <c r="C945" s="3" t="s">
        <v>35</v>
      </c>
      <c r="D945" s="3" t="s">
        <v>66</v>
      </c>
      <c r="E945" s="3" t="s">
        <v>1408</v>
      </c>
      <c r="F945" s="3" t="s">
        <v>22</v>
      </c>
      <c r="G945" s="3" t="s">
        <v>114</v>
      </c>
      <c r="H945" s="3">
        <v>35</v>
      </c>
      <c r="I945" s="3">
        <v>0</v>
      </c>
      <c r="J945" s="3">
        <v>28</v>
      </c>
      <c r="K945" s="3">
        <v>34</v>
      </c>
      <c r="L945" s="3">
        <v>2</v>
      </c>
      <c r="M945" s="3">
        <v>1562.442601</v>
      </c>
    </row>
    <row r="946" spans="1:13" ht="14.25" customHeight="1" x14ac:dyDescent="0.2">
      <c r="A946" s="3" t="s">
        <v>1409</v>
      </c>
      <c r="B946" s="3" t="s">
        <v>24</v>
      </c>
      <c r="C946" s="3" t="s">
        <v>32</v>
      </c>
      <c r="D946" s="3" t="s">
        <v>16</v>
      </c>
      <c r="E946" s="3" t="s">
        <v>1410</v>
      </c>
      <c r="F946" s="3" t="s">
        <v>27</v>
      </c>
      <c r="G946" s="3" t="s">
        <v>19</v>
      </c>
      <c r="H946" s="3">
        <v>183</v>
      </c>
      <c r="I946" s="3">
        <v>0</v>
      </c>
      <c r="J946" s="3">
        <v>140</v>
      </c>
      <c r="K946" s="3">
        <v>162</v>
      </c>
      <c r="L946" s="3">
        <v>3</v>
      </c>
      <c r="M946" s="3">
        <v>1561.9987329999999</v>
      </c>
    </row>
    <row r="947" spans="1:13" ht="14.25" customHeight="1" x14ac:dyDescent="0.2">
      <c r="A947" s="3" t="s">
        <v>1411</v>
      </c>
      <c r="B947" s="3" t="s">
        <v>24</v>
      </c>
      <c r="C947" s="3" t="s">
        <v>35</v>
      </c>
      <c r="D947" s="3" t="s">
        <v>45</v>
      </c>
      <c r="E947" s="3" t="s">
        <v>177</v>
      </c>
      <c r="F947" s="3" t="s">
        <v>22</v>
      </c>
      <c r="G947" s="3" t="s">
        <v>19</v>
      </c>
      <c r="H947" s="3">
        <v>7402</v>
      </c>
      <c r="I947" s="3">
        <v>0</v>
      </c>
      <c r="J947" s="3">
        <v>3860</v>
      </c>
      <c r="K947" s="3">
        <v>6406</v>
      </c>
      <c r="L947" s="3">
        <v>1</v>
      </c>
      <c r="M947" s="3">
        <v>1560.449936</v>
      </c>
    </row>
    <row r="948" spans="1:13" ht="14.25" customHeight="1" x14ac:dyDescent="0.2">
      <c r="A948" s="3" t="s">
        <v>1412</v>
      </c>
      <c r="B948" s="3" t="s">
        <v>14</v>
      </c>
      <c r="C948" s="3" t="s">
        <v>32</v>
      </c>
      <c r="D948" s="3" t="s">
        <v>43</v>
      </c>
      <c r="E948" s="3" t="s">
        <v>825</v>
      </c>
      <c r="F948" s="3" t="s">
        <v>81</v>
      </c>
      <c r="G948" s="3" t="s">
        <v>19</v>
      </c>
      <c r="H948" s="3">
        <v>13592</v>
      </c>
      <c r="I948" s="3">
        <v>0</v>
      </c>
      <c r="J948" s="3">
        <v>7747</v>
      </c>
      <c r="K948" s="3">
        <v>10690</v>
      </c>
      <c r="L948" s="3">
        <v>1</v>
      </c>
      <c r="M948" s="3">
        <v>1555.1120780000001</v>
      </c>
    </row>
    <row r="949" spans="1:13" ht="14.25" customHeight="1" x14ac:dyDescent="0.2">
      <c r="A949" s="3" t="s">
        <v>1413</v>
      </c>
      <c r="B949" s="3" t="s">
        <v>24</v>
      </c>
      <c r="C949" s="3" t="s">
        <v>15</v>
      </c>
      <c r="D949" s="3" t="s">
        <v>91</v>
      </c>
      <c r="E949" s="3" t="s">
        <v>984</v>
      </c>
      <c r="F949" s="3" t="s">
        <v>27</v>
      </c>
      <c r="G949" s="3" t="s">
        <v>19</v>
      </c>
      <c r="H949" s="3">
        <v>11214</v>
      </c>
      <c r="I949" s="3">
        <v>0</v>
      </c>
      <c r="J949" s="3">
        <v>5523</v>
      </c>
      <c r="K949" s="3">
        <v>10267</v>
      </c>
      <c r="L949" s="3">
        <v>1</v>
      </c>
      <c r="M949" s="3">
        <v>1554.3892149999999</v>
      </c>
    </row>
    <row r="950" spans="1:13" ht="14.25" customHeight="1" x14ac:dyDescent="0.2">
      <c r="A950" s="3" t="s">
        <v>1414</v>
      </c>
      <c r="B950" s="3" t="s">
        <v>24</v>
      </c>
      <c r="C950" s="3" t="s">
        <v>29</v>
      </c>
      <c r="D950" s="3" t="s">
        <v>16</v>
      </c>
      <c r="E950" s="3" t="s">
        <v>1415</v>
      </c>
      <c r="F950" s="3" t="s">
        <v>50</v>
      </c>
      <c r="G950" s="3" t="s">
        <v>114</v>
      </c>
      <c r="H950" s="3">
        <v>3323</v>
      </c>
      <c r="I950" s="3">
        <v>0</v>
      </c>
      <c r="J950" s="3">
        <v>1368</v>
      </c>
      <c r="K950" s="3">
        <v>3159</v>
      </c>
      <c r="L950" s="3">
        <v>1</v>
      </c>
      <c r="M950" s="3">
        <v>1553.592901</v>
      </c>
    </row>
    <row r="951" spans="1:13" ht="14.25" customHeight="1" x14ac:dyDescent="0.2">
      <c r="A951" s="3" t="s">
        <v>1416</v>
      </c>
      <c r="B951" s="3" t="s">
        <v>24</v>
      </c>
      <c r="C951" s="3" t="s">
        <v>29</v>
      </c>
      <c r="D951" s="3" t="s">
        <v>43</v>
      </c>
      <c r="E951" s="3" t="s">
        <v>1417</v>
      </c>
      <c r="F951" s="3" t="s">
        <v>27</v>
      </c>
      <c r="G951" s="3" t="s">
        <v>19</v>
      </c>
      <c r="H951" s="3">
        <v>113</v>
      </c>
      <c r="I951" s="3">
        <v>0</v>
      </c>
      <c r="J951" s="3">
        <v>52</v>
      </c>
      <c r="K951" s="3">
        <v>84</v>
      </c>
      <c r="L951" s="3">
        <v>3</v>
      </c>
      <c r="M951" s="3">
        <v>1552.9681149999999</v>
      </c>
    </row>
    <row r="952" spans="1:13" ht="14.25" customHeight="1" x14ac:dyDescent="0.2">
      <c r="A952" s="3" t="s">
        <v>1418</v>
      </c>
      <c r="B952" s="3" t="s">
        <v>24</v>
      </c>
      <c r="C952" s="3" t="s">
        <v>29</v>
      </c>
      <c r="D952" s="3" t="s">
        <v>16</v>
      </c>
      <c r="E952" s="3" t="s">
        <v>543</v>
      </c>
      <c r="F952" s="3" t="s">
        <v>27</v>
      </c>
      <c r="G952" s="3" t="s">
        <v>19</v>
      </c>
      <c r="H952" s="3">
        <v>312206</v>
      </c>
      <c r="I952" s="3">
        <v>0</v>
      </c>
      <c r="J952" s="3">
        <v>35661</v>
      </c>
      <c r="K952" s="3">
        <v>292992</v>
      </c>
      <c r="L952" s="3">
        <v>4</v>
      </c>
      <c r="M952" s="3">
        <v>1550.938318</v>
      </c>
    </row>
    <row r="953" spans="1:13" ht="14.25" customHeight="1" x14ac:dyDescent="0.2">
      <c r="A953" s="3" t="s">
        <v>1419</v>
      </c>
      <c r="B953" s="3" t="s">
        <v>14</v>
      </c>
      <c r="C953" s="3" t="s">
        <v>29</v>
      </c>
      <c r="D953" s="3" t="s">
        <v>16</v>
      </c>
      <c r="E953" s="3" t="s">
        <v>1351</v>
      </c>
      <c r="F953" s="3" t="s">
        <v>41</v>
      </c>
      <c r="G953" s="3" t="s">
        <v>19</v>
      </c>
      <c r="H953" s="3">
        <v>6114</v>
      </c>
      <c r="I953" s="3">
        <v>0</v>
      </c>
      <c r="J953" s="3">
        <v>3803</v>
      </c>
      <c r="K953" s="3">
        <v>5667</v>
      </c>
      <c r="L953" s="3">
        <v>2</v>
      </c>
      <c r="M953" s="3">
        <v>1541.792535</v>
      </c>
    </row>
    <row r="954" spans="1:13" ht="14.25" customHeight="1" x14ac:dyDescent="0.2">
      <c r="A954" s="3" t="s">
        <v>1420</v>
      </c>
      <c r="B954" s="3" t="s">
        <v>24</v>
      </c>
      <c r="C954" s="3" t="s">
        <v>15</v>
      </c>
      <c r="D954" s="3" t="s">
        <v>45</v>
      </c>
      <c r="E954" s="3" t="s">
        <v>1421</v>
      </c>
      <c r="F954" s="3" t="s">
        <v>27</v>
      </c>
      <c r="G954" s="3" t="s">
        <v>19</v>
      </c>
      <c r="H954" s="3">
        <v>2972</v>
      </c>
      <c r="I954" s="3">
        <v>0</v>
      </c>
      <c r="J954" s="3">
        <v>1701</v>
      </c>
      <c r="K954" s="3">
        <v>2675</v>
      </c>
      <c r="L954" s="3">
        <v>13</v>
      </c>
      <c r="M954" s="3">
        <v>1534.5344930000001</v>
      </c>
    </row>
    <row r="955" spans="1:13" ht="14.25" customHeight="1" x14ac:dyDescent="0.2">
      <c r="A955" s="3" t="s">
        <v>1422</v>
      </c>
      <c r="B955" s="3" t="s">
        <v>24</v>
      </c>
      <c r="C955" s="3" t="s">
        <v>29</v>
      </c>
      <c r="D955" s="3" t="s">
        <v>60</v>
      </c>
      <c r="E955" s="3" t="s">
        <v>1423</v>
      </c>
      <c r="F955" s="3" t="s">
        <v>41</v>
      </c>
      <c r="G955" s="3" t="s">
        <v>19</v>
      </c>
      <c r="H955" s="3">
        <v>694</v>
      </c>
      <c r="I955" s="3">
        <v>0</v>
      </c>
      <c r="J955" s="3">
        <v>154</v>
      </c>
      <c r="K955" s="3">
        <v>625</v>
      </c>
      <c r="L955" s="3">
        <v>3</v>
      </c>
      <c r="M955" s="3">
        <v>1534.041837</v>
      </c>
    </row>
    <row r="956" spans="1:13" ht="14.25" customHeight="1" x14ac:dyDescent="0.2">
      <c r="A956" s="3" t="s">
        <v>1424</v>
      </c>
      <c r="B956" s="3" t="s">
        <v>14</v>
      </c>
      <c r="C956" s="3" t="s">
        <v>15</v>
      </c>
      <c r="D956" s="3" t="s">
        <v>447</v>
      </c>
      <c r="E956" s="3" t="s">
        <v>1425</v>
      </c>
      <c r="F956" s="3" t="s">
        <v>22</v>
      </c>
      <c r="G956" s="3" t="s">
        <v>19</v>
      </c>
      <c r="H956" s="3">
        <v>43</v>
      </c>
      <c r="I956" s="3">
        <v>0</v>
      </c>
      <c r="J956" s="3">
        <v>26</v>
      </c>
      <c r="K956" s="3">
        <v>40</v>
      </c>
      <c r="L956" s="3">
        <v>10</v>
      </c>
      <c r="M956" s="3">
        <v>1533.0003939999999</v>
      </c>
    </row>
    <row r="957" spans="1:13" ht="14.25" customHeight="1" x14ac:dyDescent="0.2">
      <c r="A957" s="3" t="s">
        <v>1426</v>
      </c>
      <c r="B957" s="3" t="s">
        <v>14</v>
      </c>
      <c r="C957" s="3" t="s">
        <v>29</v>
      </c>
      <c r="D957" s="3" t="s">
        <v>25</v>
      </c>
      <c r="E957" s="3" t="s">
        <v>1427</v>
      </c>
      <c r="F957" s="3" t="s">
        <v>27</v>
      </c>
      <c r="G957" s="3" t="s">
        <v>19</v>
      </c>
      <c r="H957" s="3">
        <v>1575</v>
      </c>
      <c r="I957" s="3">
        <v>0</v>
      </c>
      <c r="J957" s="3">
        <v>833</v>
      </c>
      <c r="K957" s="3">
        <v>1487</v>
      </c>
      <c r="L957" s="3">
        <v>24</v>
      </c>
      <c r="M957" s="3">
        <v>1526.831549</v>
      </c>
    </row>
    <row r="958" spans="1:13" ht="14.25" customHeight="1" x14ac:dyDescent="0.2">
      <c r="A958" s="3" t="s">
        <v>1428</v>
      </c>
      <c r="B958" s="3" t="s">
        <v>68</v>
      </c>
      <c r="C958" s="3" t="s">
        <v>15</v>
      </c>
      <c r="D958" s="3" t="s">
        <v>398</v>
      </c>
      <c r="E958" s="3" t="s">
        <v>1429</v>
      </c>
      <c r="F958" s="3" t="s">
        <v>27</v>
      </c>
      <c r="G958" s="3" t="s">
        <v>19</v>
      </c>
      <c r="H958" s="3">
        <v>9946</v>
      </c>
      <c r="I958" s="3">
        <v>0</v>
      </c>
      <c r="J958" s="3">
        <v>4818</v>
      </c>
      <c r="K958" s="3">
        <v>7382</v>
      </c>
      <c r="L958" s="3">
        <v>1</v>
      </c>
      <c r="M958" s="3">
        <v>1525.962329</v>
      </c>
    </row>
    <row r="959" spans="1:13" ht="14.25" customHeight="1" x14ac:dyDescent="0.2">
      <c r="A959" s="3" t="s">
        <v>1430</v>
      </c>
      <c r="B959" s="3" t="s">
        <v>24</v>
      </c>
      <c r="C959" s="3" t="s">
        <v>29</v>
      </c>
      <c r="D959" s="3" t="s">
        <v>45</v>
      </c>
      <c r="E959" s="3" t="s">
        <v>1431</v>
      </c>
      <c r="F959" s="3" t="s">
        <v>27</v>
      </c>
      <c r="G959" s="3" t="s">
        <v>19</v>
      </c>
      <c r="H959" s="3">
        <v>195</v>
      </c>
      <c r="I959" s="3">
        <v>0</v>
      </c>
      <c r="J959" s="3">
        <v>145</v>
      </c>
      <c r="K959" s="3">
        <v>185</v>
      </c>
      <c r="L959" s="3">
        <v>8</v>
      </c>
      <c r="M959" s="3">
        <v>1523.092191</v>
      </c>
    </row>
    <row r="960" spans="1:13" ht="14.25" customHeight="1" x14ac:dyDescent="0.2">
      <c r="A960" s="3" t="s">
        <v>1432</v>
      </c>
      <c r="B960" s="3" t="s">
        <v>14</v>
      </c>
      <c r="C960" s="3" t="s">
        <v>15</v>
      </c>
      <c r="D960" s="3" t="s">
        <v>84</v>
      </c>
      <c r="E960" s="3" t="s">
        <v>998</v>
      </c>
      <c r="F960" s="3" t="s">
        <v>41</v>
      </c>
      <c r="G960" s="3" t="s">
        <v>19</v>
      </c>
      <c r="H960" s="3">
        <v>12592</v>
      </c>
      <c r="I960" s="3">
        <v>0</v>
      </c>
      <c r="J960" s="3">
        <v>7472</v>
      </c>
      <c r="K960" s="3">
        <v>11687</v>
      </c>
      <c r="L960" s="3">
        <v>1</v>
      </c>
      <c r="M960" s="3">
        <v>1521.185189</v>
      </c>
    </row>
    <row r="961" spans="1:13" ht="14.25" customHeight="1" x14ac:dyDescent="0.2">
      <c r="A961" s="3" t="s">
        <v>1433</v>
      </c>
      <c r="B961" s="3" t="s">
        <v>24</v>
      </c>
      <c r="C961" s="3" t="s">
        <v>29</v>
      </c>
      <c r="D961" s="3" t="s">
        <v>151</v>
      </c>
      <c r="E961" s="3" t="s">
        <v>1434</v>
      </c>
      <c r="F961" s="3" t="s">
        <v>33</v>
      </c>
      <c r="G961" s="3" t="s">
        <v>114</v>
      </c>
      <c r="H961" s="3">
        <v>1530</v>
      </c>
      <c r="I961" s="3">
        <v>0</v>
      </c>
      <c r="J961" s="3">
        <v>999</v>
      </c>
      <c r="K961" s="3">
        <v>1423</v>
      </c>
      <c r="L961" s="3">
        <v>15</v>
      </c>
      <c r="M961" s="3">
        <v>1518.6707140000001</v>
      </c>
    </row>
    <row r="962" spans="1:13" ht="14.25" customHeight="1" x14ac:dyDescent="0.2">
      <c r="A962" s="3" t="s">
        <v>1435</v>
      </c>
      <c r="B962" s="3" t="s">
        <v>24</v>
      </c>
      <c r="C962" s="3" t="s">
        <v>35</v>
      </c>
      <c r="D962" s="3" t="s">
        <v>86</v>
      </c>
      <c r="E962" s="3" t="s">
        <v>1436</v>
      </c>
      <c r="F962" s="3" t="s">
        <v>22</v>
      </c>
      <c r="G962" s="3" t="s">
        <v>19</v>
      </c>
      <c r="H962" s="3">
        <v>1809</v>
      </c>
      <c r="I962" s="3">
        <v>0</v>
      </c>
      <c r="J962" s="3">
        <v>723</v>
      </c>
      <c r="K962" s="3">
        <v>863</v>
      </c>
      <c r="L962" s="3">
        <v>7</v>
      </c>
      <c r="M962" s="3">
        <v>1512.811528</v>
      </c>
    </row>
    <row r="963" spans="1:13" ht="14.25" customHeight="1" x14ac:dyDescent="0.2">
      <c r="A963" s="3" t="s">
        <v>1437</v>
      </c>
      <c r="B963" s="3" t="s">
        <v>68</v>
      </c>
      <c r="C963" s="3" t="s">
        <v>35</v>
      </c>
      <c r="D963" s="3" t="s">
        <v>228</v>
      </c>
      <c r="E963" s="3" t="s">
        <v>543</v>
      </c>
      <c r="F963" s="3" t="s">
        <v>50</v>
      </c>
      <c r="G963" s="3" t="s">
        <v>19</v>
      </c>
      <c r="H963" s="3">
        <v>130602</v>
      </c>
      <c r="I963" s="3">
        <v>0</v>
      </c>
      <c r="J963" s="3">
        <v>11736</v>
      </c>
      <c r="K963" s="3">
        <v>113735</v>
      </c>
      <c r="L963" s="3">
        <v>4</v>
      </c>
      <c r="M963" s="3">
        <v>1507.8471199999999</v>
      </c>
    </row>
    <row r="964" spans="1:13" ht="14.25" customHeight="1" x14ac:dyDescent="0.2">
      <c r="A964" s="3" t="s">
        <v>1438</v>
      </c>
      <c r="B964" s="3" t="s">
        <v>14</v>
      </c>
      <c r="C964" s="3" t="s">
        <v>35</v>
      </c>
      <c r="D964" s="3" t="s">
        <v>121</v>
      </c>
      <c r="E964" s="3" t="s">
        <v>618</v>
      </c>
      <c r="F964" s="3" t="s">
        <v>22</v>
      </c>
      <c r="G964" s="3" t="s">
        <v>19</v>
      </c>
      <c r="H964" s="3">
        <v>32714</v>
      </c>
      <c r="I964" s="3">
        <v>0</v>
      </c>
      <c r="J964" s="3">
        <v>3756</v>
      </c>
      <c r="K964" s="3">
        <v>30764</v>
      </c>
      <c r="L964" s="3">
        <v>15</v>
      </c>
      <c r="M964" s="3">
        <v>1506.6243039999999</v>
      </c>
    </row>
    <row r="965" spans="1:13" ht="14.25" customHeight="1" x14ac:dyDescent="0.2">
      <c r="A965" s="3" t="s">
        <v>1439</v>
      </c>
      <c r="B965" s="3" t="s">
        <v>14</v>
      </c>
      <c r="C965" s="3" t="s">
        <v>32</v>
      </c>
      <c r="D965" s="3" t="s">
        <v>70</v>
      </c>
      <c r="E965" s="3" t="s">
        <v>1440</v>
      </c>
      <c r="F965" s="3" t="s">
        <v>287</v>
      </c>
      <c r="G965" s="3" t="s">
        <v>19</v>
      </c>
      <c r="H965" s="3">
        <v>7201</v>
      </c>
      <c r="I965" s="3">
        <v>0</v>
      </c>
      <c r="J965" s="3">
        <v>3484</v>
      </c>
      <c r="K965" s="3">
        <v>6614</v>
      </c>
      <c r="L965" s="3">
        <v>1</v>
      </c>
      <c r="M965" s="3">
        <v>1506.2660000000001</v>
      </c>
    </row>
    <row r="966" spans="1:13" ht="14.25" customHeight="1" x14ac:dyDescent="0.2">
      <c r="A966" s="3" t="s">
        <v>1441</v>
      </c>
      <c r="B966" s="3" t="s">
        <v>24</v>
      </c>
      <c r="C966" s="3" t="s">
        <v>15</v>
      </c>
      <c r="D966" s="3" t="s">
        <v>45</v>
      </c>
      <c r="E966" s="3" t="s">
        <v>1351</v>
      </c>
      <c r="F966" s="3" t="s">
        <v>27</v>
      </c>
      <c r="G966" s="3" t="s">
        <v>19</v>
      </c>
      <c r="H966" s="3">
        <v>14984</v>
      </c>
      <c r="I966" s="3">
        <v>0</v>
      </c>
      <c r="J966" s="3">
        <v>9614</v>
      </c>
      <c r="K966" s="3">
        <v>14086</v>
      </c>
      <c r="L966" s="3">
        <v>3</v>
      </c>
      <c r="M966" s="3">
        <v>1505.0096349999999</v>
      </c>
    </row>
    <row r="967" spans="1:13" ht="14.25" customHeight="1" x14ac:dyDescent="0.2">
      <c r="A967" s="3" t="s">
        <v>1442</v>
      </c>
      <c r="B967" s="3" t="s">
        <v>24</v>
      </c>
      <c r="C967" s="3" t="s">
        <v>32</v>
      </c>
      <c r="D967" s="3" t="s">
        <v>78</v>
      </c>
      <c r="E967" s="3" t="s">
        <v>535</v>
      </c>
      <c r="F967" s="3" t="s">
        <v>27</v>
      </c>
      <c r="G967" s="3" t="s">
        <v>19</v>
      </c>
      <c r="H967" s="3">
        <v>7427</v>
      </c>
      <c r="I967" s="3">
        <v>0</v>
      </c>
      <c r="J967" s="3">
        <v>4752</v>
      </c>
      <c r="K967" s="3">
        <v>6566</v>
      </c>
      <c r="L967" s="3">
        <v>1</v>
      </c>
      <c r="M967" s="3">
        <v>1504.784161</v>
      </c>
    </row>
    <row r="968" spans="1:13" ht="14.25" customHeight="1" x14ac:dyDescent="0.2">
      <c r="A968" s="3" t="s">
        <v>1443</v>
      </c>
      <c r="B968" s="3" t="s">
        <v>14</v>
      </c>
      <c r="C968" s="3" t="s">
        <v>35</v>
      </c>
      <c r="D968" s="3" t="s">
        <v>70</v>
      </c>
      <c r="E968" s="3" t="s">
        <v>79</v>
      </c>
      <c r="F968" s="3" t="s">
        <v>27</v>
      </c>
      <c r="G968" s="3" t="s">
        <v>19</v>
      </c>
      <c r="H968" s="3">
        <v>292885</v>
      </c>
      <c r="I968" s="3">
        <v>0</v>
      </c>
      <c r="J968" s="3">
        <v>12733</v>
      </c>
      <c r="K968" s="3">
        <v>203986</v>
      </c>
      <c r="L968" s="3">
        <v>4</v>
      </c>
      <c r="M968" s="3">
        <v>1503.9130540000001</v>
      </c>
    </row>
    <row r="969" spans="1:13" ht="14.25" customHeight="1" x14ac:dyDescent="0.2">
      <c r="A969" s="3" t="s">
        <v>1444</v>
      </c>
      <c r="B969" s="3" t="s">
        <v>68</v>
      </c>
      <c r="C969" s="3" t="s">
        <v>15</v>
      </c>
      <c r="D969" s="3" t="s">
        <v>43</v>
      </c>
      <c r="E969" s="3" t="s">
        <v>657</v>
      </c>
      <c r="F969" s="3" t="s">
        <v>27</v>
      </c>
      <c r="G969" s="3" t="s">
        <v>19</v>
      </c>
      <c r="H969" s="3">
        <v>9178</v>
      </c>
      <c r="I969" s="3">
        <v>0</v>
      </c>
      <c r="J969" s="3">
        <v>4644</v>
      </c>
      <c r="K969" s="3">
        <v>8462</v>
      </c>
      <c r="L969" s="3">
        <v>1</v>
      </c>
      <c r="M969" s="3">
        <v>1503.205183</v>
      </c>
    </row>
    <row r="970" spans="1:13" ht="14.25" customHeight="1" x14ac:dyDescent="0.2">
      <c r="A970" s="3" t="s">
        <v>1445</v>
      </c>
      <c r="B970" s="3" t="s">
        <v>14</v>
      </c>
      <c r="C970" s="3" t="s">
        <v>35</v>
      </c>
      <c r="D970" s="3" t="s">
        <v>86</v>
      </c>
      <c r="E970" s="3" t="s">
        <v>1446</v>
      </c>
      <c r="F970" s="3" t="s">
        <v>197</v>
      </c>
      <c r="G970" s="3" t="s">
        <v>19</v>
      </c>
      <c r="H970" s="3">
        <v>16956</v>
      </c>
      <c r="I970" s="3">
        <v>0</v>
      </c>
      <c r="J970" s="3">
        <v>7553</v>
      </c>
      <c r="K970" s="3">
        <v>15201</v>
      </c>
      <c r="L970" s="3">
        <v>3</v>
      </c>
      <c r="M970" s="3">
        <v>1502.6801390000001</v>
      </c>
    </row>
    <row r="971" spans="1:13" ht="14.25" customHeight="1" x14ac:dyDescent="0.2">
      <c r="A971" s="3" t="s">
        <v>1447</v>
      </c>
      <c r="B971" s="3" t="s">
        <v>14</v>
      </c>
      <c r="C971" s="3" t="s">
        <v>15</v>
      </c>
      <c r="D971" s="3" t="s">
        <v>228</v>
      </c>
      <c r="E971" s="3" t="s">
        <v>733</v>
      </c>
      <c r="F971" s="3" t="s">
        <v>41</v>
      </c>
      <c r="G971" s="3" t="s">
        <v>19</v>
      </c>
      <c r="H971" s="3">
        <v>19344</v>
      </c>
      <c r="I971" s="3">
        <v>0</v>
      </c>
      <c r="J971" s="3">
        <v>2353</v>
      </c>
      <c r="K971" s="3">
        <v>18261</v>
      </c>
      <c r="L971" s="3">
        <v>10</v>
      </c>
      <c r="M971" s="3">
        <v>1500.722291</v>
      </c>
    </row>
    <row r="972" spans="1:13" ht="14.25" customHeight="1" x14ac:dyDescent="0.2">
      <c r="A972" s="3" t="s">
        <v>1448</v>
      </c>
      <c r="B972" s="3" t="s">
        <v>14</v>
      </c>
      <c r="C972" s="3" t="s">
        <v>15</v>
      </c>
      <c r="D972" s="3" t="s">
        <v>16</v>
      </c>
      <c r="E972" s="3" t="s">
        <v>1449</v>
      </c>
      <c r="F972" s="3" t="s">
        <v>22</v>
      </c>
      <c r="G972" s="3" t="s">
        <v>19</v>
      </c>
      <c r="H972" s="3">
        <v>1141</v>
      </c>
      <c r="I972" s="3">
        <v>0</v>
      </c>
      <c r="J972" s="3">
        <v>671</v>
      </c>
      <c r="K972" s="3">
        <v>998</v>
      </c>
      <c r="L972" s="3">
        <v>11</v>
      </c>
      <c r="M972" s="3">
        <v>1499.7825780000001</v>
      </c>
    </row>
    <row r="973" spans="1:13" ht="14.25" customHeight="1" x14ac:dyDescent="0.2">
      <c r="A973" s="3" t="s">
        <v>1450</v>
      </c>
      <c r="B973" s="3" t="s">
        <v>68</v>
      </c>
      <c r="C973" s="3" t="s">
        <v>15</v>
      </c>
      <c r="D973" s="3" t="s">
        <v>84</v>
      </c>
      <c r="E973" s="3" t="s">
        <v>1451</v>
      </c>
      <c r="F973" s="3" t="s">
        <v>22</v>
      </c>
      <c r="G973" s="3" t="s">
        <v>19</v>
      </c>
      <c r="H973" s="3">
        <v>6298</v>
      </c>
      <c r="I973" s="3">
        <v>0</v>
      </c>
      <c r="J973" s="3">
        <v>3345</v>
      </c>
      <c r="K973" s="3">
        <v>4451</v>
      </c>
      <c r="L973" s="3">
        <v>2</v>
      </c>
      <c r="M973" s="3">
        <v>1499.347966</v>
      </c>
    </row>
    <row r="974" spans="1:13" ht="14.25" customHeight="1" x14ac:dyDescent="0.2">
      <c r="A974" s="3" t="s">
        <v>1452</v>
      </c>
      <c r="B974" s="3" t="s">
        <v>24</v>
      </c>
      <c r="C974" s="3" t="s">
        <v>35</v>
      </c>
      <c r="D974" s="3" t="s">
        <v>43</v>
      </c>
      <c r="E974" s="3" t="s">
        <v>1453</v>
      </c>
      <c r="F974" s="3" t="s">
        <v>22</v>
      </c>
      <c r="G974" s="3" t="s">
        <v>114</v>
      </c>
      <c r="H974" s="3">
        <v>1446</v>
      </c>
      <c r="I974" s="3">
        <v>0</v>
      </c>
      <c r="J974" s="3">
        <v>948</v>
      </c>
      <c r="K974" s="3">
        <v>1314</v>
      </c>
      <c r="L974" s="3">
        <v>1</v>
      </c>
      <c r="M974" s="3">
        <v>1498.586601</v>
      </c>
    </row>
    <row r="975" spans="1:13" ht="14.25" customHeight="1" x14ac:dyDescent="0.2">
      <c r="A975" s="3" t="s">
        <v>1454</v>
      </c>
      <c r="B975" s="3" t="s">
        <v>14</v>
      </c>
      <c r="C975" s="3" t="s">
        <v>29</v>
      </c>
      <c r="D975" s="3" t="s">
        <v>1455</v>
      </c>
      <c r="E975" s="3" t="s">
        <v>1456</v>
      </c>
      <c r="F975" s="3" t="s">
        <v>22</v>
      </c>
      <c r="G975" s="3" t="s">
        <v>19</v>
      </c>
      <c r="H975" s="3">
        <v>64</v>
      </c>
      <c r="I975" s="3">
        <v>0</v>
      </c>
      <c r="J975" s="3">
        <v>44</v>
      </c>
      <c r="K975" s="3">
        <v>53</v>
      </c>
      <c r="L975" s="3">
        <v>1</v>
      </c>
      <c r="M975" s="3">
        <v>1495.2285810000001</v>
      </c>
    </row>
    <row r="976" spans="1:13" ht="14.25" customHeight="1" x14ac:dyDescent="0.2">
      <c r="A976" s="3" t="s">
        <v>1457</v>
      </c>
      <c r="B976" s="3" t="s">
        <v>14</v>
      </c>
      <c r="C976" s="3" t="s">
        <v>29</v>
      </c>
      <c r="D976" s="3" t="s">
        <v>16</v>
      </c>
      <c r="E976" s="3" t="s">
        <v>191</v>
      </c>
      <c r="F976" s="3" t="s">
        <v>27</v>
      </c>
      <c r="G976" s="3" t="s">
        <v>19</v>
      </c>
      <c r="H976" s="3">
        <v>22163</v>
      </c>
      <c r="I976" s="3">
        <v>0</v>
      </c>
      <c r="J976" s="3">
        <v>2368</v>
      </c>
      <c r="K976" s="3">
        <v>8130</v>
      </c>
      <c r="L976" s="3">
        <v>1</v>
      </c>
      <c r="M976" s="3">
        <v>1493.7793280000001</v>
      </c>
    </row>
    <row r="977" spans="1:13" ht="14.25" customHeight="1" x14ac:dyDescent="0.2">
      <c r="A977" s="3" t="s">
        <v>1458</v>
      </c>
      <c r="B977" s="3" t="s">
        <v>14</v>
      </c>
      <c r="C977" s="3" t="s">
        <v>35</v>
      </c>
      <c r="D977" s="3" t="s">
        <v>16</v>
      </c>
      <c r="E977" s="3" t="s">
        <v>1459</v>
      </c>
      <c r="F977" s="3" t="s">
        <v>38</v>
      </c>
      <c r="G977" s="3" t="s">
        <v>19</v>
      </c>
      <c r="H977" s="3">
        <v>1596</v>
      </c>
      <c r="I977" s="3">
        <v>0</v>
      </c>
      <c r="J977" s="3">
        <v>473</v>
      </c>
      <c r="K977" s="3">
        <v>1454</v>
      </c>
      <c r="L977" s="3">
        <v>24</v>
      </c>
      <c r="M977" s="3">
        <v>1493.308158</v>
      </c>
    </row>
    <row r="978" spans="1:13" ht="14.25" customHeight="1" x14ac:dyDescent="0.2">
      <c r="A978" s="3" t="s">
        <v>593</v>
      </c>
      <c r="B978" s="3" t="s">
        <v>24</v>
      </c>
      <c r="C978" s="3" t="s">
        <v>32</v>
      </c>
      <c r="D978" s="3" t="s">
        <v>60</v>
      </c>
      <c r="E978" s="3" t="s">
        <v>1460</v>
      </c>
      <c r="F978" s="3" t="s">
        <v>27</v>
      </c>
      <c r="G978" s="3" t="s">
        <v>19</v>
      </c>
      <c r="H978" s="3">
        <v>868</v>
      </c>
      <c r="I978" s="3">
        <v>0</v>
      </c>
      <c r="J978" s="3">
        <v>404</v>
      </c>
      <c r="K978" s="3">
        <v>597</v>
      </c>
      <c r="L978" s="3">
        <v>4</v>
      </c>
      <c r="M978" s="3">
        <v>1492.225013</v>
      </c>
    </row>
    <row r="979" spans="1:13" ht="14.25" customHeight="1" x14ac:dyDescent="0.2">
      <c r="A979" s="3" t="s">
        <v>1461</v>
      </c>
      <c r="B979" s="3" t="s">
        <v>14</v>
      </c>
      <c r="C979" s="3" t="s">
        <v>15</v>
      </c>
      <c r="D979" s="3" t="s">
        <v>1462</v>
      </c>
      <c r="E979" s="3" t="s">
        <v>1463</v>
      </c>
      <c r="F979" s="3" t="s">
        <v>27</v>
      </c>
      <c r="G979" s="3" t="s">
        <v>19</v>
      </c>
      <c r="H979" s="3">
        <v>53</v>
      </c>
      <c r="I979" s="3">
        <v>0</v>
      </c>
      <c r="J979" s="3">
        <v>34</v>
      </c>
      <c r="K979" s="3">
        <v>50</v>
      </c>
      <c r="L979" s="3">
        <v>11</v>
      </c>
      <c r="M979" s="3">
        <v>1491.1204029999999</v>
      </c>
    </row>
    <row r="980" spans="1:13" ht="14.25" customHeight="1" x14ac:dyDescent="0.2">
      <c r="A980" s="3" t="s">
        <v>1464</v>
      </c>
      <c r="B980" s="3" t="s">
        <v>14</v>
      </c>
      <c r="C980" s="3" t="s">
        <v>29</v>
      </c>
      <c r="D980" s="3" t="s">
        <v>25</v>
      </c>
      <c r="E980" s="3" t="s">
        <v>1465</v>
      </c>
      <c r="F980" s="3" t="s">
        <v>27</v>
      </c>
      <c r="G980" s="3" t="s">
        <v>19</v>
      </c>
      <c r="H980" s="3">
        <v>149</v>
      </c>
      <c r="I980" s="3">
        <v>0</v>
      </c>
      <c r="J980" s="3">
        <v>65</v>
      </c>
      <c r="K980" s="3">
        <v>205</v>
      </c>
      <c r="L980" s="3">
        <v>19</v>
      </c>
      <c r="M980" s="3">
        <v>1490.3854289999999</v>
      </c>
    </row>
    <row r="981" spans="1:13" ht="14.25" customHeight="1" x14ac:dyDescent="0.2">
      <c r="A981" s="3" t="s">
        <v>1466</v>
      </c>
      <c r="B981" s="3" t="s">
        <v>68</v>
      </c>
      <c r="C981" s="3" t="s">
        <v>32</v>
      </c>
      <c r="D981" s="3" t="s">
        <v>84</v>
      </c>
      <c r="E981" s="3" t="s">
        <v>46</v>
      </c>
      <c r="F981" s="3" t="s">
        <v>38</v>
      </c>
      <c r="G981" s="3" t="s">
        <v>19</v>
      </c>
      <c r="H981" s="3">
        <v>1443</v>
      </c>
      <c r="I981" s="3">
        <v>0</v>
      </c>
      <c r="J981" s="3">
        <v>1179</v>
      </c>
      <c r="K981" s="3">
        <v>1293</v>
      </c>
      <c r="L981" s="3">
        <v>1</v>
      </c>
      <c r="M981" s="3">
        <v>1487.0267369999999</v>
      </c>
    </row>
    <row r="982" spans="1:13" ht="14.25" customHeight="1" x14ac:dyDescent="0.2">
      <c r="A982" s="3" t="s">
        <v>1467</v>
      </c>
      <c r="B982" s="3" t="s">
        <v>24</v>
      </c>
      <c r="C982" s="3" t="s">
        <v>15</v>
      </c>
      <c r="D982" s="3" t="s">
        <v>21</v>
      </c>
      <c r="E982" s="3" t="s">
        <v>1468</v>
      </c>
      <c r="F982" s="3" t="s">
        <v>81</v>
      </c>
      <c r="G982" s="3" t="s">
        <v>163</v>
      </c>
      <c r="H982" s="3">
        <v>5772</v>
      </c>
      <c r="I982" s="3">
        <v>0</v>
      </c>
      <c r="J982" s="3">
        <v>894</v>
      </c>
      <c r="K982" s="3">
        <v>4612</v>
      </c>
      <c r="L982" s="3">
        <v>6</v>
      </c>
      <c r="M982" s="3">
        <v>1485.0566060000001</v>
      </c>
    </row>
    <row r="983" spans="1:13" ht="14.25" customHeight="1" x14ac:dyDescent="0.2">
      <c r="A983" s="3" t="s">
        <v>1469</v>
      </c>
      <c r="B983" s="3" t="s">
        <v>14</v>
      </c>
      <c r="C983" s="3" t="s">
        <v>32</v>
      </c>
      <c r="D983" s="3" t="s">
        <v>121</v>
      </c>
      <c r="E983" s="3" t="s">
        <v>1449</v>
      </c>
      <c r="F983" s="3" t="s">
        <v>323</v>
      </c>
      <c r="G983" s="3" t="s">
        <v>19</v>
      </c>
      <c r="H983" s="3">
        <v>1621</v>
      </c>
      <c r="I983" s="3">
        <v>0</v>
      </c>
      <c r="J983" s="3">
        <v>1247</v>
      </c>
      <c r="K983" s="3">
        <v>1526</v>
      </c>
      <c r="L983" s="3">
        <v>1</v>
      </c>
      <c r="M983" s="3">
        <v>1479.823132</v>
      </c>
    </row>
    <row r="984" spans="1:13" ht="14.25" customHeight="1" x14ac:dyDescent="0.2">
      <c r="A984" s="3" t="s">
        <v>1470</v>
      </c>
      <c r="B984" s="3" t="s">
        <v>14</v>
      </c>
      <c r="C984" s="3" t="s">
        <v>35</v>
      </c>
      <c r="D984" s="3" t="s">
        <v>86</v>
      </c>
      <c r="E984" s="3" t="s">
        <v>1471</v>
      </c>
      <c r="F984" s="3" t="s">
        <v>27</v>
      </c>
      <c r="G984" s="3" t="s">
        <v>19</v>
      </c>
      <c r="H984" s="3">
        <v>770</v>
      </c>
      <c r="I984" s="3">
        <v>0</v>
      </c>
      <c r="J984" s="3">
        <v>15</v>
      </c>
      <c r="K984" s="3">
        <v>172</v>
      </c>
      <c r="L984" s="3">
        <v>2</v>
      </c>
      <c r="M984" s="3">
        <v>1479.8199259999999</v>
      </c>
    </row>
    <row r="985" spans="1:13" ht="14.25" customHeight="1" x14ac:dyDescent="0.2">
      <c r="A985" s="3" t="s">
        <v>1472</v>
      </c>
      <c r="B985" s="3" t="s">
        <v>14</v>
      </c>
      <c r="C985" s="3" t="s">
        <v>15</v>
      </c>
      <c r="D985" s="3" t="s">
        <v>70</v>
      </c>
      <c r="E985" s="3" t="s">
        <v>157</v>
      </c>
      <c r="F985" s="3" t="s">
        <v>38</v>
      </c>
      <c r="G985" s="3" t="s">
        <v>19</v>
      </c>
      <c r="H985" s="3">
        <v>12220</v>
      </c>
      <c r="I985" s="3">
        <v>0</v>
      </c>
      <c r="J985" s="3">
        <v>7133</v>
      </c>
      <c r="K985" s="3">
        <v>11331</v>
      </c>
      <c r="L985" s="3">
        <v>13</v>
      </c>
      <c r="M985" s="3">
        <v>1478.392247</v>
      </c>
    </row>
    <row r="986" spans="1:13" ht="14.25" customHeight="1" x14ac:dyDescent="0.2">
      <c r="A986" s="3" t="s">
        <v>1473</v>
      </c>
      <c r="B986" s="3" t="s">
        <v>14</v>
      </c>
      <c r="C986" s="3" t="s">
        <v>29</v>
      </c>
      <c r="D986" s="3" t="s">
        <v>16</v>
      </c>
      <c r="E986" s="3" t="s">
        <v>1127</v>
      </c>
      <c r="F986" s="3" t="s">
        <v>415</v>
      </c>
      <c r="G986" s="3" t="s">
        <v>19</v>
      </c>
      <c r="H986" s="3">
        <v>13655</v>
      </c>
      <c r="I986" s="3">
        <v>0</v>
      </c>
      <c r="J986" s="3">
        <v>9519</v>
      </c>
      <c r="K986" s="3">
        <v>13041</v>
      </c>
      <c r="L986" s="3">
        <v>1</v>
      </c>
      <c r="M986" s="3">
        <v>1475.2451189999999</v>
      </c>
    </row>
    <row r="987" spans="1:13" ht="14.25" customHeight="1" x14ac:dyDescent="0.2">
      <c r="A987" s="3" t="s">
        <v>1474</v>
      </c>
      <c r="B987" s="3" t="s">
        <v>14</v>
      </c>
      <c r="C987" s="3" t="s">
        <v>15</v>
      </c>
      <c r="D987" s="3" t="s">
        <v>205</v>
      </c>
      <c r="E987" s="3" t="s">
        <v>657</v>
      </c>
      <c r="F987" s="3" t="s">
        <v>38</v>
      </c>
      <c r="G987" s="3" t="s">
        <v>19</v>
      </c>
      <c r="H987" s="3">
        <v>9040</v>
      </c>
      <c r="I987" s="3">
        <v>0</v>
      </c>
      <c r="J987" s="3">
        <v>3585</v>
      </c>
      <c r="K987" s="3">
        <v>8450</v>
      </c>
      <c r="L987" s="3">
        <v>1</v>
      </c>
      <c r="M987" s="3">
        <v>1473.192464</v>
      </c>
    </row>
    <row r="988" spans="1:13" ht="14.25" customHeight="1" x14ac:dyDescent="0.2">
      <c r="A988" s="3" t="s">
        <v>1475</v>
      </c>
      <c r="B988" s="3" t="s">
        <v>14</v>
      </c>
      <c r="C988" s="3" t="s">
        <v>29</v>
      </c>
      <c r="D988" s="3" t="s">
        <v>91</v>
      </c>
      <c r="E988" s="3" t="s">
        <v>1476</v>
      </c>
      <c r="F988" s="3" t="s">
        <v>27</v>
      </c>
      <c r="G988" s="3" t="s">
        <v>19</v>
      </c>
      <c r="H988" s="3">
        <v>34</v>
      </c>
      <c r="I988" s="3">
        <v>0</v>
      </c>
      <c r="J988" s="3">
        <v>19</v>
      </c>
      <c r="K988" s="3">
        <v>22</v>
      </c>
      <c r="L988" s="3">
        <v>9</v>
      </c>
      <c r="M988" s="3">
        <v>1471.2322340000001</v>
      </c>
    </row>
    <row r="989" spans="1:13" ht="14.25" customHeight="1" x14ac:dyDescent="0.2">
      <c r="A989" s="3" t="s">
        <v>1477</v>
      </c>
      <c r="B989" s="3" t="s">
        <v>24</v>
      </c>
      <c r="C989" s="3" t="s">
        <v>15</v>
      </c>
      <c r="D989" s="3" t="s">
        <v>16</v>
      </c>
      <c r="E989" s="3" t="s">
        <v>1478</v>
      </c>
      <c r="F989" s="3" t="s">
        <v>41</v>
      </c>
      <c r="G989" s="3" t="s">
        <v>19</v>
      </c>
      <c r="H989" s="3">
        <v>736</v>
      </c>
      <c r="I989" s="3">
        <v>0</v>
      </c>
      <c r="J989" s="3">
        <v>524</v>
      </c>
      <c r="K989" s="3">
        <v>714</v>
      </c>
      <c r="L989" s="3">
        <v>8</v>
      </c>
      <c r="M989" s="3">
        <v>1468.2942350000001</v>
      </c>
    </row>
    <row r="990" spans="1:13" ht="14.25" customHeight="1" x14ac:dyDescent="0.2">
      <c r="A990" s="3" t="s">
        <v>1479</v>
      </c>
      <c r="B990" s="3" t="s">
        <v>14</v>
      </c>
      <c r="C990" s="3" t="s">
        <v>32</v>
      </c>
      <c r="D990" s="3" t="s">
        <v>70</v>
      </c>
      <c r="E990" s="3" t="s">
        <v>1480</v>
      </c>
      <c r="F990" s="3" t="s">
        <v>27</v>
      </c>
      <c r="G990" s="3" t="s">
        <v>19</v>
      </c>
      <c r="H990" s="3">
        <v>428</v>
      </c>
      <c r="I990" s="3">
        <v>0</v>
      </c>
      <c r="J990" s="3">
        <v>316</v>
      </c>
      <c r="K990" s="3">
        <v>383</v>
      </c>
      <c r="L990" s="3">
        <v>8</v>
      </c>
      <c r="M990" s="3">
        <v>1467.5619369999999</v>
      </c>
    </row>
    <row r="991" spans="1:13" ht="14.25" customHeight="1" x14ac:dyDescent="0.2">
      <c r="A991" s="3" t="s">
        <v>1481</v>
      </c>
      <c r="B991" s="3" t="s">
        <v>14</v>
      </c>
      <c r="C991" s="3" t="s">
        <v>35</v>
      </c>
      <c r="D991" s="3" t="s">
        <v>45</v>
      </c>
      <c r="E991" s="3" t="s">
        <v>1482</v>
      </c>
      <c r="F991" s="3" t="s">
        <v>27</v>
      </c>
      <c r="G991" s="3" t="s">
        <v>19</v>
      </c>
      <c r="H991" s="3">
        <v>576</v>
      </c>
      <c r="I991" s="3">
        <v>0</v>
      </c>
      <c r="J991" s="3">
        <v>404</v>
      </c>
      <c r="K991" s="3">
        <v>532</v>
      </c>
      <c r="L991" s="3">
        <v>2</v>
      </c>
      <c r="M991" s="3">
        <v>1461.385092</v>
      </c>
    </row>
    <row r="992" spans="1:13" ht="14.25" customHeight="1" x14ac:dyDescent="0.2">
      <c r="A992" s="3" t="s">
        <v>1483</v>
      </c>
      <c r="B992" s="3" t="s">
        <v>14</v>
      </c>
      <c r="C992" s="3" t="s">
        <v>35</v>
      </c>
      <c r="D992" s="3" t="s">
        <v>25</v>
      </c>
      <c r="E992" s="3" t="s">
        <v>1484</v>
      </c>
      <c r="F992" s="3" t="s">
        <v>41</v>
      </c>
      <c r="G992" s="3" t="s">
        <v>19</v>
      </c>
      <c r="H992" s="3">
        <v>10903</v>
      </c>
      <c r="I992" s="3">
        <v>0</v>
      </c>
      <c r="J992" s="3">
        <v>3776</v>
      </c>
      <c r="K992" s="3">
        <v>9581</v>
      </c>
      <c r="L992" s="3">
        <v>1</v>
      </c>
      <c r="M992" s="3">
        <v>1460.0097539999999</v>
      </c>
    </row>
    <row r="993" spans="1:13" ht="14.25" customHeight="1" x14ac:dyDescent="0.2">
      <c r="A993" s="3" t="s">
        <v>1485</v>
      </c>
      <c r="B993" s="3" t="s">
        <v>24</v>
      </c>
      <c r="C993" s="3" t="s">
        <v>35</v>
      </c>
      <c r="D993" s="3" t="s">
        <v>25</v>
      </c>
      <c r="E993" s="3" t="s">
        <v>1486</v>
      </c>
      <c r="F993" s="3" t="s">
        <v>38</v>
      </c>
      <c r="G993" s="3" t="s">
        <v>114</v>
      </c>
      <c r="H993" s="3">
        <v>126</v>
      </c>
      <c r="I993" s="3">
        <v>0</v>
      </c>
      <c r="J993" s="3">
        <v>62</v>
      </c>
      <c r="K993" s="3">
        <v>118</v>
      </c>
      <c r="L993" s="3">
        <v>2</v>
      </c>
      <c r="M993" s="3">
        <v>1449.0869540000001</v>
      </c>
    </row>
    <row r="994" spans="1:13" ht="14.25" customHeight="1" x14ac:dyDescent="0.2">
      <c r="A994" s="3" t="s">
        <v>1487</v>
      </c>
      <c r="B994" s="3" t="s">
        <v>24</v>
      </c>
      <c r="C994" s="3" t="s">
        <v>32</v>
      </c>
      <c r="D994" s="3" t="s">
        <v>16</v>
      </c>
      <c r="E994" s="3" t="s">
        <v>1058</v>
      </c>
      <c r="F994" s="3" t="s">
        <v>76</v>
      </c>
      <c r="G994" s="3" t="s">
        <v>19</v>
      </c>
      <c r="H994" s="3">
        <v>13382</v>
      </c>
      <c r="I994" s="3">
        <v>0</v>
      </c>
      <c r="J994" s="3">
        <v>3340</v>
      </c>
      <c r="K994" s="3">
        <v>11662</v>
      </c>
      <c r="L994" s="3">
        <v>1</v>
      </c>
      <c r="M994" s="3">
        <v>1447.927193</v>
      </c>
    </row>
    <row r="995" spans="1:13" ht="14.25" customHeight="1" x14ac:dyDescent="0.2">
      <c r="A995" s="3" t="s">
        <v>1488</v>
      </c>
      <c r="B995" s="3" t="s">
        <v>14</v>
      </c>
      <c r="C995" s="3" t="s">
        <v>32</v>
      </c>
      <c r="D995" s="3" t="s">
        <v>16</v>
      </c>
      <c r="E995" s="3" t="s">
        <v>1040</v>
      </c>
      <c r="F995" s="3" t="s">
        <v>64</v>
      </c>
      <c r="G995" s="3" t="s">
        <v>19</v>
      </c>
      <c r="H995" s="3">
        <v>113</v>
      </c>
      <c r="I995" s="3">
        <v>0</v>
      </c>
      <c r="J995" s="3">
        <v>100</v>
      </c>
      <c r="K995" s="3">
        <v>107</v>
      </c>
      <c r="L995" s="3">
        <v>2</v>
      </c>
      <c r="M995" s="3">
        <v>1447.3399099999999</v>
      </c>
    </row>
    <row r="996" spans="1:13" ht="14.25" customHeight="1" x14ac:dyDescent="0.2">
      <c r="A996" s="3" t="s">
        <v>1489</v>
      </c>
      <c r="B996" s="3" t="s">
        <v>14</v>
      </c>
      <c r="C996" s="3" t="s">
        <v>32</v>
      </c>
      <c r="D996" s="3" t="s">
        <v>228</v>
      </c>
      <c r="E996" s="3" t="s">
        <v>1052</v>
      </c>
      <c r="F996" s="3" t="s">
        <v>41</v>
      </c>
      <c r="G996" s="3" t="s">
        <v>19</v>
      </c>
      <c r="H996" s="3">
        <v>1273</v>
      </c>
      <c r="I996" s="3">
        <v>0</v>
      </c>
      <c r="J996" s="3">
        <v>357</v>
      </c>
      <c r="K996" s="3">
        <v>1193</v>
      </c>
      <c r="L996" s="3">
        <v>2</v>
      </c>
      <c r="M996" s="3">
        <v>1446.548057</v>
      </c>
    </row>
    <row r="997" spans="1:13" ht="14.25" customHeight="1" x14ac:dyDescent="0.2">
      <c r="A997" s="3" t="s">
        <v>1490</v>
      </c>
      <c r="B997" s="3" t="s">
        <v>24</v>
      </c>
      <c r="C997" s="3" t="s">
        <v>32</v>
      </c>
      <c r="D997" s="3" t="s">
        <v>70</v>
      </c>
      <c r="E997" s="3" t="s">
        <v>649</v>
      </c>
      <c r="F997" s="3" t="s">
        <v>58</v>
      </c>
      <c r="G997" s="3" t="s">
        <v>19</v>
      </c>
      <c r="H997" s="3">
        <v>103</v>
      </c>
      <c r="I997" s="3">
        <v>0</v>
      </c>
      <c r="J997" s="3">
        <v>19</v>
      </c>
      <c r="K997" s="3">
        <v>86</v>
      </c>
      <c r="L997" s="3">
        <v>5</v>
      </c>
      <c r="M997" s="3">
        <v>1441.997357</v>
      </c>
    </row>
    <row r="998" spans="1:13" ht="14.25" customHeight="1" x14ac:dyDescent="0.2">
      <c r="A998" s="3" t="s">
        <v>1491</v>
      </c>
      <c r="B998" s="3" t="s">
        <v>14</v>
      </c>
      <c r="C998" s="3" t="s">
        <v>35</v>
      </c>
      <c r="D998" s="3" t="s">
        <v>43</v>
      </c>
      <c r="E998" s="3" t="s">
        <v>1492</v>
      </c>
      <c r="F998" s="3" t="s">
        <v>27</v>
      </c>
      <c r="G998" s="3" t="s">
        <v>19</v>
      </c>
      <c r="H998" s="3">
        <v>702</v>
      </c>
      <c r="I998" s="3">
        <v>0</v>
      </c>
      <c r="J998" s="3">
        <v>82</v>
      </c>
      <c r="K998" s="3">
        <v>562</v>
      </c>
      <c r="L998" s="3">
        <v>7</v>
      </c>
      <c r="M998" s="3">
        <v>1441.895139</v>
      </c>
    </row>
    <row r="999" spans="1:13" ht="14.25" customHeight="1" x14ac:dyDescent="0.2">
      <c r="A999" s="3" t="s">
        <v>1493</v>
      </c>
      <c r="B999" s="3" t="s">
        <v>24</v>
      </c>
      <c r="C999" s="3" t="s">
        <v>35</v>
      </c>
      <c r="D999" s="3" t="s">
        <v>16</v>
      </c>
      <c r="E999" s="3" t="s">
        <v>1494</v>
      </c>
      <c r="F999" s="3" t="s">
        <v>27</v>
      </c>
      <c r="G999" s="3" t="s">
        <v>114</v>
      </c>
      <c r="H999" s="3">
        <v>1045</v>
      </c>
      <c r="I999" s="3">
        <v>0</v>
      </c>
      <c r="J999" s="3">
        <v>609</v>
      </c>
      <c r="K999" s="3">
        <v>974</v>
      </c>
      <c r="L999" s="3">
        <v>2</v>
      </c>
      <c r="M999" s="3">
        <v>1441.8862369999999</v>
      </c>
    </row>
    <row r="1000" spans="1:13" ht="14.25" customHeight="1" x14ac:dyDescent="0.2">
      <c r="A1000" s="3" t="s">
        <v>1495</v>
      </c>
      <c r="B1000" s="3" t="s">
        <v>14</v>
      </c>
      <c r="C1000" s="3" t="s">
        <v>35</v>
      </c>
      <c r="D1000" s="3" t="s">
        <v>43</v>
      </c>
      <c r="E1000" s="3" t="s">
        <v>1496</v>
      </c>
      <c r="F1000" s="3" t="s">
        <v>41</v>
      </c>
      <c r="G1000" s="3" t="s">
        <v>19</v>
      </c>
      <c r="H1000" s="3">
        <v>332</v>
      </c>
      <c r="I1000" s="3">
        <v>0</v>
      </c>
      <c r="J1000" s="3">
        <v>194</v>
      </c>
      <c r="K1000" s="3">
        <v>300</v>
      </c>
      <c r="L1000" s="3">
        <v>3</v>
      </c>
      <c r="M1000" s="3">
        <v>1441.3877239999999</v>
      </c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C29EF-7346-D545-AE67-2500BE3AE477}">
  <dimension ref="A1:X1000"/>
  <sheetViews>
    <sheetView tabSelected="1" topLeftCell="F10" zoomScale="115" workbookViewId="0">
      <selection activeCell="V2" sqref="V2"/>
    </sheetView>
  </sheetViews>
  <sheetFormatPr baseColWidth="10" defaultColWidth="12.6640625" defaultRowHeight="15" customHeight="1" x14ac:dyDescent="0.2"/>
  <cols>
    <col min="1" max="1" width="53" style="3" bestFit="1" customWidth="1"/>
    <col min="2" max="2" width="10.1640625" style="3" bestFit="1" customWidth="1"/>
    <col min="3" max="3" width="25.1640625" style="3" bestFit="1" customWidth="1"/>
    <col min="4" max="4" width="33.6640625" style="3" bestFit="1" customWidth="1"/>
    <col min="5" max="5" width="33.6640625" style="3" customWidth="1"/>
    <col min="6" max="6" width="27.5" style="3" bestFit="1" customWidth="1"/>
    <col min="7" max="7" width="25.6640625" style="3" bestFit="1" customWidth="1"/>
    <col min="8" max="8" width="10.5" style="3" bestFit="1" customWidth="1"/>
    <col min="9" max="9" width="10.33203125" style="3" bestFit="1" customWidth="1"/>
    <col min="10" max="10" width="5.6640625" style="3" bestFit="1" customWidth="1"/>
    <col min="11" max="11" width="17.33203125" style="3" bestFit="1" customWidth="1"/>
    <col min="12" max="12" width="19.33203125" style="3" bestFit="1" customWidth="1"/>
    <col min="13" max="13" width="14.5" style="3" bestFit="1" customWidth="1"/>
    <col min="14" max="14" width="12.1640625" style="14" bestFit="1" customWidth="1"/>
    <col min="15" max="15" width="8.6640625" style="6" customWidth="1"/>
    <col min="16" max="19" width="8.6640625" style="3" customWidth="1"/>
    <col min="20" max="20" width="12.83203125" style="3" bestFit="1" customWidth="1"/>
    <col min="21" max="21" width="8.6640625" style="3" customWidth="1"/>
    <col min="22" max="22" width="14.33203125" style="3" bestFit="1" customWidth="1"/>
    <col min="23" max="23" width="8.6640625" style="3" customWidth="1"/>
    <col min="24" max="24" width="16.1640625" style="3" bestFit="1" customWidth="1"/>
    <col min="25" max="25" width="8.6640625" style="3" customWidth="1"/>
    <col min="26" max="16384" width="12.6640625" style="3"/>
  </cols>
  <sheetData>
    <row r="1" spans="1:24" ht="14.25" customHeight="1" x14ac:dyDescent="0.2">
      <c r="A1" s="5" t="s">
        <v>2348</v>
      </c>
      <c r="B1" s="3" t="s">
        <v>2347</v>
      </c>
      <c r="C1" s="3" t="s">
        <v>2346</v>
      </c>
      <c r="D1" s="3" t="s">
        <v>2412</v>
      </c>
      <c r="E1" s="3" t="s">
        <v>2411</v>
      </c>
      <c r="F1" s="3" t="s">
        <v>4</v>
      </c>
      <c r="G1" s="3" t="s">
        <v>5</v>
      </c>
      <c r="H1" s="3" t="s">
        <v>2345</v>
      </c>
      <c r="I1" s="3" t="s">
        <v>7</v>
      </c>
      <c r="J1" s="3" t="s">
        <v>8</v>
      </c>
      <c r="K1" s="3" t="s">
        <v>2343</v>
      </c>
      <c r="L1" s="3" t="s">
        <v>2342</v>
      </c>
      <c r="M1" s="3" t="s">
        <v>2341</v>
      </c>
      <c r="N1" s="14" t="s">
        <v>2340</v>
      </c>
      <c r="O1" s="6" t="s">
        <v>1507</v>
      </c>
      <c r="P1" s="3" t="s">
        <v>1508</v>
      </c>
      <c r="Q1" s="3" t="s">
        <v>1509</v>
      </c>
      <c r="R1" s="3" t="s">
        <v>1510</v>
      </c>
      <c r="S1" s="3" t="s">
        <v>1511</v>
      </c>
      <c r="T1" s="3" t="s">
        <v>2344</v>
      </c>
      <c r="U1" s="3" t="s">
        <v>1512</v>
      </c>
      <c r="V1" s="3" t="s">
        <v>2415</v>
      </c>
      <c r="W1" s="3" t="s">
        <v>2416</v>
      </c>
      <c r="X1" s="3" t="s">
        <v>2419</v>
      </c>
    </row>
    <row r="2" spans="1:24" ht="14.25" customHeight="1" x14ac:dyDescent="0.2">
      <c r="A2" s="5" t="s">
        <v>1513</v>
      </c>
      <c r="B2" s="3" t="s">
        <v>14</v>
      </c>
      <c r="C2" s="3" t="s">
        <v>15</v>
      </c>
      <c r="D2" s="3" t="s">
        <v>2349</v>
      </c>
      <c r="E2" s="3" t="s">
        <v>2350</v>
      </c>
      <c r="F2" s="3" t="s">
        <v>17</v>
      </c>
      <c r="G2" s="3" t="s">
        <v>18</v>
      </c>
      <c r="H2" s="3" t="s">
        <v>19</v>
      </c>
      <c r="I2" s="3">
        <v>134847</v>
      </c>
      <c r="J2" s="3">
        <v>582</v>
      </c>
      <c r="K2" s="3">
        <v>104268</v>
      </c>
      <c r="L2" s="3">
        <v>128470</v>
      </c>
      <c r="M2" s="3">
        <v>132</v>
      </c>
      <c r="N2" s="14">
        <v>6040.5955780000004</v>
      </c>
      <c r="O2" s="7">
        <f>IFERROR((J2/I2)*100, 0)</f>
        <v>0.43160025807025737</v>
      </c>
      <c r="P2" s="14">
        <f>IFERROR(N2/J2, 0)</f>
        <v>10.379030202749142</v>
      </c>
      <c r="Q2" s="14">
        <f>IFERROR(N2/M2, 0)</f>
        <v>45.762087712121215</v>
      </c>
      <c r="R2" s="4">
        <f>IFERROR((M2/J2)*100, 0)</f>
        <v>22.680412371134022</v>
      </c>
      <c r="S2" s="14">
        <f>IFERROR((N2/L2)*1000, 0)</f>
        <v>47.019503214758309</v>
      </c>
      <c r="T2" s="4">
        <f>(K2/I2)*100</f>
        <v>77.323188502525085</v>
      </c>
      <c r="U2" s="3">
        <f>LEN(A2) - LEN(SUBSTITUTE(A2,"&gt;","")) +1</f>
        <v>5</v>
      </c>
      <c r="V2" s="8">
        <f>R2/I2</f>
        <v>1.6819367409830416E-4</v>
      </c>
      <c r="W2" s="14">
        <f>N2/U2</f>
        <v>1208.1191156</v>
      </c>
      <c r="X2" s="4">
        <f>(O2*R2/Q2)</f>
        <v>0.21390789454582682</v>
      </c>
    </row>
    <row r="3" spans="1:24" ht="14.25" customHeight="1" x14ac:dyDescent="0.2">
      <c r="A3" s="5" t="s">
        <v>1514</v>
      </c>
      <c r="B3" s="3" t="s">
        <v>14</v>
      </c>
      <c r="C3" s="3" t="s">
        <v>15</v>
      </c>
      <c r="D3" s="3" t="s">
        <v>2351</v>
      </c>
      <c r="E3" s="3" t="s">
        <v>2352</v>
      </c>
      <c r="F3" s="3" t="s">
        <v>17</v>
      </c>
      <c r="G3" s="3" t="s">
        <v>22</v>
      </c>
      <c r="H3" s="3" t="s">
        <v>19</v>
      </c>
      <c r="I3" s="3">
        <v>115544</v>
      </c>
      <c r="J3" s="3">
        <v>491</v>
      </c>
      <c r="K3" s="3">
        <v>79182</v>
      </c>
      <c r="L3" s="3">
        <v>109463</v>
      </c>
      <c r="M3" s="3">
        <v>69</v>
      </c>
      <c r="N3" s="14">
        <v>6721.0944529999997</v>
      </c>
      <c r="O3" s="7">
        <f t="shared" ref="O3:O66" si="0">IFERROR((J3/I3)*100, 0)</f>
        <v>0.42494634078792498</v>
      </c>
      <c r="P3" s="14">
        <f t="shared" ref="P3:P66" si="1">IFERROR(N3/J3, 0)</f>
        <v>13.688583407331976</v>
      </c>
      <c r="Q3" s="14">
        <f t="shared" ref="Q3:Q66" si="2">IFERROR(N3/M3, 0)</f>
        <v>97.407165985507248</v>
      </c>
      <c r="R3" s="4">
        <f t="shared" ref="R3:R66" si="3">IFERROR((M3/J3)*100, 0)</f>
        <v>14.052953156822811</v>
      </c>
      <c r="S3" s="14">
        <f t="shared" ref="S3:S66" si="4">IFERROR((N3/L3)*1000, 0)</f>
        <v>61.40060525474361</v>
      </c>
      <c r="T3" s="4">
        <f t="shared" ref="T3:T66" si="5">(K3/I3)*100</f>
        <v>68.529737589143522</v>
      </c>
      <c r="U3" s="3">
        <f>LEN(A3) - LEN(SUBSTITUTE(A3,"&gt;","")) +1</f>
        <v>5</v>
      </c>
      <c r="V3" s="8">
        <f t="shared" ref="V3:V66" si="6">R3/I3</f>
        <v>1.2162425705205645E-4</v>
      </c>
      <c r="W3" s="14">
        <f t="shared" ref="W3:W66" si="7">N3/U3</f>
        <v>1344.2188905999999</v>
      </c>
      <c r="X3" s="4">
        <f t="shared" ref="X3:X66" si="8">(O3*R3/Q3)</f>
        <v>6.1307101596041517E-2</v>
      </c>
    </row>
    <row r="4" spans="1:24" ht="14.25" customHeight="1" x14ac:dyDescent="0.2">
      <c r="A4" s="5" t="s">
        <v>1515</v>
      </c>
      <c r="B4" s="3" t="s">
        <v>24</v>
      </c>
      <c r="C4" s="3" t="s">
        <v>15</v>
      </c>
      <c r="D4" s="3" t="s">
        <v>2353</v>
      </c>
      <c r="E4" s="3" t="s">
        <v>2354</v>
      </c>
      <c r="F4" s="3" t="s">
        <v>26</v>
      </c>
      <c r="G4" s="3" t="s">
        <v>27</v>
      </c>
      <c r="H4" s="3" t="s">
        <v>19</v>
      </c>
      <c r="I4" s="3">
        <v>357707</v>
      </c>
      <c r="J4" s="3">
        <v>444</v>
      </c>
      <c r="K4" s="3">
        <v>203987</v>
      </c>
      <c r="L4" s="3">
        <v>338107</v>
      </c>
      <c r="M4" s="3">
        <v>74</v>
      </c>
      <c r="N4" s="14">
        <v>6749.2023529999997</v>
      </c>
      <c r="O4" s="7">
        <f t="shared" si="0"/>
        <v>0.12412393383411564</v>
      </c>
      <c r="P4" s="14">
        <f t="shared" si="1"/>
        <v>15.200906200450449</v>
      </c>
      <c r="Q4" s="14">
        <f t="shared" si="2"/>
        <v>91.205437202702697</v>
      </c>
      <c r="R4" s="4">
        <f t="shared" si="3"/>
        <v>16.666666666666664</v>
      </c>
      <c r="S4" s="14">
        <f t="shared" si="4"/>
        <v>19.961735051329903</v>
      </c>
      <c r="T4" s="4">
        <f t="shared" si="5"/>
        <v>57.026281286080504</v>
      </c>
      <c r="U4" s="3">
        <f>LEN(A4) - LEN(SUBSTITUTE(A4,"&gt;","")) +1</f>
        <v>5</v>
      </c>
      <c r="V4" s="8">
        <f t="shared" si="6"/>
        <v>4.6593068256049405E-5</v>
      </c>
      <c r="W4" s="14">
        <f t="shared" si="7"/>
        <v>1349.8404705999999</v>
      </c>
      <c r="X4" s="4">
        <f t="shared" si="8"/>
        <v>2.2682115167880483E-2</v>
      </c>
    </row>
    <row r="5" spans="1:24" ht="14.25" customHeight="1" x14ac:dyDescent="0.2">
      <c r="A5" s="5" t="s">
        <v>1516</v>
      </c>
      <c r="B5" s="3" t="s">
        <v>24</v>
      </c>
      <c r="C5" s="3" t="s">
        <v>29</v>
      </c>
      <c r="D5" s="3" t="s">
        <v>2351</v>
      </c>
      <c r="E5" s="3" t="s">
        <v>2352</v>
      </c>
      <c r="F5" s="3" t="s">
        <v>30</v>
      </c>
      <c r="G5" s="3" t="s">
        <v>18</v>
      </c>
      <c r="H5" s="3" t="s">
        <v>19</v>
      </c>
      <c r="I5" s="3">
        <v>217824</v>
      </c>
      <c r="J5" s="3">
        <v>339</v>
      </c>
      <c r="K5" s="3">
        <v>75089</v>
      </c>
      <c r="L5" s="3">
        <v>179723</v>
      </c>
      <c r="M5" s="3">
        <v>16</v>
      </c>
      <c r="N5" s="14">
        <v>1451.808544</v>
      </c>
      <c r="O5" s="7">
        <f t="shared" si="0"/>
        <v>0.15563023358307623</v>
      </c>
      <c r="P5" s="14">
        <f t="shared" si="1"/>
        <v>4.2826210737463128</v>
      </c>
      <c r="Q5" s="14">
        <f t="shared" si="2"/>
        <v>90.738033999999999</v>
      </c>
      <c r="R5" s="4">
        <f t="shared" si="3"/>
        <v>4.71976401179941</v>
      </c>
      <c r="S5" s="14">
        <f t="shared" si="4"/>
        <v>8.0780342193264065</v>
      </c>
      <c r="T5" s="4">
        <f t="shared" si="5"/>
        <v>34.472326281768765</v>
      </c>
      <c r="U5" s="3">
        <f>LEN(A5) - LEN(SUBSTITUTE(A5,"&gt;","")) +1</f>
        <v>7</v>
      </c>
      <c r="V5" s="8">
        <f t="shared" si="6"/>
        <v>2.1667786891248942E-5</v>
      </c>
      <c r="W5" s="14">
        <f t="shared" si="7"/>
        <v>207.40122057142858</v>
      </c>
      <c r="X5" s="4">
        <f t="shared" si="8"/>
        <v>8.0951497760392201E-3</v>
      </c>
    </row>
    <row r="6" spans="1:24" ht="14.25" customHeight="1" x14ac:dyDescent="0.2">
      <c r="A6" s="5" t="s">
        <v>1517</v>
      </c>
      <c r="B6" s="3" t="s">
        <v>24</v>
      </c>
      <c r="C6" s="3" t="s">
        <v>32</v>
      </c>
      <c r="D6" s="3" t="s">
        <v>2353</v>
      </c>
      <c r="E6" s="3" t="s">
        <v>2354</v>
      </c>
      <c r="F6" s="3" t="s">
        <v>26</v>
      </c>
      <c r="G6" s="3" t="s">
        <v>33</v>
      </c>
      <c r="H6" s="3" t="s">
        <v>19</v>
      </c>
      <c r="I6" s="3">
        <v>247106</v>
      </c>
      <c r="J6" s="3">
        <v>290</v>
      </c>
      <c r="K6" s="3">
        <v>159618</v>
      </c>
      <c r="L6" s="3">
        <v>233150</v>
      </c>
      <c r="M6" s="3">
        <v>32</v>
      </c>
      <c r="N6" s="14">
        <v>7629.94427</v>
      </c>
      <c r="O6" s="7">
        <f t="shared" si="0"/>
        <v>0.11735854248783922</v>
      </c>
      <c r="P6" s="14">
        <f t="shared" si="1"/>
        <v>26.310152655172413</v>
      </c>
      <c r="Q6" s="14">
        <f t="shared" si="2"/>
        <v>238.4357584375</v>
      </c>
      <c r="R6" s="4">
        <f t="shared" si="3"/>
        <v>11.03448275862069</v>
      </c>
      <c r="S6" s="14">
        <f t="shared" si="4"/>
        <v>32.725474029594679</v>
      </c>
      <c r="T6" s="4">
        <f t="shared" si="5"/>
        <v>64.594951154565251</v>
      </c>
      <c r="U6" s="3">
        <f>LEN(A6) - LEN(SUBSTITUTE(A6,"&gt;","")) +1</f>
        <v>5</v>
      </c>
      <c r="V6" s="8">
        <f t="shared" si="6"/>
        <v>4.4654855643410884E-5</v>
      </c>
      <c r="W6" s="14">
        <f t="shared" si="7"/>
        <v>1525.9888539999999</v>
      </c>
      <c r="X6" s="4">
        <f t="shared" si="8"/>
        <v>5.4311938030820375E-3</v>
      </c>
    </row>
    <row r="7" spans="1:24" ht="14.25" customHeight="1" x14ac:dyDescent="0.2">
      <c r="A7" s="5" t="s">
        <v>1518</v>
      </c>
      <c r="B7" s="3" t="s">
        <v>14</v>
      </c>
      <c r="C7" s="3" t="s">
        <v>35</v>
      </c>
      <c r="D7" s="3" t="s">
        <v>2355</v>
      </c>
      <c r="E7" s="3" t="s">
        <v>2356</v>
      </c>
      <c r="F7" s="3" t="s">
        <v>37</v>
      </c>
      <c r="G7" s="3" t="s">
        <v>38</v>
      </c>
      <c r="H7" s="3" t="s">
        <v>19</v>
      </c>
      <c r="I7" s="3">
        <v>189571</v>
      </c>
      <c r="J7" s="3">
        <v>278</v>
      </c>
      <c r="K7" s="3">
        <v>130676</v>
      </c>
      <c r="L7" s="3">
        <v>183688</v>
      </c>
      <c r="M7" s="3">
        <v>44</v>
      </c>
      <c r="N7" s="14">
        <v>6335.9483879999998</v>
      </c>
      <c r="O7" s="7">
        <f t="shared" si="0"/>
        <v>0.1466469027435631</v>
      </c>
      <c r="P7" s="14">
        <f t="shared" si="1"/>
        <v>22.791181251798559</v>
      </c>
      <c r="Q7" s="14">
        <f t="shared" si="2"/>
        <v>143.99882700000001</v>
      </c>
      <c r="R7" s="4">
        <f t="shared" si="3"/>
        <v>15.827338129496402</v>
      </c>
      <c r="S7" s="14">
        <f t="shared" si="4"/>
        <v>34.492990222551285</v>
      </c>
      <c r="T7" s="4">
        <f t="shared" si="5"/>
        <v>68.932484398985068</v>
      </c>
      <c r="U7" s="3">
        <f>LEN(A7) - LEN(SUBSTITUTE(A7,"&gt;","")) +1</f>
        <v>5</v>
      </c>
      <c r="V7" s="8">
        <f t="shared" si="6"/>
        <v>8.3490291919631184E-5</v>
      </c>
      <c r="W7" s="14">
        <f t="shared" si="7"/>
        <v>1267.1896775999999</v>
      </c>
      <c r="X7" s="4">
        <f t="shared" si="8"/>
        <v>1.6118395987807226E-2</v>
      </c>
    </row>
    <row r="8" spans="1:24" ht="14.25" customHeight="1" x14ac:dyDescent="0.2">
      <c r="A8" s="5" t="s">
        <v>1519</v>
      </c>
      <c r="B8" s="3" t="s">
        <v>14</v>
      </c>
      <c r="C8" s="3" t="s">
        <v>29</v>
      </c>
      <c r="D8" s="3" t="s">
        <v>2353</v>
      </c>
      <c r="E8" s="3" t="s">
        <v>2354</v>
      </c>
      <c r="F8" s="3" t="s">
        <v>40</v>
      </c>
      <c r="G8" s="3" t="s">
        <v>41</v>
      </c>
      <c r="H8" s="3" t="s">
        <v>19</v>
      </c>
      <c r="I8" s="3">
        <v>4154911</v>
      </c>
      <c r="J8" s="3">
        <v>261</v>
      </c>
      <c r="K8" s="3">
        <v>2338732</v>
      </c>
      <c r="L8" s="3">
        <v>3445626</v>
      </c>
      <c r="M8" s="3">
        <v>154</v>
      </c>
      <c r="N8" s="14">
        <v>8038.5703709999998</v>
      </c>
      <c r="O8" s="7">
        <f t="shared" si="0"/>
        <v>6.2817230020089472E-3</v>
      </c>
      <c r="P8" s="14">
        <f t="shared" si="1"/>
        <v>30.799120195402299</v>
      </c>
      <c r="Q8" s="14">
        <f t="shared" si="2"/>
        <v>52.198508902597403</v>
      </c>
      <c r="R8" s="4">
        <f t="shared" si="3"/>
        <v>59.003831417624518</v>
      </c>
      <c r="S8" s="14">
        <f t="shared" si="4"/>
        <v>2.332978208023738</v>
      </c>
      <c r="T8" s="4">
        <f t="shared" si="5"/>
        <v>56.288377777526399</v>
      </c>
      <c r="U8" s="3">
        <f>LEN(A8) - LEN(SUBSTITUTE(A8,"&gt;","")) +1</f>
        <v>5</v>
      </c>
      <c r="V8" s="8">
        <f t="shared" si="6"/>
        <v>1.4200985633055563E-5</v>
      </c>
      <c r="W8" s="14">
        <f t="shared" si="7"/>
        <v>1607.7140741999999</v>
      </c>
      <c r="X8" s="4">
        <f t="shared" si="8"/>
        <v>7.1006956484978585E-3</v>
      </c>
    </row>
    <row r="9" spans="1:24" ht="14.25" customHeight="1" x14ac:dyDescent="0.2">
      <c r="A9" s="5" t="s">
        <v>1520</v>
      </c>
      <c r="B9" s="3" t="s">
        <v>24</v>
      </c>
      <c r="C9" s="3" t="s">
        <v>32</v>
      </c>
      <c r="D9" s="3" t="s">
        <v>2357</v>
      </c>
      <c r="E9" s="3" t="s">
        <v>2358</v>
      </c>
      <c r="F9" s="3" t="s">
        <v>37</v>
      </c>
      <c r="G9" s="3" t="s">
        <v>27</v>
      </c>
      <c r="H9" s="3" t="s">
        <v>19</v>
      </c>
      <c r="I9" s="3">
        <v>183208</v>
      </c>
      <c r="J9" s="3">
        <v>237</v>
      </c>
      <c r="K9" s="3">
        <v>131164</v>
      </c>
      <c r="L9" s="3">
        <v>177952</v>
      </c>
      <c r="M9" s="3">
        <v>43</v>
      </c>
      <c r="N9" s="14">
        <v>2682.4366230000001</v>
      </c>
      <c r="O9" s="7">
        <f t="shared" si="0"/>
        <v>0.12936116326797956</v>
      </c>
      <c r="P9" s="14">
        <f t="shared" si="1"/>
        <v>11.318297987341772</v>
      </c>
      <c r="Q9" s="14">
        <f t="shared" si="2"/>
        <v>62.38224704651163</v>
      </c>
      <c r="R9" s="4">
        <f t="shared" si="3"/>
        <v>18.143459915611814</v>
      </c>
      <c r="S9" s="14">
        <f t="shared" si="4"/>
        <v>15.073933549496493</v>
      </c>
      <c r="T9" s="4">
        <f t="shared" si="5"/>
        <v>71.592943539583416</v>
      </c>
      <c r="U9" s="3">
        <f>LEN(A9) - LEN(SUBSTITUTE(A9,"&gt;","")) +1</f>
        <v>2</v>
      </c>
      <c r="V9" s="8">
        <f t="shared" si="6"/>
        <v>9.9032028708417828E-5</v>
      </c>
      <c r="W9" s="14">
        <f t="shared" si="7"/>
        <v>1341.2183115</v>
      </c>
      <c r="X9" s="4">
        <f t="shared" si="8"/>
        <v>3.7623830360576094E-2</v>
      </c>
    </row>
    <row r="10" spans="1:24" ht="14.25" customHeight="1" x14ac:dyDescent="0.2">
      <c r="A10" s="5" t="s">
        <v>1521</v>
      </c>
      <c r="B10" s="3" t="s">
        <v>14</v>
      </c>
      <c r="C10" s="3" t="s">
        <v>15</v>
      </c>
      <c r="D10" s="3" t="s">
        <v>2359</v>
      </c>
      <c r="E10" s="3" t="s">
        <v>2360</v>
      </c>
      <c r="F10" s="3" t="s">
        <v>46</v>
      </c>
      <c r="G10" s="3" t="s">
        <v>38</v>
      </c>
      <c r="H10" s="3" t="s">
        <v>19</v>
      </c>
      <c r="I10" s="3">
        <v>481526</v>
      </c>
      <c r="J10" s="3">
        <v>223</v>
      </c>
      <c r="K10" s="3">
        <v>396802</v>
      </c>
      <c r="L10" s="3">
        <v>437639</v>
      </c>
      <c r="M10" s="3">
        <v>23</v>
      </c>
      <c r="N10" s="14">
        <v>2037.8655940000001</v>
      </c>
      <c r="O10" s="7">
        <f t="shared" si="0"/>
        <v>4.6311102619588554E-2</v>
      </c>
      <c r="P10" s="14">
        <f t="shared" si="1"/>
        <v>9.1384107354260102</v>
      </c>
      <c r="Q10" s="14">
        <f t="shared" si="2"/>
        <v>88.60285191304348</v>
      </c>
      <c r="R10" s="4">
        <f t="shared" si="3"/>
        <v>10.31390134529148</v>
      </c>
      <c r="S10" s="14">
        <f t="shared" si="4"/>
        <v>4.6564990642972859</v>
      </c>
      <c r="T10" s="4">
        <f t="shared" si="5"/>
        <v>82.405103774251032</v>
      </c>
      <c r="U10" s="3">
        <f>LEN(A10) - LEN(SUBSTITUTE(A10,"&gt;","")) +1</f>
        <v>5</v>
      </c>
      <c r="V10" s="8">
        <f t="shared" si="6"/>
        <v>2.1419199265027184E-5</v>
      </c>
      <c r="W10" s="14">
        <f t="shared" si="7"/>
        <v>407.57311880000003</v>
      </c>
      <c r="X10" s="4">
        <f t="shared" si="8"/>
        <v>5.3908890436041397E-3</v>
      </c>
    </row>
    <row r="11" spans="1:24" ht="14.25" customHeight="1" x14ac:dyDescent="0.2">
      <c r="A11" s="5" t="s">
        <v>1522</v>
      </c>
      <c r="B11" s="3" t="s">
        <v>24</v>
      </c>
      <c r="C11" s="3" t="s">
        <v>15</v>
      </c>
      <c r="D11" s="3" t="s">
        <v>2357</v>
      </c>
      <c r="E11" s="3" t="s">
        <v>2358</v>
      </c>
      <c r="F11" s="3" t="s">
        <v>48</v>
      </c>
      <c r="G11" s="3" t="s">
        <v>41</v>
      </c>
      <c r="H11" s="3" t="s">
        <v>19</v>
      </c>
      <c r="I11" s="3">
        <v>1720462</v>
      </c>
      <c r="J11" s="3">
        <v>214</v>
      </c>
      <c r="K11" s="3">
        <v>940296</v>
      </c>
      <c r="L11" s="3">
        <v>1516537</v>
      </c>
      <c r="M11" s="3">
        <v>20</v>
      </c>
      <c r="N11" s="14">
        <v>5906.4649669999999</v>
      </c>
      <c r="O11" s="7">
        <f t="shared" si="0"/>
        <v>1.2438519420946233E-2</v>
      </c>
      <c r="P11" s="14">
        <f t="shared" si="1"/>
        <v>27.600303584112147</v>
      </c>
      <c r="Q11" s="14">
        <f t="shared" si="2"/>
        <v>295.32324834999997</v>
      </c>
      <c r="R11" s="4">
        <f t="shared" si="3"/>
        <v>9.3457943925233646</v>
      </c>
      <c r="S11" s="14">
        <f t="shared" si="4"/>
        <v>3.8947054816334843</v>
      </c>
      <c r="T11" s="4">
        <f t="shared" si="5"/>
        <v>54.653691857187191</v>
      </c>
      <c r="U11" s="3">
        <f>LEN(A11) - LEN(SUBSTITUTE(A11,"&gt;","")) +1</f>
        <v>5</v>
      </c>
      <c r="V11" s="8">
        <f t="shared" si="6"/>
        <v>5.4321422923164622E-6</v>
      </c>
      <c r="W11" s="14">
        <f t="shared" si="7"/>
        <v>1181.2929933999999</v>
      </c>
      <c r="X11" s="4">
        <f t="shared" si="8"/>
        <v>3.9362916974894596E-4</v>
      </c>
    </row>
    <row r="12" spans="1:24" ht="14.25" customHeight="1" x14ac:dyDescent="0.2">
      <c r="A12" s="5" t="s">
        <v>49</v>
      </c>
      <c r="B12" s="3" t="s">
        <v>24</v>
      </c>
      <c r="C12" s="3" t="s">
        <v>35</v>
      </c>
      <c r="D12" s="3" t="s">
        <v>2357</v>
      </c>
      <c r="E12" s="3" t="s">
        <v>2358</v>
      </c>
      <c r="F12" s="3" t="s">
        <v>48</v>
      </c>
      <c r="G12" s="3" t="s">
        <v>50</v>
      </c>
      <c r="H12" s="3" t="s">
        <v>19</v>
      </c>
      <c r="I12" s="3">
        <v>908899</v>
      </c>
      <c r="J12" s="3">
        <v>204</v>
      </c>
      <c r="K12" s="3">
        <v>644697</v>
      </c>
      <c r="L12" s="3">
        <v>853964</v>
      </c>
      <c r="M12" s="3">
        <v>32</v>
      </c>
      <c r="N12" s="14">
        <v>5181.087383</v>
      </c>
      <c r="O12" s="7">
        <f t="shared" si="0"/>
        <v>2.2444738084209579E-2</v>
      </c>
      <c r="P12" s="14">
        <f t="shared" si="1"/>
        <v>25.397487171568628</v>
      </c>
      <c r="Q12" s="14">
        <f t="shared" si="2"/>
        <v>161.90898071875</v>
      </c>
      <c r="R12" s="4">
        <f t="shared" si="3"/>
        <v>15.686274509803921</v>
      </c>
      <c r="S12" s="14">
        <f t="shared" si="4"/>
        <v>6.0671028087835088</v>
      </c>
      <c r="T12" s="4">
        <f t="shared" si="5"/>
        <v>70.931643669978726</v>
      </c>
      <c r="U12" s="3">
        <f>LEN(A12) - LEN(SUBSTITUTE(A12,"&gt;","")) +1</f>
        <v>4</v>
      </c>
      <c r="V12" s="8">
        <f t="shared" si="6"/>
        <v>1.7258545239684409E-5</v>
      </c>
      <c r="W12" s="14">
        <f t="shared" si="7"/>
        <v>1295.27184575</v>
      </c>
      <c r="X12" s="4">
        <f t="shared" si="8"/>
        <v>2.1745200379041717E-3</v>
      </c>
    </row>
    <row r="13" spans="1:24" ht="14.25" customHeight="1" x14ac:dyDescent="0.2">
      <c r="A13" s="5" t="s">
        <v>1523</v>
      </c>
      <c r="B13" s="3" t="s">
        <v>14</v>
      </c>
      <c r="C13" s="3" t="s">
        <v>15</v>
      </c>
      <c r="D13" s="3" t="s">
        <v>2353</v>
      </c>
      <c r="E13" s="3" t="s">
        <v>2354</v>
      </c>
      <c r="F13" s="3" t="s">
        <v>52</v>
      </c>
      <c r="G13" s="3" t="s">
        <v>27</v>
      </c>
      <c r="H13" s="3" t="s">
        <v>19</v>
      </c>
      <c r="I13" s="3">
        <v>152881</v>
      </c>
      <c r="J13" s="3">
        <v>204</v>
      </c>
      <c r="K13" s="3">
        <v>94895</v>
      </c>
      <c r="L13" s="3">
        <v>145113</v>
      </c>
      <c r="M13" s="3">
        <v>11</v>
      </c>
      <c r="N13" s="14">
        <v>1496.6685239999999</v>
      </c>
      <c r="O13" s="7">
        <f t="shared" si="0"/>
        <v>0.13343711775825642</v>
      </c>
      <c r="P13" s="14">
        <f t="shared" si="1"/>
        <v>7.3366104117647053</v>
      </c>
      <c r="Q13" s="14">
        <f t="shared" si="2"/>
        <v>136.0607749090909</v>
      </c>
      <c r="R13" s="4">
        <f t="shared" si="3"/>
        <v>5.3921568627450984</v>
      </c>
      <c r="S13" s="14">
        <f t="shared" si="4"/>
        <v>10.313814227533024</v>
      </c>
      <c r="T13" s="4">
        <f t="shared" si="5"/>
        <v>62.071153380734032</v>
      </c>
      <c r="U13" s="3">
        <f>LEN(A13) - LEN(SUBSTITUTE(A13,"&gt;","")) +1</f>
        <v>5</v>
      </c>
      <c r="V13" s="8">
        <f t="shared" si="6"/>
        <v>3.5270287758093537E-5</v>
      </c>
      <c r="W13" s="14">
        <f t="shared" si="7"/>
        <v>299.33370479999996</v>
      </c>
      <c r="X13" s="4">
        <f t="shared" si="8"/>
        <v>5.2881800118061359E-3</v>
      </c>
    </row>
    <row r="14" spans="1:24" ht="14.25" customHeight="1" x14ac:dyDescent="0.2">
      <c r="A14" s="5" t="s">
        <v>1524</v>
      </c>
      <c r="B14" s="3" t="s">
        <v>14</v>
      </c>
      <c r="C14" s="3" t="s">
        <v>35</v>
      </c>
      <c r="D14" s="3" t="s">
        <v>2353</v>
      </c>
      <c r="E14" s="3" t="s">
        <v>2354</v>
      </c>
      <c r="F14" s="3" t="s">
        <v>40</v>
      </c>
      <c r="G14" s="3" t="s">
        <v>33</v>
      </c>
      <c r="H14" s="3" t="s">
        <v>19</v>
      </c>
      <c r="I14" s="3">
        <v>3196231</v>
      </c>
      <c r="J14" s="3">
        <v>203</v>
      </c>
      <c r="K14" s="3">
        <v>2013324</v>
      </c>
      <c r="L14" s="3">
        <v>2669103</v>
      </c>
      <c r="M14" s="3">
        <v>70</v>
      </c>
      <c r="N14" s="14">
        <v>5756.2711719999998</v>
      </c>
      <c r="O14" s="7">
        <f t="shared" si="0"/>
        <v>6.3512305587424692E-3</v>
      </c>
      <c r="P14" s="14">
        <f t="shared" si="1"/>
        <v>28.356015625615761</v>
      </c>
      <c r="Q14" s="14">
        <f t="shared" si="2"/>
        <v>82.232445314285712</v>
      </c>
      <c r="R14" s="4">
        <f t="shared" si="3"/>
        <v>34.482758620689658</v>
      </c>
      <c r="S14" s="14">
        <f t="shared" si="4"/>
        <v>2.1566313371945558</v>
      </c>
      <c r="T14" s="4">
        <f t="shared" si="5"/>
        <v>62.990566076106511</v>
      </c>
      <c r="U14" s="3">
        <f>LEN(A14) - LEN(SUBSTITUTE(A14,"&gt;","")) +1</f>
        <v>5</v>
      </c>
      <c r="V14" s="8">
        <f t="shared" si="6"/>
        <v>1.0788568980367708E-5</v>
      </c>
      <c r="W14" s="14">
        <f t="shared" si="7"/>
        <v>1151.2542343999999</v>
      </c>
      <c r="X14" s="4">
        <f t="shared" si="8"/>
        <v>2.6632790678233378E-3</v>
      </c>
    </row>
    <row r="15" spans="1:24" ht="14.25" customHeight="1" x14ac:dyDescent="0.2">
      <c r="A15" s="5" t="s">
        <v>1525</v>
      </c>
      <c r="B15" s="3" t="s">
        <v>14</v>
      </c>
      <c r="C15" s="3" t="s">
        <v>32</v>
      </c>
      <c r="D15" s="3" t="s">
        <v>2349</v>
      </c>
      <c r="E15" s="3" t="s">
        <v>2350</v>
      </c>
      <c r="F15" s="3" t="s">
        <v>48</v>
      </c>
      <c r="G15" s="3" t="s">
        <v>38</v>
      </c>
      <c r="H15" s="3" t="s">
        <v>19</v>
      </c>
      <c r="I15" s="3">
        <v>1010148</v>
      </c>
      <c r="J15" s="3">
        <v>202</v>
      </c>
      <c r="K15" s="3">
        <v>699834</v>
      </c>
      <c r="L15" s="3">
        <v>955905</v>
      </c>
      <c r="M15" s="3">
        <v>31</v>
      </c>
      <c r="N15" s="14">
        <v>7788.7016210000002</v>
      </c>
      <c r="O15" s="7">
        <f t="shared" si="0"/>
        <v>1.9997069736315869E-2</v>
      </c>
      <c r="P15" s="14">
        <f t="shared" si="1"/>
        <v>38.557928816831684</v>
      </c>
      <c r="Q15" s="14">
        <f t="shared" si="2"/>
        <v>251.24843938709677</v>
      </c>
      <c r="R15" s="4">
        <f t="shared" si="3"/>
        <v>15.346534653465346</v>
      </c>
      <c r="S15" s="14">
        <f t="shared" si="4"/>
        <v>8.1479871127360983</v>
      </c>
      <c r="T15" s="4">
        <f t="shared" si="5"/>
        <v>69.280343078439984</v>
      </c>
      <c r="U15" s="3">
        <f>LEN(A15) - LEN(SUBSTITUTE(A15,"&gt;","")) +1</f>
        <v>5</v>
      </c>
      <c r="V15" s="8">
        <f t="shared" si="6"/>
        <v>1.5192362558224484E-5</v>
      </c>
      <c r="W15" s="14">
        <f t="shared" si="7"/>
        <v>1557.7403242</v>
      </c>
      <c r="X15" s="4">
        <f t="shared" si="8"/>
        <v>1.2214433029903036E-3</v>
      </c>
    </row>
    <row r="16" spans="1:24" ht="14.25" customHeight="1" x14ac:dyDescent="0.2">
      <c r="A16" s="5" t="s">
        <v>1526</v>
      </c>
      <c r="B16" s="3" t="s">
        <v>24</v>
      </c>
      <c r="C16" s="3" t="s">
        <v>29</v>
      </c>
      <c r="D16" s="3" t="s">
        <v>2349</v>
      </c>
      <c r="E16" s="3" t="s">
        <v>2350</v>
      </c>
      <c r="F16" s="3" t="s">
        <v>48</v>
      </c>
      <c r="G16" s="3" t="s">
        <v>22</v>
      </c>
      <c r="H16" s="3" t="s">
        <v>19</v>
      </c>
      <c r="I16" s="3">
        <v>1956642</v>
      </c>
      <c r="J16" s="3">
        <v>194</v>
      </c>
      <c r="K16" s="3">
        <v>981461</v>
      </c>
      <c r="L16" s="3">
        <v>1731673</v>
      </c>
      <c r="M16" s="3">
        <v>106</v>
      </c>
      <c r="N16" s="14">
        <v>7730.240616</v>
      </c>
      <c r="O16" s="7">
        <f t="shared" si="0"/>
        <v>9.914946116867572E-3</v>
      </c>
      <c r="P16" s="14">
        <f t="shared" si="1"/>
        <v>39.846601113402059</v>
      </c>
      <c r="Q16" s="14">
        <f t="shared" si="2"/>
        <v>72.926798264150946</v>
      </c>
      <c r="R16" s="4">
        <f t="shared" si="3"/>
        <v>54.639175257731956</v>
      </c>
      <c r="S16" s="14">
        <f t="shared" si="4"/>
        <v>4.4640302274159147</v>
      </c>
      <c r="T16" s="4">
        <f t="shared" si="5"/>
        <v>50.160479024778169</v>
      </c>
      <c r="U16" s="3">
        <f>LEN(A16) - LEN(SUBSTITUTE(A16,"&gt;","")) +1</f>
        <v>5</v>
      </c>
      <c r="V16" s="8">
        <f t="shared" si="6"/>
        <v>2.7924973121159597E-5</v>
      </c>
      <c r="W16" s="14">
        <f t="shared" si="7"/>
        <v>1546.0481232</v>
      </c>
      <c r="X16" s="4">
        <f t="shared" si="8"/>
        <v>7.428606375782779E-3</v>
      </c>
    </row>
    <row r="17" spans="1:24" ht="14.25" customHeight="1" x14ac:dyDescent="0.2">
      <c r="A17" s="5" t="s">
        <v>56</v>
      </c>
      <c r="B17" s="3" t="s">
        <v>14</v>
      </c>
      <c r="C17" s="3" t="s">
        <v>15</v>
      </c>
      <c r="D17" s="3" t="s">
        <v>2353</v>
      </c>
      <c r="E17" s="3" t="s">
        <v>2354</v>
      </c>
      <c r="F17" s="3" t="s">
        <v>57</v>
      </c>
      <c r="G17" s="3" t="s">
        <v>58</v>
      </c>
      <c r="H17" s="3" t="s">
        <v>19</v>
      </c>
      <c r="I17" s="3">
        <v>446774</v>
      </c>
      <c r="J17" s="3">
        <v>184</v>
      </c>
      <c r="K17" s="3">
        <v>163786</v>
      </c>
      <c r="L17" s="3">
        <v>374116</v>
      </c>
      <c r="M17" s="3">
        <v>12</v>
      </c>
      <c r="N17" s="14">
        <v>7248.2316119999996</v>
      </c>
      <c r="O17" s="7">
        <f t="shared" si="0"/>
        <v>4.1184133364967526E-2</v>
      </c>
      <c r="P17" s="14">
        <f t="shared" si="1"/>
        <v>39.392563108695647</v>
      </c>
      <c r="Q17" s="14">
        <f t="shared" si="2"/>
        <v>604.01930099999993</v>
      </c>
      <c r="R17" s="4">
        <f t="shared" si="3"/>
        <v>6.5217391304347823</v>
      </c>
      <c r="S17" s="14">
        <f t="shared" si="4"/>
        <v>19.374289289952848</v>
      </c>
      <c r="T17" s="4">
        <f t="shared" si="5"/>
        <v>36.659698191927014</v>
      </c>
      <c r="U17" s="3">
        <f>LEN(A17) - LEN(SUBSTITUTE(A17,"&gt;","")) +1</f>
        <v>4</v>
      </c>
      <c r="V17" s="8">
        <f t="shared" si="6"/>
        <v>1.4597400767356163E-5</v>
      </c>
      <c r="W17" s="14">
        <f t="shared" si="7"/>
        <v>1812.0579029999999</v>
      </c>
      <c r="X17" s="4">
        <f t="shared" si="8"/>
        <v>4.4467482028252847E-4</v>
      </c>
    </row>
    <row r="18" spans="1:24" ht="14.25" customHeight="1" x14ac:dyDescent="0.2">
      <c r="A18" s="5" t="s">
        <v>1527</v>
      </c>
      <c r="B18" s="3" t="s">
        <v>24</v>
      </c>
      <c r="C18" s="3" t="s">
        <v>35</v>
      </c>
      <c r="D18" s="3" t="s">
        <v>2361</v>
      </c>
      <c r="E18" s="3" t="s">
        <v>2360</v>
      </c>
      <c r="F18" s="3" t="s">
        <v>61</v>
      </c>
      <c r="G18" s="3" t="s">
        <v>38</v>
      </c>
      <c r="H18" s="3" t="s">
        <v>19</v>
      </c>
      <c r="I18" s="3">
        <v>150457</v>
      </c>
      <c r="J18" s="3">
        <v>169</v>
      </c>
      <c r="K18" s="3">
        <v>58372</v>
      </c>
      <c r="L18" s="3">
        <v>135099</v>
      </c>
      <c r="M18" s="3">
        <v>14</v>
      </c>
      <c r="N18" s="14">
        <v>5906.8300060000001</v>
      </c>
      <c r="O18" s="7">
        <f t="shared" si="0"/>
        <v>0.11232445150441656</v>
      </c>
      <c r="P18" s="14">
        <f t="shared" si="1"/>
        <v>34.951656840236687</v>
      </c>
      <c r="Q18" s="14">
        <f t="shared" si="2"/>
        <v>421.91642899999999</v>
      </c>
      <c r="R18" s="4">
        <f t="shared" si="3"/>
        <v>8.2840236686390547</v>
      </c>
      <c r="S18" s="14">
        <f t="shared" si="4"/>
        <v>43.722233369603032</v>
      </c>
      <c r="T18" s="4">
        <f t="shared" si="5"/>
        <v>38.796466764590548</v>
      </c>
      <c r="U18" s="3">
        <f>LEN(A18) - LEN(SUBSTITUTE(A18,"&gt;","")) +1</f>
        <v>5</v>
      </c>
      <c r="V18" s="8">
        <f t="shared" si="6"/>
        <v>5.5059077800561318E-5</v>
      </c>
      <c r="W18" s="14">
        <f t="shared" si="7"/>
        <v>1181.3660012</v>
      </c>
      <c r="X18" s="4">
        <f t="shared" si="8"/>
        <v>2.2054092964213217E-3</v>
      </c>
    </row>
    <row r="19" spans="1:24" ht="14.25" customHeight="1" x14ac:dyDescent="0.2">
      <c r="A19" s="5" t="s">
        <v>1528</v>
      </c>
      <c r="B19" s="3" t="s">
        <v>14</v>
      </c>
      <c r="C19" s="3" t="s">
        <v>32</v>
      </c>
      <c r="D19" s="3" t="s">
        <v>2353</v>
      </c>
      <c r="E19" s="3" t="s">
        <v>2354</v>
      </c>
      <c r="F19" s="3" t="s">
        <v>63</v>
      </c>
      <c r="G19" s="3" t="s">
        <v>64</v>
      </c>
      <c r="H19" s="3" t="s">
        <v>19</v>
      </c>
      <c r="I19" s="3">
        <v>116926</v>
      </c>
      <c r="J19" s="3">
        <v>166</v>
      </c>
      <c r="K19" s="3">
        <v>69132</v>
      </c>
      <c r="L19" s="3">
        <v>111957</v>
      </c>
      <c r="M19" s="3">
        <v>22</v>
      </c>
      <c r="N19" s="14">
        <v>4918.0409820000004</v>
      </c>
      <c r="O19" s="7">
        <f t="shared" si="0"/>
        <v>0.14197013495715238</v>
      </c>
      <c r="P19" s="14">
        <f t="shared" si="1"/>
        <v>29.626752903614459</v>
      </c>
      <c r="Q19" s="14">
        <f t="shared" si="2"/>
        <v>223.54731736363638</v>
      </c>
      <c r="R19" s="4">
        <f t="shared" si="3"/>
        <v>13.253012048192772</v>
      </c>
      <c r="S19" s="14">
        <f t="shared" si="4"/>
        <v>43.927945389747855</v>
      </c>
      <c r="T19" s="4">
        <f t="shared" si="5"/>
        <v>59.124574517216018</v>
      </c>
      <c r="U19" s="3">
        <f>LEN(A19) - LEN(SUBSTITUTE(A19,"&gt;","")) +1</f>
        <v>5</v>
      </c>
      <c r="V19" s="8">
        <f t="shared" si="6"/>
        <v>1.1334529572715027E-4</v>
      </c>
      <c r="W19" s="14">
        <f t="shared" si="7"/>
        <v>983.60819640000011</v>
      </c>
      <c r="X19" s="4">
        <f t="shared" si="8"/>
        <v>8.4167053814833935E-3</v>
      </c>
    </row>
    <row r="20" spans="1:24" ht="14.25" customHeight="1" x14ac:dyDescent="0.2">
      <c r="A20" s="5" t="s">
        <v>1529</v>
      </c>
      <c r="B20" s="3" t="s">
        <v>14</v>
      </c>
      <c r="C20" s="3" t="s">
        <v>32</v>
      </c>
      <c r="D20" s="3" t="s">
        <v>2362</v>
      </c>
      <c r="E20" s="3" t="s">
        <v>2352</v>
      </c>
      <c r="F20" s="3" t="s">
        <v>46</v>
      </c>
      <c r="G20" s="3" t="s">
        <v>22</v>
      </c>
      <c r="H20" s="3" t="s">
        <v>19</v>
      </c>
      <c r="I20" s="3">
        <v>264580</v>
      </c>
      <c r="J20" s="3">
        <v>143</v>
      </c>
      <c r="K20" s="3">
        <v>217526</v>
      </c>
      <c r="L20" s="3">
        <v>240731</v>
      </c>
      <c r="M20" s="3">
        <v>9</v>
      </c>
      <c r="N20" s="14">
        <v>4874.6517219999996</v>
      </c>
      <c r="O20" s="7">
        <f t="shared" si="0"/>
        <v>5.4047925013228519E-2</v>
      </c>
      <c r="P20" s="14">
        <f t="shared" si="1"/>
        <v>34.088473580419574</v>
      </c>
      <c r="Q20" s="14">
        <f t="shared" si="2"/>
        <v>541.62796911111104</v>
      </c>
      <c r="R20" s="4">
        <f t="shared" si="3"/>
        <v>6.2937062937062942</v>
      </c>
      <c r="S20" s="14">
        <f t="shared" si="4"/>
        <v>20.249372627538619</v>
      </c>
      <c r="T20" s="4">
        <f t="shared" si="5"/>
        <v>82.215586968024795</v>
      </c>
      <c r="U20" s="3">
        <f>LEN(A20) - LEN(SUBSTITUTE(A20,"&gt;","")) +1</f>
        <v>5</v>
      </c>
      <c r="V20" s="8">
        <f t="shared" si="6"/>
        <v>2.3787536071155393E-5</v>
      </c>
      <c r="W20" s="14">
        <f t="shared" si="7"/>
        <v>974.93034439999997</v>
      </c>
      <c r="X20" s="4">
        <f t="shared" si="8"/>
        <v>6.2803582018811966E-4</v>
      </c>
    </row>
    <row r="21" spans="1:24" ht="14.25" customHeight="1" x14ac:dyDescent="0.2">
      <c r="A21" s="5" t="s">
        <v>1530</v>
      </c>
      <c r="B21" s="3" t="s">
        <v>68</v>
      </c>
      <c r="C21" s="3" t="s">
        <v>32</v>
      </c>
      <c r="D21" s="3" t="s">
        <v>2362</v>
      </c>
      <c r="E21" s="3" t="s">
        <v>2352</v>
      </c>
      <c r="F21" s="3" t="s">
        <v>52</v>
      </c>
      <c r="G21" s="3" t="s">
        <v>58</v>
      </c>
      <c r="H21" s="3" t="s">
        <v>19</v>
      </c>
      <c r="I21" s="3">
        <v>140359</v>
      </c>
      <c r="J21" s="3">
        <v>139</v>
      </c>
      <c r="K21" s="3">
        <v>76130</v>
      </c>
      <c r="L21" s="3">
        <v>133578</v>
      </c>
      <c r="M21" s="3">
        <v>26</v>
      </c>
      <c r="N21" s="14">
        <v>6094.6667989999996</v>
      </c>
      <c r="O21" s="7">
        <f t="shared" si="0"/>
        <v>9.9031768536395948E-2</v>
      </c>
      <c r="P21" s="14">
        <f t="shared" si="1"/>
        <v>43.846523733812944</v>
      </c>
      <c r="Q21" s="14">
        <f t="shared" si="2"/>
        <v>234.41026149999999</v>
      </c>
      <c r="R21" s="4">
        <f t="shared" si="3"/>
        <v>18.705035971223023</v>
      </c>
      <c r="S21" s="14">
        <f t="shared" si="4"/>
        <v>45.626276774618574</v>
      </c>
      <c r="T21" s="4">
        <f t="shared" si="5"/>
        <v>54.239485889754135</v>
      </c>
      <c r="U21" s="3">
        <f>LEN(A21) - LEN(SUBSTITUTE(A21,"&gt;","")) +1</f>
        <v>5</v>
      </c>
      <c r="V21" s="8">
        <f t="shared" si="6"/>
        <v>1.3326566854439704E-4</v>
      </c>
      <c r="W21" s="14">
        <f t="shared" si="7"/>
        <v>1218.9333597999998</v>
      </c>
      <c r="X21" s="4">
        <f t="shared" si="8"/>
        <v>7.9023536807373024E-3</v>
      </c>
    </row>
    <row r="22" spans="1:24" ht="14.25" customHeight="1" x14ac:dyDescent="0.2">
      <c r="A22" s="5" t="s">
        <v>1531</v>
      </c>
      <c r="B22" s="3" t="s">
        <v>24</v>
      </c>
      <c r="C22" s="3" t="s">
        <v>35</v>
      </c>
      <c r="D22" s="3" t="s">
        <v>2363</v>
      </c>
      <c r="E22" s="3" t="s">
        <v>2358</v>
      </c>
      <c r="F22" s="3" t="s">
        <v>46</v>
      </c>
      <c r="G22" s="3" t="s">
        <v>27</v>
      </c>
      <c r="H22" s="3" t="s">
        <v>19</v>
      </c>
      <c r="I22" s="3">
        <v>284783</v>
      </c>
      <c r="J22" s="3">
        <v>132</v>
      </c>
      <c r="K22" s="3">
        <v>239363</v>
      </c>
      <c r="L22" s="3">
        <v>261467</v>
      </c>
      <c r="M22" s="3">
        <v>9</v>
      </c>
      <c r="N22" s="14">
        <v>1605.5380720000001</v>
      </c>
      <c r="O22" s="7">
        <f t="shared" si="0"/>
        <v>4.6351081349659214E-2</v>
      </c>
      <c r="P22" s="14">
        <f t="shared" si="1"/>
        <v>12.163167212121213</v>
      </c>
      <c r="Q22" s="14">
        <f t="shared" si="2"/>
        <v>178.3931191111111</v>
      </c>
      <c r="R22" s="4">
        <f t="shared" si="3"/>
        <v>6.8181818181818175</v>
      </c>
      <c r="S22" s="14">
        <f t="shared" si="4"/>
        <v>6.1404998412801612</v>
      </c>
      <c r="T22" s="4">
        <f t="shared" si="5"/>
        <v>84.051014281049078</v>
      </c>
      <c r="U22" s="3">
        <f>LEN(A22) - LEN(SUBSTITUTE(A22,"&gt;","")) +1</f>
        <v>2</v>
      </c>
      <c r="V22" s="8">
        <f t="shared" si="6"/>
        <v>2.3941674250857031E-5</v>
      </c>
      <c r="W22" s="14">
        <f t="shared" si="7"/>
        <v>802.76903600000003</v>
      </c>
      <c r="X22" s="4">
        <f t="shared" si="8"/>
        <v>1.7715374992377103E-3</v>
      </c>
    </row>
    <row r="23" spans="1:24" ht="14.25" customHeight="1" x14ac:dyDescent="0.2">
      <c r="A23" s="5" t="s">
        <v>1532</v>
      </c>
      <c r="B23" s="3" t="s">
        <v>24</v>
      </c>
      <c r="C23" s="3" t="s">
        <v>15</v>
      </c>
      <c r="D23" s="3" t="s">
        <v>2353</v>
      </c>
      <c r="E23" s="3" t="s">
        <v>2354</v>
      </c>
      <c r="F23" s="3" t="s">
        <v>72</v>
      </c>
      <c r="G23" s="3" t="s">
        <v>27</v>
      </c>
      <c r="H23" s="3" t="s">
        <v>19</v>
      </c>
      <c r="I23" s="3">
        <v>1100942</v>
      </c>
      <c r="J23" s="3">
        <v>129</v>
      </c>
      <c r="K23" s="3">
        <v>629973</v>
      </c>
      <c r="L23" s="3">
        <v>1041225</v>
      </c>
      <c r="M23" s="3">
        <v>147</v>
      </c>
      <c r="N23" s="14">
        <v>7979.3485890000002</v>
      </c>
      <c r="O23" s="7">
        <f t="shared" si="0"/>
        <v>1.1717238510293911E-2</v>
      </c>
      <c r="P23" s="14">
        <f t="shared" si="1"/>
        <v>61.85541541860465</v>
      </c>
      <c r="Q23" s="14">
        <f t="shared" si="2"/>
        <v>54.281282918367346</v>
      </c>
      <c r="R23" s="4">
        <f t="shared" si="3"/>
        <v>113.95348837209302</v>
      </c>
      <c r="S23" s="14">
        <f t="shared" si="4"/>
        <v>7.6634239371893687</v>
      </c>
      <c r="T23" s="4">
        <f t="shared" si="5"/>
        <v>57.221270511979739</v>
      </c>
      <c r="U23" s="3">
        <f>LEN(A23) - LEN(SUBSTITUTE(A23,"&gt;","")) +1</f>
        <v>5</v>
      </c>
      <c r="V23" s="8">
        <f t="shared" si="6"/>
        <v>1.0350544204153626E-4</v>
      </c>
      <c r="W23" s="14">
        <f t="shared" si="7"/>
        <v>1595.8697178</v>
      </c>
      <c r="X23" s="4">
        <f t="shared" si="8"/>
        <v>2.4598169581655459E-2</v>
      </c>
    </row>
    <row r="24" spans="1:24" ht="14.25" customHeight="1" x14ac:dyDescent="0.2">
      <c r="A24" s="5" t="s">
        <v>1533</v>
      </c>
      <c r="B24" s="3" t="s">
        <v>24</v>
      </c>
      <c r="C24" s="3" t="s">
        <v>29</v>
      </c>
      <c r="D24" s="3" t="s">
        <v>2364</v>
      </c>
      <c r="E24" s="3" t="s">
        <v>2365</v>
      </c>
      <c r="F24" s="3" t="s">
        <v>17</v>
      </c>
      <c r="G24" s="3" t="s">
        <v>22</v>
      </c>
      <c r="H24" s="3" t="s">
        <v>19</v>
      </c>
      <c r="I24" s="3">
        <v>510778</v>
      </c>
      <c r="J24" s="3">
        <v>129</v>
      </c>
      <c r="K24" s="3">
        <v>70777</v>
      </c>
      <c r="L24" s="3">
        <v>436133</v>
      </c>
      <c r="M24" s="3">
        <v>6</v>
      </c>
      <c r="N24" s="14">
        <v>3870.2538669999999</v>
      </c>
      <c r="O24" s="7">
        <f t="shared" si="0"/>
        <v>2.5255590491368066E-2</v>
      </c>
      <c r="P24" s="14">
        <f t="shared" si="1"/>
        <v>30.001967961240311</v>
      </c>
      <c r="Q24" s="14">
        <f t="shared" si="2"/>
        <v>645.04231116666665</v>
      </c>
      <c r="R24" s="4">
        <f t="shared" si="3"/>
        <v>4.6511627906976747</v>
      </c>
      <c r="S24" s="14">
        <f t="shared" si="4"/>
        <v>8.8740220689560285</v>
      </c>
      <c r="T24" s="4">
        <f t="shared" si="5"/>
        <v>13.85670486982603</v>
      </c>
      <c r="U24" s="3">
        <f>LEN(A24) - LEN(SUBSTITUTE(A24,"&gt;","")) +1</f>
        <v>6</v>
      </c>
      <c r="V24" s="8">
        <f t="shared" si="6"/>
        <v>9.106035872135595E-6</v>
      </c>
      <c r="W24" s="14">
        <f t="shared" si="7"/>
        <v>645.04231116666665</v>
      </c>
      <c r="X24" s="4">
        <f t="shared" si="8"/>
        <v>1.8210877134259442E-4</v>
      </c>
    </row>
    <row r="25" spans="1:24" ht="14.25" customHeight="1" x14ac:dyDescent="0.2">
      <c r="A25" s="5" t="s">
        <v>1534</v>
      </c>
      <c r="B25" s="3" t="s">
        <v>24</v>
      </c>
      <c r="C25" s="3" t="s">
        <v>15</v>
      </c>
      <c r="D25" s="3" t="s">
        <v>2353</v>
      </c>
      <c r="E25" s="3" t="s">
        <v>2354</v>
      </c>
      <c r="F25" s="3" t="s">
        <v>57</v>
      </c>
      <c r="G25" s="3" t="s">
        <v>76</v>
      </c>
      <c r="H25" s="3" t="s">
        <v>19</v>
      </c>
      <c r="I25" s="3">
        <v>1767940</v>
      </c>
      <c r="J25" s="3">
        <v>127</v>
      </c>
      <c r="K25" s="3">
        <v>881525</v>
      </c>
      <c r="L25" s="3">
        <v>1550866</v>
      </c>
      <c r="M25" s="3">
        <v>78</v>
      </c>
      <c r="N25" s="14">
        <v>7511.656191</v>
      </c>
      <c r="O25" s="7">
        <f t="shared" si="0"/>
        <v>7.1835017025464664E-3</v>
      </c>
      <c r="P25" s="14">
        <f t="shared" si="1"/>
        <v>59.146899141732284</v>
      </c>
      <c r="Q25" s="14">
        <f t="shared" si="2"/>
        <v>96.303284500000004</v>
      </c>
      <c r="R25" s="4">
        <f t="shared" si="3"/>
        <v>61.417322834645674</v>
      </c>
      <c r="S25" s="14">
        <f t="shared" si="4"/>
        <v>4.8435236770939589</v>
      </c>
      <c r="T25" s="4">
        <f t="shared" si="5"/>
        <v>49.861703451474597</v>
      </c>
      <c r="U25" s="3">
        <f>LEN(A25) - LEN(SUBSTITUTE(A25,"&gt;","")) +1</f>
        <v>5</v>
      </c>
      <c r="V25" s="8">
        <f t="shared" si="6"/>
        <v>3.4739483712482138E-5</v>
      </c>
      <c r="W25" s="14">
        <f t="shared" si="7"/>
        <v>1502.3312381999999</v>
      </c>
      <c r="X25" s="4">
        <f t="shared" si="8"/>
        <v>4.5812709861263673E-3</v>
      </c>
    </row>
    <row r="26" spans="1:24" ht="14.25" customHeight="1" x14ac:dyDescent="0.2">
      <c r="A26" s="5" t="s">
        <v>1535</v>
      </c>
      <c r="B26" s="3" t="s">
        <v>14</v>
      </c>
      <c r="C26" s="3" t="s">
        <v>15</v>
      </c>
      <c r="D26" s="3" t="s">
        <v>2366</v>
      </c>
      <c r="E26" s="3" t="s">
        <v>2352</v>
      </c>
      <c r="F26" s="3" t="s">
        <v>79</v>
      </c>
      <c r="G26" s="3" t="s">
        <v>27</v>
      </c>
      <c r="H26" s="3" t="s">
        <v>19</v>
      </c>
      <c r="I26" s="3">
        <v>210700</v>
      </c>
      <c r="J26" s="3">
        <v>124</v>
      </c>
      <c r="K26" s="3">
        <v>94625</v>
      </c>
      <c r="L26" s="3">
        <v>180681</v>
      </c>
      <c r="M26" s="3">
        <v>3</v>
      </c>
      <c r="N26" s="14">
        <v>6341.8793009999999</v>
      </c>
      <c r="O26" s="7">
        <f t="shared" si="0"/>
        <v>5.885144755576649E-2</v>
      </c>
      <c r="P26" s="14">
        <f t="shared" si="1"/>
        <v>51.144187911290324</v>
      </c>
      <c r="Q26" s="14">
        <f t="shared" si="2"/>
        <v>2113.9597669999998</v>
      </c>
      <c r="R26" s="4">
        <f t="shared" si="3"/>
        <v>2.4193548387096775</v>
      </c>
      <c r="S26" s="14">
        <f t="shared" si="4"/>
        <v>35.099868281667689</v>
      </c>
      <c r="T26" s="4">
        <f t="shared" si="5"/>
        <v>44.909824394874235</v>
      </c>
      <c r="U26" s="3">
        <f>LEN(A26) - LEN(SUBSTITUTE(A26,"&gt;","")) +1</f>
        <v>6</v>
      </c>
      <c r="V26" s="8">
        <f t="shared" si="6"/>
        <v>1.1482462452347781E-5</v>
      </c>
      <c r="W26" s="14">
        <f t="shared" si="7"/>
        <v>1056.9798834999999</v>
      </c>
      <c r="X26" s="4">
        <f t="shared" si="8"/>
        <v>6.7353474097178728E-5</v>
      </c>
    </row>
    <row r="27" spans="1:24" ht="14.25" customHeight="1" x14ac:dyDescent="0.2">
      <c r="A27" s="5" t="s">
        <v>1536</v>
      </c>
      <c r="B27" s="3" t="s">
        <v>24</v>
      </c>
      <c r="C27" s="3" t="s">
        <v>35</v>
      </c>
      <c r="D27" s="3" t="s">
        <v>2362</v>
      </c>
      <c r="E27" s="3" t="s">
        <v>2352</v>
      </c>
      <c r="F27" s="3" t="s">
        <v>48</v>
      </c>
      <c r="G27" s="3" t="s">
        <v>81</v>
      </c>
      <c r="H27" s="3" t="s">
        <v>19</v>
      </c>
      <c r="I27" s="3">
        <v>679098</v>
      </c>
      <c r="J27" s="3">
        <v>121</v>
      </c>
      <c r="K27" s="3">
        <v>467726</v>
      </c>
      <c r="L27" s="3">
        <v>634589</v>
      </c>
      <c r="M27" s="3">
        <v>9</v>
      </c>
      <c r="N27" s="14">
        <v>1477.4248560000001</v>
      </c>
      <c r="O27" s="7">
        <f t="shared" si="0"/>
        <v>1.7817752371528113E-2</v>
      </c>
      <c r="P27" s="14">
        <f t="shared" si="1"/>
        <v>12.210122776859505</v>
      </c>
      <c r="Q27" s="14">
        <f t="shared" si="2"/>
        <v>164.15831733333334</v>
      </c>
      <c r="R27" s="4">
        <f t="shared" si="3"/>
        <v>7.4380165289256199</v>
      </c>
      <c r="S27" s="14">
        <f t="shared" si="4"/>
        <v>2.3281602044788046</v>
      </c>
      <c r="T27" s="4">
        <f t="shared" si="5"/>
        <v>68.87459541921784</v>
      </c>
      <c r="U27" s="3">
        <f>LEN(A27) - LEN(SUBSTITUTE(A27,"&gt;","")) +1</f>
        <v>4</v>
      </c>
      <c r="V27" s="8">
        <f t="shared" si="6"/>
        <v>1.0952788152704941E-5</v>
      </c>
      <c r="W27" s="14">
        <f t="shared" si="7"/>
        <v>369.35621400000002</v>
      </c>
      <c r="X27" s="4">
        <f t="shared" si="8"/>
        <v>8.0732270408585014E-4</v>
      </c>
    </row>
    <row r="28" spans="1:24" ht="14.25" customHeight="1" x14ac:dyDescent="0.2">
      <c r="A28" s="5" t="s">
        <v>82</v>
      </c>
      <c r="B28" s="3" t="s">
        <v>14</v>
      </c>
      <c r="C28" s="3" t="s">
        <v>29</v>
      </c>
      <c r="D28" s="3" t="s">
        <v>2363</v>
      </c>
      <c r="E28" s="3" t="s">
        <v>2358</v>
      </c>
      <c r="F28" s="3" t="s">
        <v>40</v>
      </c>
      <c r="G28" s="3" t="s">
        <v>41</v>
      </c>
      <c r="H28" s="3" t="s">
        <v>19</v>
      </c>
      <c r="I28" s="3">
        <v>1601933</v>
      </c>
      <c r="J28" s="3">
        <v>113</v>
      </c>
      <c r="K28" s="3">
        <v>1135085</v>
      </c>
      <c r="L28" s="3">
        <v>1487426</v>
      </c>
      <c r="M28" s="3">
        <v>29</v>
      </c>
      <c r="N28" s="14">
        <v>6785.7097899999999</v>
      </c>
      <c r="O28" s="7">
        <f t="shared" si="0"/>
        <v>7.0539779129339371E-3</v>
      </c>
      <c r="P28" s="14">
        <f t="shared" si="1"/>
        <v>60.050529115044249</v>
      </c>
      <c r="Q28" s="14">
        <f t="shared" si="2"/>
        <v>233.98999275862067</v>
      </c>
      <c r="R28" s="4">
        <f t="shared" si="3"/>
        <v>25.663716814159294</v>
      </c>
      <c r="S28" s="14">
        <f t="shared" si="4"/>
        <v>4.5620486598997187</v>
      </c>
      <c r="T28" s="4">
        <f t="shared" si="5"/>
        <v>70.857208135421388</v>
      </c>
      <c r="U28" s="3">
        <f>LEN(A28) - LEN(SUBSTITUTE(A28,"&gt;","")) +1</f>
        <v>4</v>
      </c>
      <c r="V28" s="8">
        <f t="shared" si="6"/>
        <v>1.6020468280608049E-5</v>
      </c>
      <c r="W28" s="14">
        <f t="shared" si="7"/>
        <v>1696.4274475</v>
      </c>
      <c r="X28" s="4">
        <f t="shared" si="8"/>
        <v>7.7367108497507057E-4</v>
      </c>
    </row>
    <row r="29" spans="1:24" ht="14.25" customHeight="1" x14ac:dyDescent="0.2">
      <c r="A29" s="5" t="s">
        <v>1537</v>
      </c>
      <c r="B29" s="3" t="s">
        <v>24</v>
      </c>
      <c r="C29" s="3" t="s">
        <v>15</v>
      </c>
      <c r="D29" s="3" t="s">
        <v>2367</v>
      </c>
      <c r="E29" s="3" t="s">
        <v>2352</v>
      </c>
      <c r="F29" s="3" t="s">
        <v>48</v>
      </c>
      <c r="G29" s="3" t="s">
        <v>27</v>
      </c>
      <c r="H29" s="3" t="s">
        <v>19</v>
      </c>
      <c r="I29" s="3">
        <v>766674</v>
      </c>
      <c r="J29" s="3">
        <v>103</v>
      </c>
      <c r="K29" s="3">
        <v>344201</v>
      </c>
      <c r="L29" s="3">
        <v>720606</v>
      </c>
      <c r="M29" s="3">
        <v>17</v>
      </c>
      <c r="N29" s="14">
        <v>5816.2346189999998</v>
      </c>
      <c r="O29" s="7">
        <f t="shared" si="0"/>
        <v>1.3434654103308578E-2</v>
      </c>
      <c r="P29" s="14">
        <f t="shared" si="1"/>
        <v>56.468297271844662</v>
      </c>
      <c r="Q29" s="14">
        <f t="shared" si="2"/>
        <v>342.1314481764706</v>
      </c>
      <c r="R29" s="4">
        <f t="shared" si="3"/>
        <v>16.50485436893204</v>
      </c>
      <c r="S29" s="14">
        <f t="shared" si="4"/>
        <v>8.0713102846770628</v>
      </c>
      <c r="T29" s="4">
        <f t="shared" si="5"/>
        <v>44.895353174882672</v>
      </c>
      <c r="U29" s="3">
        <f>LEN(A29) - LEN(SUBSTITUTE(A29,"&gt;","")) +1</f>
        <v>5</v>
      </c>
      <c r="V29" s="8">
        <f t="shared" si="6"/>
        <v>2.1527864997289642E-5</v>
      </c>
      <c r="W29" s="14">
        <f t="shared" si="7"/>
        <v>1163.2469237999999</v>
      </c>
      <c r="X29" s="4">
        <f t="shared" si="8"/>
        <v>6.4810472891025175E-4</v>
      </c>
    </row>
    <row r="30" spans="1:24" ht="14.25" customHeight="1" x14ac:dyDescent="0.2">
      <c r="A30" s="5" t="s">
        <v>1538</v>
      </c>
      <c r="B30" s="3" t="s">
        <v>14</v>
      </c>
      <c r="C30" s="3" t="s">
        <v>35</v>
      </c>
      <c r="D30" s="3" t="s">
        <v>2368</v>
      </c>
      <c r="E30" s="3" t="s">
        <v>2352</v>
      </c>
      <c r="F30" s="3" t="s">
        <v>87</v>
      </c>
      <c r="G30" s="3" t="s">
        <v>27</v>
      </c>
      <c r="H30" s="3" t="s">
        <v>19</v>
      </c>
      <c r="I30" s="3">
        <v>98509</v>
      </c>
      <c r="J30" s="3">
        <v>103</v>
      </c>
      <c r="K30" s="3">
        <v>30688</v>
      </c>
      <c r="L30" s="3">
        <v>109518</v>
      </c>
      <c r="M30" s="3">
        <v>19</v>
      </c>
      <c r="N30" s="14">
        <v>2059.2702939999999</v>
      </c>
      <c r="O30" s="7">
        <f t="shared" si="0"/>
        <v>0.1045589743069161</v>
      </c>
      <c r="P30" s="14">
        <f t="shared" si="1"/>
        <v>19.992915475728154</v>
      </c>
      <c r="Q30" s="14">
        <f t="shared" si="2"/>
        <v>108.38264705263157</v>
      </c>
      <c r="R30" s="4">
        <f t="shared" si="3"/>
        <v>18.446601941747574</v>
      </c>
      <c r="S30" s="14">
        <f t="shared" si="4"/>
        <v>18.803030497269855</v>
      </c>
      <c r="T30" s="4">
        <f t="shared" si="5"/>
        <v>31.152483529423709</v>
      </c>
      <c r="U30" s="3">
        <f>LEN(A30) - LEN(SUBSTITUTE(A30,"&gt;","")) +1</f>
        <v>5</v>
      </c>
      <c r="V30" s="8">
        <f t="shared" si="6"/>
        <v>1.8725803674534889E-4</v>
      </c>
      <c r="W30" s="14">
        <f t="shared" si="7"/>
        <v>411.85405879999996</v>
      </c>
      <c r="X30" s="4">
        <f t="shared" si="8"/>
        <v>1.7795817235765347E-2</v>
      </c>
    </row>
    <row r="31" spans="1:24" ht="14.25" customHeight="1" x14ac:dyDescent="0.2">
      <c r="A31" s="5" t="s">
        <v>88</v>
      </c>
      <c r="B31" s="3" t="s">
        <v>14</v>
      </c>
      <c r="C31" s="3" t="s">
        <v>29</v>
      </c>
      <c r="D31" s="3" t="s">
        <v>2357</v>
      </c>
      <c r="E31" s="3" t="s">
        <v>2358</v>
      </c>
      <c r="F31" s="3" t="s">
        <v>40</v>
      </c>
      <c r="G31" s="3" t="s">
        <v>27</v>
      </c>
      <c r="H31" s="3" t="s">
        <v>19</v>
      </c>
      <c r="I31" s="3">
        <v>1515751</v>
      </c>
      <c r="J31" s="3">
        <v>98</v>
      </c>
      <c r="K31" s="3">
        <v>1151776</v>
      </c>
      <c r="L31" s="3">
        <v>1396230</v>
      </c>
      <c r="M31" s="3">
        <v>49</v>
      </c>
      <c r="N31" s="14">
        <v>7850.6442440000001</v>
      </c>
      <c r="O31" s="7">
        <f t="shared" si="0"/>
        <v>6.4654418832644682E-3</v>
      </c>
      <c r="P31" s="14">
        <f t="shared" si="1"/>
        <v>80.108614734693873</v>
      </c>
      <c r="Q31" s="14">
        <f t="shared" si="2"/>
        <v>160.21722946938775</v>
      </c>
      <c r="R31" s="4">
        <f t="shared" si="3"/>
        <v>50</v>
      </c>
      <c r="S31" s="14">
        <f t="shared" si="4"/>
        <v>5.6227442785214468</v>
      </c>
      <c r="T31" s="4">
        <f t="shared" si="5"/>
        <v>75.987150923865471</v>
      </c>
      <c r="U31" s="3">
        <f>LEN(A31) - LEN(SUBSTITUTE(A31,"&gt;","")) +1</f>
        <v>4</v>
      </c>
      <c r="V31" s="8">
        <f t="shared" si="6"/>
        <v>3.2986948384002385E-5</v>
      </c>
      <c r="W31" s="14">
        <f t="shared" si="7"/>
        <v>1962.661061</v>
      </c>
      <c r="X31" s="4">
        <f t="shared" si="8"/>
        <v>2.0177111739720231E-3</v>
      </c>
    </row>
    <row r="32" spans="1:24" ht="14.25" customHeight="1" x14ac:dyDescent="0.2">
      <c r="A32" s="5" t="s">
        <v>1539</v>
      </c>
      <c r="B32" s="3" t="s">
        <v>14</v>
      </c>
      <c r="C32" s="3" t="s">
        <v>29</v>
      </c>
      <c r="D32" s="3" t="s">
        <v>2353</v>
      </c>
      <c r="E32" s="3" t="s">
        <v>2354</v>
      </c>
      <c r="F32" s="3" t="s">
        <v>48</v>
      </c>
      <c r="G32" s="3" t="s">
        <v>58</v>
      </c>
      <c r="H32" s="3" t="s">
        <v>19</v>
      </c>
      <c r="I32" s="3">
        <v>1323451</v>
      </c>
      <c r="J32" s="3">
        <v>97</v>
      </c>
      <c r="K32" s="3">
        <v>737990</v>
      </c>
      <c r="L32" s="3">
        <v>1177859</v>
      </c>
      <c r="M32" s="3">
        <v>123</v>
      </c>
      <c r="N32" s="14">
        <v>8187.1145409999999</v>
      </c>
      <c r="O32" s="7">
        <f t="shared" si="0"/>
        <v>7.3293231105647279E-3</v>
      </c>
      <c r="P32" s="14">
        <f t="shared" si="1"/>
        <v>84.403242690721655</v>
      </c>
      <c r="Q32" s="14">
        <f t="shared" si="2"/>
        <v>66.561906837398368</v>
      </c>
      <c r="R32" s="4">
        <f t="shared" si="3"/>
        <v>126.8041237113402</v>
      </c>
      <c r="S32" s="14">
        <f t="shared" si="4"/>
        <v>6.9508443209246602</v>
      </c>
      <c r="T32" s="4">
        <f t="shared" si="5"/>
        <v>55.762548065625396</v>
      </c>
      <c r="U32" s="3">
        <f>LEN(A32) - LEN(SUBSTITUTE(A32,"&gt;","")) +1</f>
        <v>5</v>
      </c>
      <c r="V32" s="8">
        <f t="shared" si="6"/>
        <v>9.5813236539426242E-5</v>
      </c>
      <c r="W32" s="14">
        <f t="shared" si="7"/>
        <v>1637.4229081999999</v>
      </c>
      <c r="X32" s="4">
        <f t="shared" si="8"/>
        <v>1.3962766972749192E-2</v>
      </c>
    </row>
    <row r="33" spans="1:24" ht="14.25" customHeight="1" x14ac:dyDescent="0.2">
      <c r="A33" s="5" t="s">
        <v>90</v>
      </c>
      <c r="B33" s="3" t="s">
        <v>24</v>
      </c>
      <c r="C33" s="3" t="s">
        <v>15</v>
      </c>
      <c r="D33" s="3" t="s">
        <v>2369</v>
      </c>
      <c r="E33" s="3" t="s">
        <v>2365</v>
      </c>
      <c r="F33" s="3" t="s">
        <v>57</v>
      </c>
      <c r="G33" s="3" t="s">
        <v>27</v>
      </c>
      <c r="H33" s="3" t="s">
        <v>19</v>
      </c>
      <c r="I33" s="3">
        <v>310255</v>
      </c>
      <c r="J33" s="3">
        <v>97</v>
      </c>
      <c r="K33" s="3">
        <v>105054</v>
      </c>
      <c r="L33" s="3">
        <v>260998</v>
      </c>
      <c r="M33" s="3">
        <v>14</v>
      </c>
      <c r="N33" s="14">
        <v>6057.8567220000004</v>
      </c>
      <c r="O33" s="7">
        <f t="shared" si="0"/>
        <v>3.1264604921757908E-2</v>
      </c>
      <c r="P33" s="14">
        <f t="shared" si="1"/>
        <v>62.452131154639183</v>
      </c>
      <c r="Q33" s="14">
        <f t="shared" si="2"/>
        <v>432.70405157142858</v>
      </c>
      <c r="R33" s="4">
        <f t="shared" si="3"/>
        <v>14.432989690721648</v>
      </c>
      <c r="S33" s="14">
        <f t="shared" si="4"/>
        <v>23.21035686863501</v>
      </c>
      <c r="T33" s="4">
        <f t="shared" si="5"/>
        <v>33.860534076807788</v>
      </c>
      <c r="U33" s="3">
        <f>LEN(A33) - LEN(SUBSTITUTE(A33,"&gt;","")) +1</f>
        <v>4</v>
      </c>
      <c r="V33" s="8">
        <f t="shared" si="6"/>
        <v>4.6519765002084249E-5</v>
      </c>
      <c r="W33" s="14">
        <f t="shared" si="7"/>
        <v>1514.4641805000001</v>
      </c>
      <c r="X33" s="4">
        <f t="shared" si="8"/>
        <v>1.0428414499043083E-3</v>
      </c>
    </row>
    <row r="34" spans="1:24" ht="14.25" customHeight="1" x14ac:dyDescent="0.2">
      <c r="A34" s="5" t="s">
        <v>92</v>
      </c>
      <c r="B34" s="3" t="s">
        <v>68</v>
      </c>
      <c r="C34" s="3" t="s">
        <v>32</v>
      </c>
      <c r="D34" s="3" t="s">
        <v>2353</v>
      </c>
      <c r="E34" s="3" t="s">
        <v>2354</v>
      </c>
      <c r="F34" s="3" t="s">
        <v>48</v>
      </c>
      <c r="G34" s="3" t="s">
        <v>38</v>
      </c>
      <c r="H34" s="3" t="s">
        <v>19</v>
      </c>
      <c r="I34" s="3">
        <v>1083050</v>
      </c>
      <c r="J34" s="3">
        <v>96</v>
      </c>
      <c r="K34" s="3">
        <v>590156</v>
      </c>
      <c r="L34" s="3">
        <v>953556</v>
      </c>
      <c r="M34" s="3">
        <v>19</v>
      </c>
      <c r="N34" s="14">
        <v>7495.749847</v>
      </c>
      <c r="O34" s="7">
        <f t="shared" si="0"/>
        <v>8.8638567009833354E-3</v>
      </c>
      <c r="P34" s="14">
        <f t="shared" si="1"/>
        <v>78.080727572916672</v>
      </c>
      <c r="Q34" s="14">
        <f t="shared" si="2"/>
        <v>394.51314984210529</v>
      </c>
      <c r="R34" s="4">
        <f t="shared" si="3"/>
        <v>19.791666666666664</v>
      </c>
      <c r="S34" s="14">
        <f t="shared" si="4"/>
        <v>7.8608386366401142</v>
      </c>
      <c r="T34" s="4">
        <f t="shared" si="5"/>
        <v>54.490189741932504</v>
      </c>
      <c r="U34" s="3">
        <f>LEN(A34) - LEN(SUBSTITUTE(A34,"&gt;","")) +1</f>
        <v>4</v>
      </c>
      <c r="V34" s="8">
        <f t="shared" si="6"/>
        <v>1.8274010125725187E-5</v>
      </c>
      <c r="W34" s="14">
        <f t="shared" si="7"/>
        <v>1873.93746175</v>
      </c>
      <c r="X34" s="4">
        <f t="shared" si="8"/>
        <v>4.4467591834942332E-4</v>
      </c>
    </row>
    <row r="35" spans="1:24" ht="14.25" customHeight="1" x14ac:dyDescent="0.2">
      <c r="A35" s="5" t="s">
        <v>93</v>
      </c>
      <c r="B35" s="3" t="s">
        <v>14</v>
      </c>
      <c r="C35" s="3" t="s">
        <v>35</v>
      </c>
      <c r="D35" s="3" t="s">
        <v>2363</v>
      </c>
      <c r="E35" s="3" t="s">
        <v>2358</v>
      </c>
      <c r="F35" s="3" t="s">
        <v>40</v>
      </c>
      <c r="G35" s="3" t="s">
        <v>27</v>
      </c>
      <c r="H35" s="3" t="s">
        <v>19</v>
      </c>
      <c r="I35" s="3">
        <v>999915</v>
      </c>
      <c r="J35" s="3">
        <v>95</v>
      </c>
      <c r="K35" s="3">
        <v>618816</v>
      </c>
      <c r="L35" s="3">
        <v>829942</v>
      </c>
      <c r="M35" s="3">
        <v>23</v>
      </c>
      <c r="N35" s="14">
        <v>7879.3167869999997</v>
      </c>
      <c r="O35" s="7">
        <f t="shared" si="0"/>
        <v>9.5008075686433355E-3</v>
      </c>
      <c r="P35" s="14">
        <f t="shared" si="1"/>
        <v>82.940176705263156</v>
      </c>
      <c r="Q35" s="14">
        <f t="shared" si="2"/>
        <v>342.5789907391304</v>
      </c>
      <c r="R35" s="4">
        <f t="shared" si="3"/>
        <v>24.210526315789473</v>
      </c>
      <c r="S35" s="14">
        <f t="shared" si="4"/>
        <v>9.4938161787209214</v>
      </c>
      <c r="T35" s="4">
        <f t="shared" si="5"/>
        <v>61.886860383132571</v>
      </c>
      <c r="U35" s="3">
        <f>LEN(A35) - LEN(SUBSTITUTE(A35,"&gt;","")) +1</f>
        <v>4</v>
      </c>
      <c r="V35" s="8">
        <f t="shared" si="6"/>
        <v>2.4212584385462237E-5</v>
      </c>
      <c r="W35" s="14">
        <f t="shared" si="7"/>
        <v>1969.8291967499999</v>
      </c>
      <c r="X35" s="4">
        <f t="shared" si="8"/>
        <v>6.714350788576182E-4</v>
      </c>
    </row>
    <row r="36" spans="1:24" ht="14.25" customHeight="1" x14ac:dyDescent="0.2">
      <c r="A36" s="5" t="s">
        <v>1540</v>
      </c>
      <c r="B36" s="3" t="s">
        <v>24</v>
      </c>
      <c r="C36" s="3" t="s">
        <v>32</v>
      </c>
      <c r="D36" s="3" t="s">
        <v>2353</v>
      </c>
      <c r="E36" s="3" t="s">
        <v>2354</v>
      </c>
      <c r="F36" s="3" t="s">
        <v>48</v>
      </c>
      <c r="G36" s="3" t="s">
        <v>27</v>
      </c>
      <c r="H36" s="3" t="s">
        <v>19</v>
      </c>
      <c r="I36" s="3">
        <v>470192</v>
      </c>
      <c r="J36" s="3">
        <v>94</v>
      </c>
      <c r="K36" s="3">
        <v>336480</v>
      </c>
      <c r="L36" s="3">
        <v>443202</v>
      </c>
      <c r="M36" s="3">
        <v>3</v>
      </c>
      <c r="N36" s="14">
        <v>4963.9662509999998</v>
      </c>
      <c r="O36" s="7">
        <f t="shared" si="0"/>
        <v>1.9991833123489979E-2</v>
      </c>
      <c r="P36" s="14">
        <f t="shared" si="1"/>
        <v>52.808151606382978</v>
      </c>
      <c r="Q36" s="14">
        <f t="shared" si="2"/>
        <v>1654.6554169999999</v>
      </c>
      <c r="R36" s="4">
        <f t="shared" si="3"/>
        <v>3.1914893617021276</v>
      </c>
      <c r="S36" s="14">
        <f t="shared" si="4"/>
        <v>11.200234319790974</v>
      </c>
      <c r="T36" s="4">
        <f t="shared" si="5"/>
        <v>71.562255419062851</v>
      </c>
      <c r="U36" s="3">
        <f>LEN(A36) - LEN(SUBSTITUTE(A36,"&gt;","")) +1</f>
        <v>5</v>
      </c>
      <c r="V36" s="8">
        <f t="shared" si="6"/>
        <v>6.7876300781428175E-6</v>
      </c>
      <c r="W36" s="14">
        <f t="shared" si="7"/>
        <v>992.79325019999999</v>
      </c>
      <c r="X36" s="4">
        <f t="shared" si="8"/>
        <v>3.8560126827024126E-5</v>
      </c>
    </row>
    <row r="37" spans="1:24" ht="14.25" customHeight="1" x14ac:dyDescent="0.2">
      <c r="A37" s="5" t="s">
        <v>1541</v>
      </c>
      <c r="B37" s="3" t="s">
        <v>24</v>
      </c>
      <c r="C37" s="3" t="s">
        <v>35</v>
      </c>
      <c r="D37" s="3" t="s">
        <v>2349</v>
      </c>
      <c r="E37" s="3" t="s">
        <v>2350</v>
      </c>
      <c r="F37" s="3" t="s">
        <v>96</v>
      </c>
      <c r="G37" s="3" t="s">
        <v>27</v>
      </c>
      <c r="H37" s="3" t="s">
        <v>19</v>
      </c>
      <c r="I37" s="3">
        <v>186404</v>
      </c>
      <c r="J37" s="3">
        <v>94</v>
      </c>
      <c r="K37" s="3">
        <v>30885</v>
      </c>
      <c r="L37" s="3">
        <v>151358</v>
      </c>
      <c r="M37" s="3">
        <v>3</v>
      </c>
      <c r="N37" s="14">
        <v>4702.027505</v>
      </c>
      <c r="O37" s="7">
        <f t="shared" si="0"/>
        <v>5.0428102401236019E-2</v>
      </c>
      <c r="P37" s="14">
        <f t="shared" si="1"/>
        <v>50.021569202127658</v>
      </c>
      <c r="Q37" s="14">
        <f t="shared" si="2"/>
        <v>1567.3425016666667</v>
      </c>
      <c r="R37" s="4">
        <f t="shared" si="3"/>
        <v>3.1914893617021276</v>
      </c>
      <c r="S37" s="14">
        <f t="shared" si="4"/>
        <v>31.065602776199473</v>
      </c>
      <c r="T37" s="4">
        <f t="shared" si="5"/>
        <v>16.568850453852921</v>
      </c>
      <c r="U37" s="3">
        <f>LEN(A37) - LEN(SUBSTITUTE(A37,"&gt;","")) +1</f>
        <v>6</v>
      </c>
      <c r="V37" s="8">
        <f t="shared" si="6"/>
        <v>1.7121356632379818E-5</v>
      </c>
      <c r="W37" s="14">
        <f t="shared" si="7"/>
        <v>783.67125083333337</v>
      </c>
      <c r="X37" s="4">
        <f t="shared" si="8"/>
        <v>1.0268384362271203E-4</v>
      </c>
    </row>
    <row r="38" spans="1:24" ht="14.25" customHeight="1" x14ac:dyDescent="0.2">
      <c r="A38" s="5" t="s">
        <v>1542</v>
      </c>
      <c r="B38" s="3" t="s">
        <v>24</v>
      </c>
      <c r="C38" s="3" t="s">
        <v>32</v>
      </c>
      <c r="D38" s="3" t="s">
        <v>2353</v>
      </c>
      <c r="E38" s="3" t="s">
        <v>2354</v>
      </c>
      <c r="F38" s="3" t="s">
        <v>98</v>
      </c>
      <c r="G38" s="3" t="s">
        <v>27</v>
      </c>
      <c r="H38" s="3" t="s">
        <v>19</v>
      </c>
      <c r="I38" s="3">
        <v>42451</v>
      </c>
      <c r="J38" s="3">
        <v>94</v>
      </c>
      <c r="K38" s="3">
        <v>29142</v>
      </c>
      <c r="L38" s="3">
        <v>41093</v>
      </c>
      <c r="M38" s="3">
        <v>3</v>
      </c>
      <c r="N38" s="14">
        <v>1530.553686</v>
      </c>
      <c r="O38" s="7">
        <f t="shared" si="0"/>
        <v>0.22143176839179288</v>
      </c>
      <c r="P38" s="14">
        <f t="shared" si="1"/>
        <v>16.282486021276597</v>
      </c>
      <c r="Q38" s="14">
        <f t="shared" si="2"/>
        <v>510.18456199999997</v>
      </c>
      <c r="R38" s="4">
        <f t="shared" si="3"/>
        <v>3.1914893617021276</v>
      </c>
      <c r="S38" s="14">
        <f t="shared" si="4"/>
        <v>37.246092667850974</v>
      </c>
      <c r="T38" s="4">
        <f t="shared" si="5"/>
        <v>68.648559515676894</v>
      </c>
      <c r="U38" s="3">
        <f>LEN(A38) - LEN(SUBSTITUTE(A38,"&gt;","")) +1</f>
        <v>3</v>
      </c>
      <c r="V38" s="8">
        <f t="shared" si="6"/>
        <v>7.5180546081414512E-5</v>
      </c>
      <c r="W38" s="14">
        <f t="shared" si="7"/>
        <v>510.18456199999997</v>
      </c>
      <c r="X38" s="4">
        <f t="shared" si="8"/>
        <v>1.3851793758614288E-3</v>
      </c>
    </row>
    <row r="39" spans="1:24" ht="14.25" customHeight="1" x14ac:dyDescent="0.2">
      <c r="A39" s="5" t="s">
        <v>1543</v>
      </c>
      <c r="B39" s="3" t="s">
        <v>14</v>
      </c>
      <c r="C39" s="3" t="s">
        <v>32</v>
      </c>
      <c r="D39" s="3" t="s">
        <v>2353</v>
      </c>
      <c r="E39" s="3" t="s">
        <v>2354</v>
      </c>
      <c r="F39" s="3" t="s">
        <v>48</v>
      </c>
      <c r="G39" s="3" t="s">
        <v>76</v>
      </c>
      <c r="H39" s="3" t="s">
        <v>19</v>
      </c>
      <c r="I39" s="3">
        <v>742281</v>
      </c>
      <c r="J39" s="3">
        <v>93</v>
      </c>
      <c r="K39" s="3">
        <v>432673</v>
      </c>
      <c r="L39" s="3">
        <v>642404</v>
      </c>
      <c r="M39" s="3">
        <v>11</v>
      </c>
      <c r="N39" s="14">
        <v>6024.4224869999998</v>
      </c>
      <c r="O39" s="7">
        <f t="shared" si="0"/>
        <v>1.2528947932117352E-2</v>
      </c>
      <c r="P39" s="14">
        <f t="shared" si="1"/>
        <v>64.778736419354843</v>
      </c>
      <c r="Q39" s="14">
        <f t="shared" si="2"/>
        <v>547.67477154545452</v>
      </c>
      <c r="R39" s="4">
        <f t="shared" si="3"/>
        <v>11.827956989247312</v>
      </c>
      <c r="S39" s="14">
        <f t="shared" si="4"/>
        <v>9.3779342703345563</v>
      </c>
      <c r="T39" s="4">
        <f t="shared" si="5"/>
        <v>58.289650415408722</v>
      </c>
      <c r="U39" s="3">
        <f>LEN(A39) - LEN(SUBSTITUTE(A39,"&gt;","")) +1</f>
        <v>5</v>
      </c>
      <c r="V39" s="8">
        <f t="shared" si="6"/>
        <v>1.5934608307699257E-5</v>
      </c>
      <c r="W39" s="14">
        <f t="shared" si="7"/>
        <v>1204.8844973999999</v>
      </c>
      <c r="X39" s="4">
        <f t="shared" si="8"/>
        <v>2.7058368389587913E-4</v>
      </c>
    </row>
    <row r="40" spans="1:24" ht="14.25" customHeight="1" x14ac:dyDescent="0.2">
      <c r="A40" s="5" t="s">
        <v>100</v>
      </c>
      <c r="B40" s="3" t="s">
        <v>14</v>
      </c>
      <c r="C40" s="3" t="s">
        <v>29</v>
      </c>
      <c r="D40" s="3" t="s">
        <v>2349</v>
      </c>
      <c r="E40" s="3" t="s">
        <v>2350</v>
      </c>
      <c r="F40" s="3" t="s">
        <v>79</v>
      </c>
      <c r="G40" s="3" t="s">
        <v>27</v>
      </c>
      <c r="H40" s="3" t="s">
        <v>19</v>
      </c>
      <c r="I40" s="3">
        <v>654902</v>
      </c>
      <c r="J40" s="3">
        <v>92</v>
      </c>
      <c r="K40" s="3">
        <v>40733</v>
      </c>
      <c r="L40" s="3">
        <v>477114</v>
      </c>
      <c r="M40" s="3">
        <v>4</v>
      </c>
      <c r="N40" s="14">
        <v>3178.6103149999999</v>
      </c>
      <c r="O40" s="7">
        <f t="shared" si="0"/>
        <v>1.404790335042495E-2</v>
      </c>
      <c r="P40" s="14">
        <f t="shared" si="1"/>
        <v>34.550112119565213</v>
      </c>
      <c r="Q40" s="14">
        <f t="shared" si="2"/>
        <v>794.65257874999998</v>
      </c>
      <c r="R40" s="4">
        <f t="shared" si="3"/>
        <v>4.3478260869565215</v>
      </c>
      <c r="S40" s="14">
        <f t="shared" si="4"/>
        <v>6.6621610663279638</v>
      </c>
      <c r="T40" s="4">
        <f t="shared" si="5"/>
        <v>6.219709208400646</v>
      </c>
      <c r="U40" s="3">
        <f>LEN(A40) - LEN(SUBSTITUTE(A40,"&gt;","")) +1</f>
        <v>1</v>
      </c>
      <c r="V40" s="8">
        <f t="shared" si="6"/>
        <v>6.6388957232632078E-6</v>
      </c>
      <c r="W40" s="14">
        <f t="shared" si="7"/>
        <v>3178.6103149999999</v>
      </c>
      <c r="X40" s="4">
        <f t="shared" si="8"/>
        <v>7.6861061408871093E-5</v>
      </c>
    </row>
    <row r="41" spans="1:24" ht="14.25" customHeight="1" x14ac:dyDescent="0.2">
      <c r="A41" s="5" t="s">
        <v>101</v>
      </c>
      <c r="B41" s="3" t="s">
        <v>24</v>
      </c>
      <c r="C41" s="3" t="s">
        <v>29</v>
      </c>
      <c r="D41" s="3" t="s">
        <v>2353</v>
      </c>
      <c r="E41" s="3" t="s">
        <v>2354</v>
      </c>
      <c r="F41" s="3" t="s">
        <v>48</v>
      </c>
      <c r="G41" s="3" t="s">
        <v>22</v>
      </c>
      <c r="H41" s="3" t="s">
        <v>19</v>
      </c>
      <c r="I41" s="3">
        <v>728841</v>
      </c>
      <c r="J41" s="3">
        <v>91</v>
      </c>
      <c r="K41" s="3">
        <v>424340</v>
      </c>
      <c r="L41" s="3">
        <v>634059</v>
      </c>
      <c r="M41" s="3">
        <v>37</v>
      </c>
      <c r="N41" s="14">
        <v>8054.1413679999996</v>
      </c>
      <c r="O41" s="7">
        <f t="shared" si="0"/>
        <v>1.2485576415157766E-2</v>
      </c>
      <c r="P41" s="14">
        <f t="shared" si="1"/>
        <v>88.507047999999998</v>
      </c>
      <c r="Q41" s="14">
        <f t="shared" si="2"/>
        <v>217.67949643243242</v>
      </c>
      <c r="R41" s="4">
        <f t="shared" si="3"/>
        <v>40.659340659340657</v>
      </c>
      <c r="S41" s="14">
        <f t="shared" si="4"/>
        <v>12.702510914599429</v>
      </c>
      <c r="T41" s="4">
        <f t="shared" si="5"/>
        <v>58.221203252835664</v>
      </c>
      <c r="U41" s="3">
        <f>LEN(A41) - LEN(SUBSTITUTE(A41,"&gt;","")) +1</f>
        <v>4</v>
      </c>
      <c r="V41" s="8">
        <f t="shared" si="6"/>
        <v>5.5786297229904268E-5</v>
      </c>
      <c r="W41" s="14">
        <f t="shared" si="7"/>
        <v>2013.5353419999999</v>
      </c>
      <c r="X41" s="4">
        <f t="shared" si="8"/>
        <v>2.3321227451925169E-3</v>
      </c>
    </row>
    <row r="42" spans="1:24" ht="14.25" customHeight="1" x14ac:dyDescent="0.2">
      <c r="A42" s="5" t="s">
        <v>1544</v>
      </c>
      <c r="B42" s="3" t="s">
        <v>14</v>
      </c>
      <c r="C42" s="3" t="s">
        <v>35</v>
      </c>
      <c r="D42" s="3" t="s">
        <v>2359</v>
      </c>
      <c r="E42" s="3" t="s">
        <v>2360</v>
      </c>
      <c r="F42" s="3" t="s">
        <v>46</v>
      </c>
      <c r="G42" s="3" t="s">
        <v>58</v>
      </c>
      <c r="H42" s="3" t="s">
        <v>19</v>
      </c>
      <c r="I42" s="3">
        <v>183230</v>
      </c>
      <c r="J42" s="3">
        <v>89</v>
      </c>
      <c r="K42" s="3">
        <v>155260</v>
      </c>
      <c r="L42" s="3">
        <v>169583</v>
      </c>
      <c r="M42" s="3">
        <v>34</v>
      </c>
      <c r="N42" s="14">
        <v>7863.469709</v>
      </c>
      <c r="O42" s="7">
        <f t="shared" si="0"/>
        <v>4.8572831959831905E-2</v>
      </c>
      <c r="P42" s="14">
        <f t="shared" si="1"/>
        <v>88.353592235955063</v>
      </c>
      <c r="Q42" s="14">
        <f t="shared" si="2"/>
        <v>231.27852085294117</v>
      </c>
      <c r="R42" s="4">
        <f t="shared" si="3"/>
        <v>38.202247191011232</v>
      </c>
      <c r="S42" s="14">
        <f t="shared" si="4"/>
        <v>46.369445693259351</v>
      </c>
      <c r="T42" s="4">
        <f t="shared" si="5"/>
        <v>84.735032472848332</v>
      </c>
      <c r="U42" s="3">
        <f>LEN(A42) - LEN(SUBSTITUTE(A42,"&gt;","")) +1</f>
        <v>5</v>
      </c>
      <c r="V42" s="8">
        <f t="shared" si="6"/>
        <v>2.0849340823561225E-4</v>
      </c>
      <c r="W42" s="14">
        <f t="shared" si="7"/>
        <v>1572.6939417999999</v>
      </c>
      <c r="X42" s="4">
        <f t="shared" si="8"/>
        <v>8.0231892112317248E-3</v>
      </c>
    </row>
    <row r="43" spans="1:24" ht="14.25" customHeight="1" x14ac:dyDescent="0.2">
      <c r="A43" s="5" t="s">
        <v>1545</v>
      </c>
      <c r="B43" s="3" t="s">
        <v>24</v>
      </c>
      <c r="C43" s="3" t="s">
        <v>15</v>
      </c>
      <c r="D43" s="3" t="s">
        <v>2362</v>
      </c>
      <c r="E43" s="3" t="s">
        <v>2352</v>
      </c>
      <c r="F43" s="3" t="s">
        <v>79</v>
      </c>
      <c r="G43" s="3" t="s">
        <v>81</v>
      </c>
      <c r="H43" s="3" t="s">
        <v>19</v>
      </c>
      <c r="I43" s="3">
        <v>253577</v>
      </c>
      <c r="J43" s="3">
        <v>89</v>
      </c>
      <c r="K43" s="3">
        <v>66972</v>
      </c>
      <c r="L43" s="3">
        <v>191183</v>
      </c>
      <c r="M43" s="3">
        <v>44</v>
      </c>
      <c r="N43" s="14">
        <v>1493.074494</v>
      </c>
      <c r="O43" s="7">
        <f t="shared" si="0"/>
        <v>3.5097820385918278E-2</v>
      </c>
      <c r="P43" s="14">
        <f t="shared" si="1"/>
        <v>16.776117910112358</v>
      </c>
      <c r="Q43" s="14">
        <f t="shared" si="2"/>
        <v>33.933511227272724</v>
      </c>
      <c r="R43" s="4">
        <f t="shared" si="3"/>
        <v>49.438202247191008</v>
      </c>
      <c r="S43" s="14">
        <f t="shared" si="4"/>
        <v>7.8096613924878255</v>
      </c>
      <c r="T43" s="4">
        <f t="shared" si="5"/>
        <v>26.410912661637294</v>
      </c>
      <c r="U43" s="3">
        <f>LEN(A43) - LEN(SUBSTITUTE(A43,"&gt;","")) +1</f>
        <v>4</v>
      </c>
      <c r="V43" s="8">
        <f t="shared" si="6"/>
        <v>1.9496327445782152E-4</v>
      </c>
      <c r="W43" s="14">
        <f t="shared" si="7"/>
        <v>373.26862349999999</v>
      </c>
      <c r="X43" s="4">
        <f t="shared" si="8"/>
        <v>5.1134500377904721E-2</v>
      </c>
    </row>
    <row r="44" spans="1:24" ht="14.25" customHeight="1" x14ac:dyDescent="0.2">
      <c r="A44" s="5" t="s">
        <v>1546</v>
      </c>
      <c r="B44" s="3" t="s">
        <v>14</v>
      </c>
      <c r="C44" s="3" t="s">
        <v>15</v>
      </c>
      <c r="D44" s="3" t="s">
        <v>2362</v>
      </c>
      <c r="E44" s="3" t="s">
        <v>2352</v>
      </c>
      <c r="F44" s="3" t="s">
        <v>72</v>
      </c>
      <c r="G44" s="3" t="s">
        <v>76</v>
      </c>
      <c r="H44" s="3" t="s">
        <v>19</v>
      </c>
      <c r="I44" s="3">
        <v>680912</v>
      </c>
      <c r="J44" s="3">
        <v>87</v>
      </c>
      <c r="K44" s="3">
        <v>388915</v>
      </c>
      <c r="L44" s="3">
        <v>648524</v>
      </c>
      <c r="M44" s="3">
        <v>39</v>
      </c>
      <c r="N44" s="14">
        <v>7814.2624939999996</v>
      </c>
      <c r="O44" s="7">
        <f t="shared" si="0"/>
        <v>1.2776981460159315E-2</v>
      </c>
      <c r="P44" s="14">
        <f t="shared" si="1"/>
        <v>89.819109126436771</v>
      </c>
      <c r="Q44" s="14">
        <f t="shared" si="2"/>
        <v>200.36570497435898</v>
      </c>
      <c r="R44" s="4">
        <f t="shared" si="3"/>
        <v>44.827586206896555</v>
      </c>
      <c r="S44" s="14">
        <f t="shared" si="4"/>
        <v>12.049303486069906</v>
      </c>
      <c r="T44" s="4">
        <f t="shared" si="5"/>
        <v>57.116778673308744</v>
      </c>
      <c r="U44" s="3">
        <f>LEN(A44) - LEN(SUBSTITUTE(A44,"&gt;","")) +1</f>
        <v>5</v>
      </c>
      <c r="V44" s="8">
        <f t="shared" si="6"/>
        <v>6.5834625042438021E-5</v>
      </c>
      <c r="W44" s="14">
        <f t="shared" si="7"/>
        <v>1562.8524987999999</v>
      </c>
      <c r="X44" s="4">
        <f t="shared" si="8"/>
        <v>2.8585792061695771E-3</v>
      </c>
    </row>
    <row r="45" spans="1:24" ht="14.25" customHeight="1" x14ac:dyDescent="0.2">
      <c r="A45" s="5" t="s">
        <v>105</v>
      </c>
      <c r="B45" s="3" t="s">
        <v>24</v>
      </c>
      <c r="C45" s="3" t="s">
        <v>29</v>
      </c>
      <c r="D45" s="3" t="s">
        <v>2359</v>
      </c>
      <c r="E45" s="3" t="s">
        <v>2360</v>
      </c>
      <c r="F45" s="3" t="s">
        <v>72</v>
      </c>
      <c r="G45" s="3" t="s">
        <v>58</v>
      </c>
      <c r="H45" s="3" t="s">
        <v>19</v>
      </c>
      <c r="I45" s="3">
        <v>569171</v>
      </c>
      <c r="J45" s="3">
        <v>86</v>
      </c>
      <c r="K45" s="3">
        <v>343050</v>
      </c>
      <c r="L45" s="3">
        <v>541133</v>
      </c>
      <c r="M45" s="3">
        <v>78</v>
      </c>
      <c r="N45" s="14">
        <v>7129.6332869999997</v>
      </c>
      <c r="O45" s="7">
        <f t="shared" si="0"/>
        <v>1.5109694626043842E-2</v>
      </c>
      <c r="P45" s="14">
        <f t="shared" si="1"/>
        <v>82.902712639534883</v>
      </c>
      <c r="Q45" s="14">
        <f t="shared" si="2"/>
        <v>91.405554961538456</v>
      </c>
      <c r="R45" s="4">
        <f t="shared" si="3"/>
        <v>90.697674418604649</v>
      </c>
      <c r="S45" s="14">
        <f t="shared" si="4"/>
        <v>13.175380704928363</v>
      </c>
      <c r="T45" s="4">
        <f t="shared" si="5"/>
        <v>60.271869086794652</v>
      </c>
      <c r="U45" s="3">
        <f>LEN(A45) - LEN(SUBSTITUTE(A45,"&gt;","")) +1</f>
        <v>4</v>
      </c>
      <c r="V45" s="8">
        <f t="shared" si="6"/>
        <v>1.5935048415784475E-4</v>
      </c>
      <c r="W45" s="14">
        <f t="shared" si="7"/>
        <v>1782.4083217499999</v>
      </c>
      <c r="X45" s="4">
        <f t="shared" si="8"/>
        <v>1.4992679212265669E-2</v>
      </c>
    </row>
    <row r="46" spans="1:24" ht="14.25" customHeight="1" x14ac:dyDescent="0.2">
      <c r="A46" s="5" t="s">
        <v>1547</v>
      </c>
      <c r="B46" s="3" t="s">
        <v>68</v>
      </c>
      <c r="C46" s="3" t="s">
        <v>32</v>
      </c>
      <c r="D46" s="3" t="s">
        <v>2351</v>
      </c>
      <c r="E46" s="3" t="s">
        <v>2352</v>
      </c>
      <c r="F46" s="3" t="s">
        <v>107</v>
      </c>
      <c r="G46" s="3" t="s">
        <v>22</v>
      </c>
      <c r="H46" s="3" t="s">
        <v>19</v>
      </c>
      <c r="I46" s="3">
        <v>69722</v>
      </c>
      <c r="J46" s="3">
        <v>85</v>
      </c>
      <c r="K46" s="3">
        <v>40640</v>
      </c>
      <c r="L46" s="3">
        <v>64819</v>
      </c>
      <c r="M46" s="3">
        <v>10</v>
      </c>
      <c r="N46" s="14">
        <v>1667.6558950000001</v>
      </c>
      <c r="O46" s="7">
        <f t="shared" si="0"/>
        <v>0.12191273916410889</v>
      </c>
      <c r="P46" s="14">
        <f t="shared" si="1"/>
        <v>19.619481117647059</v>
      </c>
      <c r="Q46" s="14">
        <f t="shared" si="2"/>
        <v>166.7655895</v>
      </c>
      <c r="R46" s="4">
        <f t="shared" si="3"/>
        <v>11.76470588235294</v>
      </c>
      <c r="S46" s="14">
        <f t="shared" si="4"/>
        <v>25.727886807880406</v>
      </c>
      <c r="T46" s="4">
        <f t="shared" si="5"/>
        <v>58.288631995639825</v>
      </c>
      <c r="U46" s="3">
        <f>LEN(A46) - LEN(SUBSTITUTE(A46,"&gt;","")) +1</f>
        <v>4</v>
      </c>
      <c r="V46" s="8">
        <f t="shared" si="6"/>
        <v>1.6873735524444136E-4</v>
      </c>
      <c r="W46" s="14">
        <f t="shared" si="7"/>
        <v>416.91397375000003</v>
      </c>
      <c r="X46" s="4">
        <f t="shared" si="8"/>
        <v>8.6005004022592525E-3</v>
      </c>
    </row>
    <row r="47" spans="1:24" ht="14.25" customHeight="1" x14ac:dyDescent="0.2">
      <c r="A47" s="5" t="s">
        <v>1548</v>
      </c>
      <c r="B47" s="3" t="s">
        <v>14</v>
      </c>
      <c r="C47" s="3" t="s">
        <v>29</v>
      </c>
      <c r="D47" s="3" t="s">
        <v>2367</v>
      </c>
      <c r="E47" s="3" t="s">
        <v>2352</v>
      </c>
      <c r="F47" s="3" t="s">
        <v>26</v>
      </c>
      <c r="G47" s="3" t="s">
        <v>27</v>
      </c>
      <c r="H47" s="3" t="s">
        <v>19</v>
      </c>
      <c r="I47" s="3">
        <v>97346</v>
      </c>
      <c r="J47" s="3">
        <v>79</v>
      </c>
      <c r="K47" s="3">
        <v>44118</v>
      </c>
      <c r="L47" s="3">
        <v>91080</v>
      </c>
      <c r="M47" s="3">
        <v>19</v>
      </c>
      <c r="N47" s="14">
        <v>1657.5648699999999</v>
      </c>
      <c r="O47" s="7">
        <f t="shared" si="0"/>
        <v>8.1153822447763646E-2</v>
      </c>
      <c r="P47" s="14">
        <f t="shared" si="1"/>
        <v>20.981833797468354</v>
      </c>
      <c r="Q47" s="14">
        <f t="shared" si="2"/>
        <v>87.240256315789466</v>
      </c>
      <c r="R47" s="4">
        <f t="shared" si="3"/>
        <v>24.050632911392405</v>
      </c>
      <c r="S47" s="14">
        <f t="shared" si="4"/>
        <v>18.198999451032059</v>
      </c>
      <c r="T47" s="4">
        <f t="shared" si="5"/>
        <v>45.320814414562491</v>
      </c>
      <c r="U47" s="3">
        <f>LEN(A47) - LEN(SUBSTITUTE(A47,"&gt;","")) +1</f>
        <v>4</v>
      </c>
      <c r="V47" s="8">
        <f t="shared" si="6"/>
        <v>2.4706339152499748E-4</v>
      </c>
      <c r="W47" s="14">
        <f t="shared" si="7"/>
        <v>414.39121749999998</v>
      </c>
      <c r="X47" s="4">
        <f t="shared" si="8"/>
        <v>2.2372708144992315E-2</v>
      </c>
    </row>
    <row r="48" spans="1:24" ht="14.25" customHeight="1" x14ac:dyDescent="0.2">
      <c r="A48" s="5" t="s">
        <v>109</v>
      </c>
      <c r="B48" s="3" t="s">
        <v>24</v>
      </c>
      <c r="C48" s="3" t="s">
        <v>32</v>
      </c>
      <c r="D48" s="3" t="s">
        <v>2357</v>
      </c>
      <c r="E48" s="3" t="s">
        <v>2358</v>
      </c>
      <c r="F48" s="3" t="s">
        <v>40</v>
      </c>
      <c r="G48" s="3" t="s">
        <v>64</v>
      </c>
      <c r="H48" s="3" t="s">
        <v>19</v>
      </c>
      <c r="I48" s="3">
        <v>1575592</v>
      </c>
      <c r="J48" s="3">
        <v>78</v>
      </c>
      <c r="K48" s="3">
        <v>1155869</v>
      </c>
      <c r="L48" s="3">
        <v>1447900</v>
      </c>
      <c r="M48" s="3">
        <v>88</v>
      </c>
      <c r="N48" s="14">
        <v>7818.6482969999997</v>
      </c>
      <c r="O48" s="7">
        <f t="shared" si="0"/>
        <v>4.9505201854287148E-3</v>
      </c>
      <c r="P48" s="14">
        <f t="shared" si="1"/>
        <v>100.23908073076923</v>
      </c>
      <c r="Q48" s="14">
        <f t="shared" si="2"/>
        <v>88.84827610227272</v>
      </c>
      <c r="R48" s="4">
        <f t="shared" si="3"/>
        <v>112.82051282051282</v>
      </c>
      <c r="S48" s="14">
        <f t="shared" si="4"/>
        <v>5.399991917259479</v>
      </c>
      <c r="T48" s="4">
        <f t="shared" si="5"/>
        <v>73.360933541170553</v>
      </c>
      <c r="U48" s="3">
        <f>LEN(A48) - LEN(SUBSTITUTE(A48,"&gt;","")) +1</f>
        <v>4</v>
      </c>
      <c r="V48" s="8">
        <f t="shared" si="6"/>
        <v>7.1605157185688188E-5</v>
      </c>
      <c r="W48" s="14">
        <f t="shared" si="7"/>
        <v>1954.6620742499999</v>
      </c>
      <c r="X48" s="4">
        <f t="shared" si="8"/>
        <v>6.2862246804367763E-3</v>
      </c>
    </row>
    <row r="49" spans="1:24" ht="14.25" customHeight="1" x14ac:dyDescent="0.2">
      <c r="A49" s="5" t="s">
        <v>1549</v>
      </c>
      <c r="B49" s="3" t="s">
        <v>14</v>
      </c>
      <c r="C49" s="3" t="s">
        <v>35</v>
      </c>
      <c r="D49" s="3" t="s">
        <v>2369</v>
      </c>
      <c r="E49" s="3" t="s">
        <v>2365</v>
      </c>
      <c r="F49" s="3" t="s">
        <v>111</v>
      </c>
      <c r="G49" s="3" t="s">
        <v>33</v>
      </c>
      <c r="H49" s="3" t="s">
        <v>19</v>
      </c>
      <c r="I49" s="3">
        <v>49936</v>
      </c>
      <c r="J49" s="3">
        <v>78</v>
      </c>
      <c r="K49" s="3">
        <v>25461</v>
      </c>
      <c r="L49" s="3">
        <v>44751</v>
      </c>
      <c r="M49" s="3">
        <v>13</v>
      </c>
      <c r="N49" s="14">
        <v>2025.7840189999999</v>
      </c>
      <c r="O49" s="7">
        <f t="shared" si="0"/>
        <v>0.15619993591797501</v>
      </c>
      <c r="P49" s="14">
        <f t="shared" si="1"/>
        <v>25.971589987179488</v>
      </c>
      <c r="Q49" s="14">
        <f t="shared" si="2"/>
        <v>155.82953992307691</v>
      </c>
      <c r="R49" s="4">
        <f t="shared" si="3"/>
        <v>16.666666666666664</v>
      </c>
      <c r="S49" s="14">
        <f t="shared" si="4"/>
        <v>45.267905052401062</v>
      </c>
      <c r="T49" s="4">
        <f t="shared" si="5"/>
        <v>50.987263697532846</v>
      </c>
      <c r="U49" s="3">
        <f>LEN(A49) - LEN(SUBSTITUTE(A49,"&gt;","")) +1</f>
        <v>4</v>
      </c>
      <c r="V49" s="8">
        <f t="shared" si="6"/>
        <v>3.3376054683327989E-4</v>
      </c>
      <c r="W49" s="14">
        <f t="shared" si="7"/>
        <v>506.44600474999999</v>
      </c>
      <c r="X49" s="4">
        <f t="shared" si="8"/>
        <v>1.6706282175925579E-2</v>
      </c>
    </row>
    <row r="50" spans="1:24" ht="14.25" customHeight="1" x14ac:dyDescent="0.2">
      <c r="A50" s="5" t="s">
        <v>1550</v>
      </c>
      <c r="B50" s="3" t="s">
        <v>68</v>
      </c>
      <c r="C50" s="3" t="s">
        <v>32</v>
      </c>
      <c r="D50" s="3" t="s">
        <v>2353</v>
      </c>
      <c r="E50" s="3" t="s">
        <v>2354</v>
      </c>
      <c r="F50" s="3" t="s">
        <v>63</v>
      </c>
      <c r="G50" s="3" t="s">
        <v>27</v>
      </c>
      <c r="H50" s="3" t="s">
        <v>19</v>
      </c>
      <c r="I50" s="3">
        <v>84306</v>
      </c>
      <c r="J50" s="3">
        <v>76</v>
      </c>
      <c r="K50" s="3">
        <v>45376</v>
      </c>
      <c r="L50" s="3">
        <v>79935</v>
      </c>
      <c r="M50" s="3">
        <v>3</v>
      </c>
      <c r="N50" s="14">
        <v>1809.5909610000001</v>
      </c>
      <c r="O50" s="7">
        <f t="shared" si="0"/>
        <v>9.0147794937489617E-2</v>
      </c>
      <c r="P50" s="14">
        <f t="shared" si="1"/>
        <v>23.810407381578948</v>
      </c>
      <c r="Q50" s="14">
        <f t="shared" si="2"/>
        <v>603.19698700000004</v>
      </c>
      <c r="R50" s="4">
        <f t="shared" si="3"/>
        <v>3.9473684210526314</v>
      </c>
      <c r="S50" s="14">
        <f t="shared" si="4"/>
        <v>22.638280615500097</v>
      </c>
      <c r="T50" s="4">
        <f t="shared" si="5"/>
        <v>53.822978198467489</v>
      </c>
      <c r="U50" s="3">
        <f>LEN(A50) - LEN(SUBSTITUTE(A50,"&gt;","")) +1</f>
        <v>3</v>
      </c>
      <c r="V50" s="8">
        <f t="shared" si="6"/>
        <v>4.6821915653128262E-5</v>
      </c>
      <c r="W50" s="14">
        <f t="shared" si="7"/>
        <v>603.19698700000004</v>
      </c>
      <c r="X50" s="4">
        <f t="shared" si="8"/>
        <v>5.8993424475406865E-4</v>
      </c>
    </row>
    <row r="51" spans="1:24" ht="14.25" customHeight="1" x14ac:dyDescent="0.2">
      <c r="A51" s="5" t="s">
        <v>1551</v>
      </c>
      <c r="B51" s="3" t="s">
        <v>24</v>
      </c>
      <c r="C51" s="3" t="s">
        <v>29</v>
      </c>
      <c r="D51" s="3" t="s">
        <v>2368</v>
      </c>
      <c r="E51" s="3" t="s">
        <v>2352</v>
      </c>
      <c r="F51" s="3" t="s">
        <v>72</v>
      </c>
      <c r="G51" s="3" t="s">
        <v>22</v>
      </c>
      <c r="H51" s="3" t="s">
        <v>114</v>
      </c>
      <c r="I51" s="3">
        <v>74436</v>
      </c>
      <c r="J51" s="3">
        <v>76</v>
      </c>
      <c r="K51" s="3">
        <v>30158</v>
      </c>
      <c r="L51" s="3">
        <v>69150</v>
      </c>
      <c r="M51" s="3">
        <v>21</v>
      </c>
      <c r="N51" s="14">
        <v>1558.5491380000001</v>
      </c>
      <c r="O51" s="7">
        <f t="shared" si="0"/>
        <v>0.10210113385996024</v>
      </c>
      <c r="P51" s="14">
        <f t="shared" si="1"/>
        <v>20.507225500000001</v>
      </c>
      <c r="Q51" s="14">
        <f t="shared" si="2"/>
        <v>74.216625619047619</v>
      </c>
      <c r="R51" s="4">
        <f t="shared" si="3"/>
        <v>27.631578947368425</v>
      </c>
      <c r="S51" s="14">
        <f t="shared" si="4"/>
        <v>22.53867155459147</v>
      </c>
      <c r="T51" s="4">
        <f t="shared" si="5"/>
        <v>40.51534203879843</v>
      </c>
      <c r="U51" s="3">
        <f>LEN(A51) - LEN(SUBSTITUTE(A51,"&gt;","")) +1</f>
        <v>4</v>
      </c>
      <c r="V51" s="8">
        <f t="shared" si="6"/>
        <v>3.71212571166753E-4</v>
      </c>
      <c r="W51" s="14">
        <f t="shared" si="7"/>
        <v>389.63728450000002</v>
      </c>
      <c r="X51" s="4">
        <f t="shared" si="8"/>
        <v>3.8013255349934168E-2</v>
      </c>
    </row>
    <row r="52" spans="1:24" ht="14.25" customHeight="1" x14ac:dyDescent="0.2">
      <c r="A52" s="5" t="s">
        <v>1552</v>
      </c>
      <c r="B52" s="3" t="s">
        <v>24</v>
      </c>
      <c r="C52" s="3" t="s">
        <v>35</v>
      </c>
      <c r="D52" s="3" t="s">
        <v>2351</v>
      </c>
      <c r="E52" s="3" t="s">
        <v>2352</v>
      </c>
      <c r="F52" s="3" t="s">
        <v>107</v>
      </c>
      <c r="G52" s="3" t="s">
        <v>33</v>
      </c>
      <c r="H52" s="3" t="s">
        <v>114</v>
      </c>
      <c r="I52" s="3">
        <v>76724</v>
      </c>
      <c r="J52" s="3">
        <v>75</v>
      </c>
      <c r="K52" s="3">
        <v>43209</v>
      </c>
      <c r="L52" s="3">
        <v>69530</v>
      </c>
      <c r="M52" s="3">
        <v>15</v>
      </c>
      <c r="N52" s="14">
        <v>1493.204528</v>
      </c>
      <c r="O52" s="7">
        <f t="shared" si="0"/>
        <v>9.7752984724466918E-2</v>
      </c>
      <c r="P52" s="14">
        <f t="shared" si="1"/>
        <v>19.909393706666666</v>
      </c>
      <c r="Q52" s="14">
        <f t="shared" si="2"/>
        <v>99.546968533333327</v>
      </c>
      <c r="R52" s="4">
        <f t="shared" si="3"/>
        <v>20</v>
      </c>
      <c r="S52" s="14">
        <f t="shared" si="4"/>
        <v>21.475687156623042</v>
      </c>
      <c r="T52" s="4">
        <f t="shared" si="5"/>
        <v>56.317449559459888</v>
      </c>
      <c r="U52" s="3">
        <f>LEN(A52) - LEN(SUBSTITUTE(A52,"&gt;","")) +1</f>
        <v>4</v>
      </c>
      <c r="V52" s="8">
        <f t="shared" si="6"/>
        <v>2.6067462593191179E-4</v>
      </c>
      <c r="W52" s="14">
        <f t="shared" si="7"/>
        <v>373.301132</v>
      </c>
      <c r="X52" s="4">
        <f t="shared" si="8"/>
        <v>1.9639570378626708E-2</v>
      </c>
    </row>
    <row r="53" spans="1:24" ht="14.25" customHeight="1" x14ac:dyDescent="0.2">
      <c r="A53" s="5" t="s">
        <v>1553</v>
      </c>
      <c r="B53" s="3" t="s">
        <v>24</v>
      </c>
      <c r="C53" s="3" t="s">
        <v>15</v>
      </c>
      <c r="D53" s="3" t="s">
        <v>2349</v>
      </c>
      <c r="E53" s="3" t="s">
        <v>2350</v>
      </c>
      <c r="F53" s="3" t="s">
        <v>57</v>
      </c>
      <c r="G53" s="3" t="s">
        <v>27</v>
      </c>
      <c r="H53" s="3" t="s">
        <v>19</v>
      </c>
      <c r="I53" s="3">
        <v>1116343</v>
      </c>
      <c r="J53" s="3">
        <v>74</v>
      </c>
      <c r="K53" s="3">
        <v>550519</v>
      </c>
      <c r="L53" s="3">
        <v>977978</v>
      </c>
      <c r="M53" s="3">
        <v>9</v>
      </c>
      <c r="N53" s="14">
        <v>2494.217596</v>
      </c>
      <c r="O53" s="7">
        <f t="shared" si="0"/>
        <v>6.6287870305094402E-3</v>
      </c>
      <c r="P53" s="14">
        <f t="shared" si="1"/>
        <v>33.705643189189189</v>
      </c>
      <c r="Q53" s="14">
        <f t="shared" si="2"/>
        <v>277.13528844444443</v>
      </c>
      <c r="R53" s="4">
        <f t="shared" si="3"/>
        <v>12.162162162162163</v>
      </c>
      <c r="S53" s="14">
        <f t="shared" si="4"/>
        <v>2.5503821108450291</v>
      </c>
      <c r="T53" s="4">
        <f t="shared" si="5"/>
        <v>49.314502800662517</v>
      </c>
      <c r="U53" s="3">
        <f>LEN(A53) - LEN(SUBSTITUTE(A53,"&gt;","")) +1</f>
        <v>4</v>
      </c>
      <c r="V53" s="8">
        <f t="shared" si="6"/>
        <v>1.0894646324796378E-5</v>
      </c>
      <c r="W53" s="14">
        <f t="shared" si="7"/>
        <v>623.55439899999999</v>
      </c>
      <c r="X53" s="4">
        <f t="shared" si="8"/>
        <v>2.9090623303879492E-4</v>
      </c>
    </row>
    <row r="54" spans="1:24" ht="14.25" customHeight="1" x14ac:dyDescent="0.2">
      <c r="A54" s="5" t="s">
        <v>1554</v>
      </c>
      <c r="B54" s="3" t="s">
        <v>24</v>
      </c>
      <c r="C54" s="3" t="s">
        <v>29</v>
      </c>
      <c r="D54" s="3" t="s">
        <v>2359</v>
      </c>
      <c r="E54" s="3" t="s">
        <v>2360</v>
      </c>
      <c r="F54" s="3" t="s">
        <v>72</v>
      </c>
      <c r="G54" s="3" t="s">
        <v>76</v>
      </c>
      <c r="H54" s="3" t="s">
        <v>19</v>
      </c>
      <c r="I54" s="3">
        <v>435848</v>
      </c>
      <c r="J54" s="3">
        <v>70</v>
      </c>
      <c r="K54" s="3">
        <v>274912</v>
      </c>
      <c r="L54" s="3">
        <v>415601</v>
      </c>
      <c r="M54" s="3">
        <v>15</v>
      </c>
      <c r="N54" s="14">
        <v>1554.439959</v>
      </c>
      <c r="O54" s="7">
        <f t="shared" si="0"/>
        <v>1.6060644995503019E-2</v>
      </c>
      <c r="P54" s="14">
        <f t="shared" si="1"/>
        <v>22.20628512857143</v>
      </c>
      <c r="Q54" s="14">
        <f t="shared" si="2"/>
        <v>103.6293306</v>
      </c>
      <c r="R54" s="4">
        <f t="shared" si="3"/>
        <v>21.428571428571427</v>
      </c>
      <c r="S54" s="14">
        <f t="shared" si="4"/>
        <v>3.7402218931138278</v>
      </c>
      <c r="T54" s="4">
        <f t="shared" si="5"/>
        <v>63.075200528624656</v>
      </c>
      <c r="U54" s="3">
        <f>LEN(A54) - LEN(SUBSTITUTE(A54,"&gt;","")) +1</f>
        <v>5</v>
      </c>
      <c r="V54" s="8">
        <f t="shared" si="6"/>
        <v>4.9165239782152095E-5</v>
      </c>
      <c r="W54" s="14">
        <f t="shared" si="7"/>
        <v>310.88799180000001</v>
      </c>
      <c r="X54" s="4">
        <f t="shared" si="8"/>
        <v>3.3210354296649741E-3</v>
      </c>
    </row>
    <row r="55" spans="1:24" ht="14.25" customHeight="1" x14ac:dyDescent="0.2">
      <c r="A55" s="5" t="s">
        <v>1555</v>
      </c>
      <c r="B55" s="3" t="s">
        <v>14</v>
      </c>
      <c r="C55" s="3" t="s">
        <v>29</v>
      </c>
      <c r="D55" s="3" t="s">
        <v>2353</v>
      </c>
      <c r="E55" s="3" t="s">
        <v>2354</v>
      </c>
      <c r="F55" s="3" t="s">
        <v>119</v>
      </c>
      <c r="G55" s="3" t="s">
        <v>27</v>
      </c>
      <c r="H55" s="3" t="s">
        <v>19</v>
      </c>
      <c r="I55" s="3">
        <v>108559</v>
      </c>
      <c r="J55" s="3">
        <v>69</v>
      </c>
      <c r="K55" s="3">
        <v>79254</v>
      </c>
      <c r="L55" s="3">
        <v>100563</v>
      </c>
      <c r="M55" s="3">
        <v>7</v>
      </c>
      <c r="N55" s="14">
        <v>6850.5764829999998</v>
      </c>
      <c r="O55" s="7">
        <f t="shared" si="0"/>
        <v>6.3559907515728778E-2</v>
      </c>
      <c r="P55" s="14">
        <f t="shared" si="1"/>
        <v>99.283717144927536</v>
      </c>
      <c r="Q55" s="14">
        <f t="shared" si="2"/>
        <v>978.65378328571421</v>
      </c>
      <c r="R55" s="4">
        <f t="shared" si="3"/>
        <v>10.144927536231885</v>
      </c>
      <c r="S55" s="14">
        <f t="shared" si="4"/>
        <v>68.122236637729586</v>
      </c>
      <c r="T55" s="4">
        <f t="shared" si="5"/>
        <v>73.005462467414034</v>
      </c>
      <c r="U55" s="3">
        <f>LEN(A55) - LEN(SUBSTITUTE(A55,"&gt;","")) +1</f>
        <v>5</v>
      </c>
      <c r="V55" s="8">
        <f t="shared" si="6"/>
        <v>9.3450819703865042E-5</v>
      </c>
      <c r="W55" s="14">
        <f t="shared" si="7"/>
        <v>1370.1152966</v>
      </c>
      <c r="X55" s="4">
        <f t="shared" si="8"/>
        <v>6.5887514764597678E-4</v>
      </c>
    </row>
    <row r="56" spans="1:24" ht="14.25" customHeight="1" x14ac:dyDescent="0.2">
      <c r="A56" s="5" t="s">
        <v>1556</v>
      </c>
      <c r="B56" s="3" t="s">
        <v>24</v>
      </c>
      <c r="C56" s="3" t="s">
        <v>32</v>
      </c>
      <c r="D56" s="3" t="s">
        <v>2370</v>
      </c>
      <c r="E56" s="3" t="s">
        <v>2360</v>
      </c>
      <c r="F56" s="3" t="s">
        <v>57</v>
      </c>
      <c r="G56" s="3" t="s">
        <v>38</v>
      </c>
      <c r="H56" s="3" t="s">
        <v>19</v>
      </c>
      <c r="I56" s="3">
        <v>818919</v>
      </c>
      <c r="J56" s="3">
        <v>66</v>
      </c>
      <c r="K56" s="3">
        <v>395852</v>
      </c>
      <c r="L56" s="3">
        <v>699064</v>
      </c>
      <c r="M56" s="3">
        <v>22</v>
      </c>
      <c r="N56" s="14">
        <v>6012.1024649999999</v>
      </c>
      <c r="O56" s="7">
        <f t="shared" si="0"/>
        <v>8.0594051426331539E-3</v>
      </c>
      <c r="P56" s="14">
        <f t="shared" si="1"/>
        <v>91.092461590909096</v>
      </c>
      <c r="Q56" s="14">
        <f t="shared" si="2"/>
        <v>273.27738477272726</v>
      </c>
      <c r="R56" s="4">
        <f t="shared" si="3"/>
        <v>33.333333333333329</v>
      </c>
      <c r="S56" s="14">
        <f t="shared" si="4"/>
        <v>8.6002175265783958</v>
      </c>
      <c r="T56" s="4">
        <f t="shared" si="5"/>
        <v>48.338358250327566</v>
      </c>
      <c r="U56" s="3">
        <f>LEN(A56) - LEN(SUBSTITUTE(A56,"&gt;","")) +1</f>
        <v>5</v>
      </c>
      <c r="V56" s="8">
        <f t="shared" si="6"/>
        <v>4.0704066376935119E-5</v>
      </c>
      <c r="W56" s="14">
        <f t="shared" si="7"/>
        <v>1202.4204930000001</v>
      </c>
      <c r="X56" s="4">
        <f t="shared" si="8"/>
        <v>9.8305550717705192E-4</v>
      </c>
    </row>
    <row r="57" spans="1:24" ht="14.25" customHeight="1" x14ac:dyDescent="0.2">
      <c r="A57" s="5" t="s">
        <v>122</v>
      </c>
      <c r="B57" s="3" t="s">
        <v>24</v>
      </c>
      <c r="C57" s="3" t="s">
        <v>35</v>
      </c>
      <c r="D57" s="3" t="s">
        <v>2349</v>
      </c>
      <c r="E57" s="3" t="s">
        <v>2350</v>
      </c>
      <c r="F57" s="3" t="s">
        <v>57</v>
      </c>
      <c r="G57" s="3" t="s">
        <v>27</v>
      </c>
      <c r="H57" s="3" t="s">
        <v>19</v>
      </c>
      <c r="I57" s="3">
        <v>1221746</v>
      </c>
      <c r="J57" s="3">
        <v>64</v>
      </c>
      <c r="K57" s="3">
        <v>512107</v>
      </c>
      <c r="L57" s="3">
        <v>1088748</v>
      </c>
      <c r="M57" s="3">
        <v>19</v>
      </c>
      <c r="N57" s="14">
        <v>7483.8871870000003</v>
      </c>
      <c r="O57" s="7">
        <f t="shared" si="0"/>
        <v>5.2384047093258336E-3</v>
      </c>
      <c r="P57" s="14">
        <f t="shared" si="1"/>
        <v>116.935737296875</v>
      </c>
      <c r="Q57" s="14">
        <f t="shared" si="2"/>
        <v>393.88879931578947</v>
      </c>
      <c r="R57" s="4">
        <f t="shared" si="3"/>
        <v>29.6875</v>
      </c>
      <c r="S57" s="14">
        <f t="shared" si="4"/>
        <v>6.8738470123481283</v>
      </c>
      <c r="T57" s="4">
        <f t="shared" si="5"/>
        <v>41.915995632480076</v>
      </c>
      <c r="U57" s="3">
        <f>LEN(A57) - LEN(SUBSTITUTE(A57,"&gt;","")) +1</f>
        <v>4</v>
      </c>
      <c r="V57" s="8">
        <f t="shared" si="6"/>
        <v>2.4299240595017297E-5</v>
      </c>
      <c r="W57" s="14">
        <f t="shared" si="7"/>
        <v>1870.9717967500001</v>
      </c>
      <c r="X57" s="4">
        <f t="shared" si="8"/>
        <v>3.9481990876168762E-4</v>
      </c>
    </row>
    <row r="58" spans="1:24" ht="14.25" customHeight="1" x14ac:dyDescent="0.2">
      <c r="A58" s="5" t="s">
        <v>1557</v>
      </c>
      <c r="B58" s="3" t="s">
        <v>14</v>
      </c>
      <c r="C58" s="3" t="s">
        <v>35</v>
      </c>
      <c r="D58" s="3" t="s">
        <v>2363</v>
      </c>
      <c r="E58" s="3" t="s">
        <v>2358</v>
      </c>
      <c r="F58" s="3" t="s">
        <v>48</v>
      </c>
      <c r="G58" s="3" t="s">
        <v>27</v>
      </c>
      <c r="H58" s="3" t="s">
        <v>19</v>
      </c>
      <c r="I58" s="3">
        <v>780475</v>
      </c>
      <c r="J58" s="3">
        <v>63</v>
      </c>
      <c r="K58" s="3">
        <v>453974</v>
      </c>
      <c r="L58" s="3">
        <v>691696</v>
      </c>
      <c r="M58" s="3">
        <v>11</v>
      </c>
      <c r="N58" s="14">
        <v>1726.2494569999999</v>
      </c>
      <c r="O58" s="7">
        <f t="shared" si="0"/>
        <v>8.0720074313719217E-3</v>
      </c>
      <c r="P58" s="14">
        <f t="shared" si="1"/>
        <v>27.400785031746029</v>
      </c>
      <c r="Q58" s="14">
        <f t="shared" si="2"/>
        <v>156.93176881818181</v>
      </c>
      <c r="R58" s="4">
        <f t="shared" si="3"/>
        <v>17.460317460317459</v>
      </c>
      <c r="S58" s="14">
        <f t="shared" si="4"/>
        <v>2.4956765067312805</v>
      </c>
      <c r="T58" s="4">
        <f t="shared" si="5"/>
        <v>58.166373042057714</v>
      </c>
      <c r="U58" s="3">
        <f>LEN(A58) - LEN(SUBSTITUTE(A58,"&gt;","")) +1</f>
        <v>4</v>
      </c>
      <c r="V58" s="8">
        <f t="shared" si="6"/>
        <v>2.2371398776792925E-5</v>
      </c>
      <c r="W58" s="14">
        <f t="shared" si="7"/>
        <v>431.56236424999997</v>
      </c>
      <c r="X58" s="4">
        <f t="shared" si="8"/>
        <v>8.9809611753682373E-4</v>
      </c>
    </row>
    <row r="59" spans="1:24" ht="14.25" customHeight="1" x14ac:dyDescent="0.2">
      <c r="A59" s="5" t="s">
        <v>1558</v>
      </c>
      <c r="B59" s="3" t="s">
        <v>68</v>
      </c>
      <c r="C59" s="3" t="s">
        <v>35</v>
      </c>
      <c r="D59" s="3" t="s">
        <v>2349</v>
      </c>
      <c r="E59" s="3" t="s">
        <v>2350</v>
      </c>
      <c r="F59" s="3" t="s">
        <v>125</v>
      </c>
      <c r="G59" s="3" t="s">
        <v>27</v>
      </c>
      <c r="H59" s="3" t="s">
        <v>19</v>
      </c>
      <c r="I59" s="3">
        <v>89744</v>
      </c>
      <c r="J59" s="3">
        <v>62</v>
      </c>
      <c r="K59" s="3">
        <v>48786</v>
      </c>
      <c r="L59" s="3">
        <v>85900</v>
      </c>
      <c r="M59" s="3">
        <v>3</v>
      </c>
      <c r="N59" s="14">
        <v>6369.8112259999998</v>
      </c>
      <c r="O59" s="7">
        <f t="shared" si="0"/>
        <v>6.9085398466749867E-2</v>
      </c>
      <c r="P59" s="14">
        <f t="shared" si="1"/>
        <v>102.73889074193548</v>
      </c>
      <c r="Q59" s="14">
        <f t="shared" si="2"/>
        <v>2123.2704086666668</v>
      </c>
      <c r="R59" s="4">
        <f t="shared" si="3"/>
        <v>4.838709677419355</v>
      </c>
      <c r="S59" s="14">
        <f t="shared" si="4"/>
        <v>74.153797741559941</v>
      </c>
      <c r="T59" s="4">
        <f t="shared" si="5"/>
        <v>54.361294348368695</v>
      </c>
      <c r="U59" s="3">
        <f>LEN(A59) - LEN(SUBSTITUTE(A59,"&gt;","")) +1</f>
        <v>5</v>
      </c>
      <c r="V59" s="8">
        <f t="shared" si="6"/>
        <v>5.3916804214424977E-5</v>
      </c>
      <c r="W59" s="14">
        <f t="shared" si="7"/>
        <v>1273.9622451999999</v>
      </c>
      <c r="X59" s="4">
        <f t="shared" si="8"/>
        <v>1.574383482974986E-4</v>
      </c>
    </row>
    <row r="60" spans="1:24" ht="14.25" customHeight="1" x14ac:dyDescent="0.2">
      <c r="A60" s="5" t="s">
        <v>1559</v>
      </c>
      <c r="B60" s="3" t="s">
        <v>68</v>
      </c>
      <c r="C60" s="3" t="s">
        <v>35</v>
      </c>
      <c r="D60" s="3" t="s">
        <v>2353</v>
      </c>
      <c r="E60" s="3" t="s">
        <v>2354</v>
      </c>
      <c r="F60" s="3" t="s">
        <v>48</v>
      </c>
      <c r="G60" s="3" t="s">
        <v>27</v>
      </c>
      <c r="H60" s="3" t="s">
        <v>19</v>
      </c>
      <c r="I60" s="3">
        <v>562103</v>
      </c>
      <c r="J60" s="3">
        <v>62</v>
      </c>
      <c r="K60" s="3">
        <v>340616</v>
      </c>
      <c r="L60" s="3">
        <v>488921</v>
      </c>
      <c r="M60" s="3">
        <v>8</v>
      </c>
      <c r="N60" s="14">
        <v>1733.8301719999999</v>
      </c>
      <c r="O60" s="7">
        <f t="shared" si="0"/>
        <v>1.1030006956020515E-2</v>
      </c>
      <c r="P60" s="14">
        <f t="shared" si="1"/>
        <v>27.965002774193547</v>
      </c>
      <c r="Q60" s="14">
        <f t="shared" si="2"/>
        <v>216.72877149999999</v>
      </c>
      <c r="R60" s="4">
        <f t="shared" si="3"/>
        <v>12.903225806451612</v>
      </c>
      <c r="S60" s="14">
        <f t="shared" si="4"/>
        <v>3.5462378830117744</v>
      </c>
      <c r="T60" s="4">
        <f t="shared" si="5"/>
        <v>60.596723376320703</v>
      </c>
      <c r="U60" s="3">
        <f>LEN(A60) - LEN(SUBSTITUTE(A60,"&gt;","")) +1</f>
        <v>4</v>
      </c>
      <c r="V60" s="8">
        <f t="shared" si="6"/>
        <v>2.2955269419397534E-5</v>
      </c>
      <c r="W60" s="14">
        <f t="shared" si="7"/>
        <v>433.45754299999999</v>
      </c>
      <c r="X60" s="4">
        <f t="shared" si="8"/>
        <v>6.566856325315566E-4</v>
      </c>
    </row>
    <row r="61" spans="1:24" ht="14.25" customHeight="1" x14ac:dyDescent="0.2">
      <c r="A61" s="5" t="s">
        <v>1560</v>
      </c>
      <c r="B61" s="3" t="s">
        <v>14</v>
      </c>
      <c r="C61" s="3" t="s">
        <v>32</v>
      </c>
      <c r="D61" s="3" t="s">
        <v>2368</v>
      </c>
      <c r="E61" s="3" t="s">
        <v>2352</v>
      </c>
      <c r="F61" s="3" t="s">
        <v>128</v>
      </c>
      <c r="G61" s="3" t="s">
        <v>27</v>
      </c>
      <c r="H61" s="3" t="s">
        <v>19</v>
      </c>
      <c r="I61" s="3">
        <v>54134</v>
      </c>
      <c r="J61" s="3">
        <v>61</v>
      </c>
      <c r="K61" s="3">
        <v>37418</v>
      </c>
      <c r="L61" s="3">
        <v>51299</v>
      </c>
      <c r="M61" s="3">
        <v>2</v>
      </c>
      <c r="N61" s="14">
        <v>1502.01775</v>
      </c>
      <c r="O61" s="7">
        <f t="shared" si="0"/>
        <v>0.11268334133816085</v>
      </c>
      <c r="P61" s="14">
        <f t="shared" si="1"/>
        <v>24.623241803278688</v>
      </c>
      <c r="Q61" s="14">
        <f t="shared" si="2"/>
        <v>751.00887499999999</v>
      </c>
      <c r="R61" s="4">
        <f t="shared" si="3"/>
        <v>3.278688524590164</v>
      </c>
      <c r="S61" s="14">
        <f t="shared" si="4"/>
        <v>29.279669194331273</v>
      </c>
      <c r="T61" s="4">
        <f t="shared" si="5"/>
        <v>69.121069937562339</v>
      </c>
      <c r="U61" s="3">
        <f>LEN(A61) - LEN(SUBSTITUTE(A61,"&gt;","")) +1</f>
        <v>4</v>
      </c>
      <c r="V61" s="8">
        <f t="shared" si="6"/>
        <v>6.0566160353754833E-5</v>
      </c>
      <c r="W61" s="14">
        <f t="shared" si="7"/>
        <v>375.50443749999999</v>
      </c>
      <c r="X61" s="4">
        <f t="shared" si="8"/>
        <v>4.9194302551738085E-4</v>
      </c>
    </row>
    <row r="62" spans="1:24" ht="14.25" customHeight="1" x14ac:dyDescent="0.2">
      <c r="A62" s="5" t="s">
        <v>129</v>
      </c>
      <c r="B62" s="3" t="s">
        <v>68</v>
      </c>
      <c r="C62" s="3" t="s">
        <v>15</v>
      </c>
      <c r="D62" s="3" t="s">
        <v>2353</v>
      </c>
      <c r="E62" s="3" t="s">
        <v>2354</v>
      </c>
      <c r="F62" s="3" t="s">
        <v>79</v>
      </c>
      <c r="G62" s="3" t="s">
        <v>27</v>
      </c>
      <c r="H62" s="3" t="s">
        <v>19</v>
      </c>
      <c r="I62" s="3">
        <v>207823</v>
      </c>
      <c r="J62" s="3">
        <v>60</v>
      </c>
      <c r="K62" s="3">
        <v>33602</v>
      </c>
      <c r="L62" s="3">
        <v>167814</v>
      </c>
      <c r="M62" s="3">
        <v>13</v>
      </c>
      <c r="N62" s="14">
        <v>6048.9556110000003</v>
      </c>
      <c r="O62" s="7">
        <f t="shared" si="0"/>
        <v>2.8870721719925128E-2</v>
      </c>
      <c r="P62" s="14">
        <f t="shared" si="1"/>
        <v>100.81592685000001</v>
      </c>
      <c r="Q62" s="14">
        <f t="shared" si="2"/>
        <v>465.30427776923079</v>
      </c>
      <c r="R62" s="4">
        <f t="shared" si="3"/>
        <v>21.666666666666668</v>
      </c>
      <c r="S62" s="14">
        <f t="shared" si="4"/>
        <v>36.045595784618691</v>
      </c>
      <c r="T62" s="4">
        <f t="shared" si="5"/>
        <v>16.168566520548737</v>
      </c>
      <c r="U62" s="3">
        <f>LEN(A62) - LEN(SUBSTITUTE(A62,"&gt;","")) +1</f>
        <v>4</v>
      </c>
      <c r="V62" s="8">
        <f t="shared" si="6"/>
        <v>1.0425538398861853E-4</v>
      </c>
      <c r="W62" s="14">
        <f t="shared" si="7"/>
        <v>1512.2389027500001</v>
      </c>
      <c r="X62" s="4">
        <f t="shared" si="8"/>
        <v>1.3443510705094914E-3</v>
      </c>
    </row>
    <row r="63" spans="1:24" ht="14.25" customHeight="1" x14ac:dyDescent="0.2">
      <c r="A63" s="5" t="s">
        <v>1561</v>
      </c>
      <c r="B63" s="3" t="s">
        <v>24</v>
      </c>
      <c r="C63" s="3" t="s">
        <v>29</v>
      </c>
      <c r="D63" s="3" t="s">
        <v>2359</v>
      </c>
      <c r="E63" s="3" t="s">
        <v>2360</v>
      </c>
      <c r="F63" s="3" t="s">
        <v>17</v>
      </c>
      <c r="G63" s="3" t="s">
        <v>22</v>
      </c>
      <c r="H63" s="3" t="s">
        <v>19</v>
      </c>
      <c r="I63" s="3">
        <v>7229</v>
      </c>
      <c r="J63" s="3">
        <v>59</v>
      </c>
      <c r="K63" s="3">
        <v>5668</v>
      </c>
      <c r="L63" s="3">
        <v>6760</v>
      </c>
      <c r="M63" s="3">
        <v>3</v>
      </c>
      <c r="N63" s="14">
        <v>6812.588702</v>
      </c>
      <c r="O63" s="7">
        <f t="shared" si="0"/>
        <v>0.81615714483331026</v>
      </c>
      <c r="P63" s="14">
        <f t="shared" si="1"/>
        <v>115.46760511864407</v>
      </c>
      <c r="Q63" s="14">
        <f t="shared" si="2"/>
        <v>2270.8629006666665</v>
      </c>
      <c r="R63" s="4">
        <f t="shared" si="3"/>
        <v>5.0847457627118651</v>
      </c>
      <c r="S63" s="14">
        <f t="shared" si="4"/>
        <v>1007.7793937869824</v>
      </c>
      <c r="T63" s="4">
        <f t="shared" si="5"/>
        <v>78.406418591783094</v>
      </c>
      <c r="U63" s="3">
        <f>LEN(A63) - LEN(SUBSTITUTE(A63,"&gt;","")) +1</f>
        <v>5</v>
      </c>
      <c r="V63" s="8">
        <f t="shared" si="6"/>
        <v>7.0338162438952348E-4</v>
      </c>
      <c r="W63" s="14">
        <f t="shared" si="7"/>
        <v>1362.5177404000001</v>
      </c>
      <c r="X63" s="4">
        <f t="shared" si="8"/>
        <v>1.8274778202945982E-3</v>
      </c>
    </row>
    <row r="64" spans="1:24" ht="14.25" customHeight="1" x14ac:dyDescent="0.2">
      <c r="A64" s="5" t="s">
        <v>131</v>
      </c>
      <c r="B64" s="3" t="s">
        <v>14</v>
      </c>
      <c r="C64" s="3" t="s">
        <v>15</v>
      </c>
      <c r="D64" s="3" t="s">
        <v>2353</v>
      </c>
      <c r="E64" s="3" t="s">
        <v>2354</v>
      </c>
      <c r="F64" s="3" t="s">
        <v>132</v>
      </c>
      <c r="G64" s="3" t="s">
        <v>33</v>
      </c>
      <c r="H64" s="3" t="s">
        <v>19</v>
      </c>
      <c r="I64" s="3">
        <v>111624</v>
      </c>
      <c r="J64" s="3">
        <v>59</v>
      </c>
      <c r="K64" s="3">
        <v>40343</v>
      </c>
      <c r="L64" s="3">
        <v>101306</v>
      </c>
      <c r="M64" s="3">
        <v>21</v>
      </c>
      <c r="N64" s="14">
        <v>6510.4466560000001</v>
      </c>
      <c r="O64" s="7">
        <f t="shared" si="0"/>
        <v>5.285601662724862E-2</v>
      </c>
      <c r="P64" s="14">
        <f t="shared" si="1"/>
        <v>110.34655349152543</v>
      </c>
      <c r="Q64" s="14">
        <f t="shared" si="2"/>
        <v>310.02126933333335</v>
      </c>
      <c r="R64" s="4">
        <f t="shared" si="3"/>
        <v>35.593220338983052</v>
      </c>
      <c r="S64" s="14">
        <f t="shared" si="4"/>
        <v>64.265163524371715</v>
      </c>
      <c r="T64" s="4">
        <f t="shared" si="5"/>
        <v>36.141869132086292</v>
      </c>
      <c r="U64" s="3">
        <f>LEN(A64) - LEN(SUBSTITUTE(A64,"&gt;","")) +1</f>
        <v>4</v>
      </c>
      <c r="V64" s="8">
        <f t="shared" si="6"/>
        <v>3.1886709255162914E-4</v>
      </c>
      <c r="W64" s="14">
        <f t="shared" si="7"/>
        <v>1627.611664</v>
      </c>
      <c r="X64" s="4">
        <f t="shared" si="8"/>
        <v>6.0683444400449517E-3</v>
      </c>
    </row>
    <row r="65" spans="1:24" ht="14.25" customHeight="1" x14ac:dyDescent="0.2">
      <c r="A65" s="5" t="s">
        <v>1562</v>
      </c>
      <c r="B65" s="3" t="s">
        <v>24</v>
      </c>
      <c r="C65" s="3" t="s">
        <v>29</v>
      </c>
      <c r="D65" s="3" t="s">
        <v>2353</v>
      </c>
      <c r="E65" s="3" t="s">
        <v>2354</v>
      </c>
      <c r="F65" s="3" t="s">
        <v>119</v>
      </c>
      <c r="G65" s="3" t="s">
        <v>38</v>
      </c>
      <c r="H65" s="3" t="s">
        <v>19</v>
      </c>
      <c r="I65" s="3">
        <v>210096</v>
      </c>
      <c r="J65" s="3">
        <v>59</v>
      </c>
      <c r="K65" s="3">
        <v>90928</v>
      </c>
      <c r="L65" s="3">
        <v>184823</v>
      </c>
      <c r="M65" s="3">
        <v>4</v>
      </c>
      <c r="N65" s="14">
        <v>2027.431388</v>
      </c>
      <c r="O65" s="7">
        <f t="shared" si="0"/>
        <v>2.8082400426471709E-2</v>
      </c>
      <c r="P65" s="14">
        <f t="shared" si="1"/>
        <v>34.363243864406776</v>
      </c>
      <c r="Q65" s="14">
        <f t="shared" si="2"/>
        <v>506.85784699999999</v>
      </c>
      <c r="R65" s="4">
        <f t="shared" si="3"/>
        <v>6.7796610169491522</v>
      </c>
      <c r="S65" s="14">
        <f t="shared" si="4"/>
        <v>10.969583807210142</v>
      </c>
      <c r="T65" s="4">
        <f t="shared" si="5"/>
        <v>43.279262813190158</v>
      </c>
      <c r="U65" s="3">
        <f>LEN(A65) - LEN(SUBSTITUTE(A65,"&gt;","")) +1</f>
        <v>4</v>
      </c>
      <c r="V65" s="8">
        <f t="shared" si="6"/>
        <v>3.2269348378594323E-5</v>
      </c>
      <c r="W65" s="14">
        <f t="shared" si="7"/>
        <v>506.85784699999999</v>
      </c>
      <c r="X65" s="4">
        <f t="shared" si="8"/>
        <v>3.7562633499823569E-4</v>
      </c>
    </row>
    <row r="66" spans="1:24" ht="14.25" customHeight="1" x14ac:dyDescent="0.2">
      <c r="A66" s="5" t="s">
        <v>1563</v>
      </c>
      <c r="B66" s="3" t="s">
        <v>24</v>
      </c>
      <c r="C66" s="3" t="s">
        <v>32</v>
      </c>
      <c r="D66" s="3" t="s">
        <v>2353</v>
      </c>
      <c r="E66" s="3" t="s">
        <v>2354</v>
      </c>
      <c r="F66" s="3" t="s">
        <v>79</v>
      </c>
      <c r="G66" s="3" t="s">
        <v>27</v>
      </c>
      <c r="H66" s="3" t="s">
        <v>19</v>
      </c>
      <c r="I66" s="3">
        <v>100991</v>
      </c>
      <c r="J66" s="3">
        <v>57</v>
      </c>
      <c r="K66" s="3">
        <v>56138</v>
      </c>
      <c r="L66" s="3">
        <v>88836</v>
      </c>
      <c r="M66" s="3">
        <v>9</v>
      </c>
      <c r="N66" s="14">
        <v>4652.3676290000003</v>
      </c>
      <c r="O66" s="7">
        <f t="shared" si="0"/>
        <v>5.6440672931251296E-2</v>
      </c>
      <c r="P66" s="14">
        <f t="shared" si="1"/>
        <v>81.620484719298247</v>
      </c>
      <c r="Q66" s="14">
        <f t="shared" si="2"/>
        <v>516.92973655555556</v>
      </c>
      <c r="R66" s="4">
        <f t="shared" si="3"/>
        <v>15.789473684210526</v>
      </c>
      <c r="S66" s="14">
        <f t="shared" si="4"/>
        <v>52.370296152460718</v>
      </c>
      <c r="T66" s="4">
        <f t="shared" si="5"/>
        <v>55.587131526571675</v>
      </c>
      <c r="U66" s="3">
        <f>LEN(A66) - LEN(SUBSTITUTE(A66,"&gt;","")) +1</f>
        <v>5</v>
      </c>
      <c r="V66" s="8">
        <f t="shared" si="6"/>
        <v>1.563453543801975E-4</v>
      </c>
      <c r="W66" s="14">
        <f t="shared" si="7"/>
        <v>930.47352580000006</v>
      </c>
      <c r="X66" s="4">
        <f t="shared" si="8"/>
        <v>1.7239645099645952E-3</v>
      </c>
    </row>
    <row r="67" spans="1:24" ht="14.25" customHeight="1" x14ac:dyDescent="0.2">
      <c r="A67" s="5" t="s">
        <v>1564</v>
      </c>
      <c r="B67" s="3" t="s">
        <v>24</v>
      </c>
      <c r="C67" s="3" t="s">
        <v>29</v>
      </c>
      <c r="D67" s="3" t="s">
        <v>2349</v>
      </c>
      <c r="E67" s="3" t="s">
        <v>2350</v>
      </c>
      <c r="F67" s="3" t="s">
        <v>136</v>
      </c>
      <c r="G67" s="3" t="s">
        <v>27</v>
      </c>
      <c r="H67" s="3" t="s">
        <v>114</v>
      </c>
      <c r="I67" s="3">
        <v>32845</v>
      </c>
      <c r="J67" s="3">
        <v>53</v>
      </c>
      <c r="K67" s="3">
        <v>16163</v>
      </c>
      <c r="L67" s="3">
        <v>30368</v>
      </c>
      <c r="M67" s="3">
        <v>1</v>
      </c>
      <c r="N67" s="14">
        <v>1910.436686</v>
      </c>
      <c r="O67" s="7">
        <f t="shared" ref="O67:O130" si="9">IFERROR((J67/I67)*100, 0)</f>
        <v>0.16136398234130003</v>
      </c>
      <c r="P67" s="14">
        <f t="shared" ref="P67:P130" si="10">IFERROR(N67/J67, 0)</f>
        <v>36.045975207547173</v>
      </c>
      <c r="Q67" s="14">
        <f t="shared" ref="Q67:Q130" si="11">IFERROR(N67/M67, 0)</f>
        <v>1910.436686</v>
      </c>
      <c r="R67" s="4">
        <f t="shared" ref="R67:R130" si="12">IFERROR((M67/J67)*100, 0)</f>
        <v>1.8867924528301887</v>
      </c>
      <c r="S67" s="14">
        <f t="shared" ref="S67:S130" si="13">IFERROR((N67/L67)*1000, 0)</f>
        <v>62.909532600105372</v>
      </c>
      <c r="T67" s="4">
        <f t="shared" ref="T67:T130" si="14">(K67/I67)*100</f>
        <v>49.209925407215707</v>
      </c>
      <c r="U67" s="3">
        <f>LEN(A67) - LEN(SUBSTITUTE(A67,"&gt;","")) +1</f>
        <v>4</v>
      </c>
      <c r="V67" s="8">
        <f t="shared" ref="V67:V130" si="15">R67/I67</f>
        <v>5.744534793211109E-5</v>
      </c>
      <c r="W67" s="14">
        <f t="shared" ref="W67:W130" si="16">N67/U67</f>
        <v>477.6091715</v>
      </c>
      <c r="X67" s="4">
        <f t="shared" ref="X67:X130" si="17">(O67*R67/Q67)</f>
        <v>1.5936688521076103E-4</v>
      </c>
    </row>
    <row r="68" spans="1:24" ht="14.25" customHeight="1" x14ac:dyDescent="0.2">
      <c r="A68" s="5" t="s">
        <v>137</v>
      </c>
      <c r="B68" s="3" t="s">
        <v>14</v>
      </c>
      <c r="C68" s="3" t="s">
        <v>29</v>
      </c>
      <c r="D68" s="3" t="s">
        <v>2364</v>
      </c>
      <c r="E68" s="3" t="s">
        <v>2365</v>
      </c>
      <c r="F68" s="3" t="s">
        <v>79</v>
      </c>
      <c r="G68" s="3" t="s">
        <v>27</v>
      </c>
      <c r="H68" s="3" t="s">
        <v>19</v>
      </c>
      <c r="I68" s="3">
        <v>96508</v>
      </c>
      <c r="J68" s="3">
        <v>52</v>
      </c>
      <c r="K68" s="3">
        <v>47065</v>
      </c>
      <c r="L68" s="3">
        <v>73640</v>
      </c>
      <c r="M68" s="3">
        <v>4</v>
      </c>
      <c r="N68" s="14">
        <v>5310.7695720000002</v>
      </c>
      <c r="O68" s="7">
        <f t="shared" si="9"/>
        <v>5.3881543498984538E-2</v>
      </c>
      <c r="P68" s="14">
        <f t="shared" si="10"/>
        <v>102.13018407692309</v>
      </c>
      <c r="Q68" s="14">
        <f t="shared" si="11"/>
        <v>1327.692393</v>
      </c>
      <c r="R68" s="4">
        <f t="shared" si="12"/>
        <v>7.6923076923076925</v>
      </c>
      <c r="S68" s="14">
        <f t="shared" si="13"/>
        <v>72.118000706137963</v>
      </c>
      <c r="T68" s="4">
        <f t="shared" si="14"/>
        <v>48.767977784225138</v>
      </c>
      <c r="U68" s="3">
        <f>LEN(A68) - LEN(SUBSTITUTE(A68,"&gt;","")) +1</f>
        <v>4</v>
      </c>
      <c r="V68" s="8">
        <f t="shared" si="15"/>
        <v>7.9706425294355829E-5</v>
      </c>
      <c r="W68" s="14">
        <f t="shared" si="16"/>
        <v>1327.692393</v>
      </c>
      <c r="X68" s="4">
        <f t="shared" si="17"/>
        <v>3.1217578236938075E-4</v>
      </c>
    </row>
    <row r="69" spans="1:24" ht="14.25" customHeight="1" x14ac:dyDescent="0.2">
      <c r="A69" s="5" t="s">
        <v>1565</v>
      </c>
      <c r="B69" s="3" t="s">
        <v>14</v>
      </c>
      <c r="C69" s="3" t="s">
        <v>35</v>
      </c>
      <c r="D69" s="3" t="s">
        <v>2353</v>
      </c>
      <c r="E69" s="3" t="s">
        <v>2354</v>
      </c>
      <c r="F69" s="3" t="s">
        <v>139</v>
      </c>
      <c r="G69" s="3" t="s">
        <v>27</v>
      </c>
      <c r="H69" s="3" t="s">
        <v>19</v>
      </c>
      <c r="I69" s="3">
        <v>38735</v>
      </c>
      <c r="J69" s="3">
        <v>51</v>
      </c>
      <c r="K69" s="3">
        <v>28719</v>
      </c>
      <c r="L69" s="3">
        <v>36629</v>
      </c>
      <c r="M69" s="3">
        <v>1</v>
      </c>
      <c r="N69" s="14">
        <v>2127.8240660000001</v>
      </c>
      <c r="O69" s="7">
        <f t="shared" si="9"/>
        <v>0.1316638698851168</v>
      </c>
      <c r="P69" s="14">
        <f t="shared" si="10"/>
        <v>41.722040509803925</v>
      </c>
      <c r="Q69" s="14">
        <f t="shared" si="11"/>
        <v>2127.8240660000001</v>
      </c>
      <c r="R69" s="4">
        <f t="shared" si="12"/>
        <v>1.9607843137254901</v>
      </c>
      <c r="S69" s="14">
        <f t="shared" si="13"/>
        <v>58.091240983919853</v>
      </c>
      <c r="T69" s="4">
        <f t="shared" si="14"/>
        <v>74.142248612366075</v>
      </c>
      <c r="U69" s="3">
        <f>LEN(A69) - LEN(SUBSTITUTE(A69,"&gt;","")) +1</f>
        <v>5</v>
      </c>
      <c r="V69" s="8">
        <f t="shared" si="15"/>
        <v>5.0620480540221764E-5</v>
      </c>
      <c r="W69" s="14">
        <f t="shared" si="16"/>
        <v>425.5648132</v>
      </c>
      <c r="X69" s="4">
        <f t="shared" si="17"/>
        <v>1.2132791187029038E-4</v>
      </c>
    </row>
    <row r="70" spans="1:24" ht="14.25" customHeight="1" x14ac:dyDescent="0.2">
      <c r="A70" s="5" t="s">
        <v>1566</v>
      </c>
      <c r="B70" s="3" t="s">
        <v>14</v>
      </c>
      <c r="C70" s="3" t="s">
        <v>15</v>
      </c>
      <c r="D70" s="3" t="s">
        <v>2351</v>
      </c>
      <c r="E70" s="3" t="s">
        <v>2352</v>
      </c>
      <c r="F70" s="3" t="s">
        <v>125</v>
      </c>
      <c r="G70" s="3" t="s">
        <v>27</v>
      </c>
      <c r="H70" s="3" t="s">
        <v>19</v>
      </c>
      <c r="I70" s="3">
        <v>102905</v>
      </c>
      <c r="J70" s="3">
        <v>50</v>
      </c>
      <c r="K70" s="3">
        <v>45324</v>
      </c>
      <c r="L70" s="3">
        <v>99065</v>
      </c>
      <c r="M70" s="3">
        <v>1</v>
      </c>
      <c r="N70" s="14">
        <v>6407.5818280000003</v>
      </c>
      <c r="O70" s="7">
        <f t="shared" si="9"/>
        <v>4.8588503959963072E-2</v>
      </c>
      <c r="P70" s="14">
        <f t="shared" si="10"/>
        <v>128.15163656000001</v>
      </c>
      <c r="Q70" s="14">
        <f t="shared" si="11"/>
        <v>6407.5818280000003</v>
      </c>
      <c r="R70" s="4">
        <f t="shared" si="12"/>
        <v>2</v>
      </c>
      <c r="S70" s="14">
        <f t="shared" si="13"/>
        <v>64.680581719073345</v>
      </c>
      <c r="T70" s="4">
        <f t="shared" si="14"/>
        <v>44.044507069627329</v>
      </c>
      <c r="U70" s="3">
        <f>LEN(A70) - LEN(SUBSTITUTE(A70,"&gt;","")) +1</f>
        <v>5</v>
      </c>
      <c r="V70" s="8">
        <f t="shared" si="15"/>
        <v>1.9435401583985229E-5</v>
      </c>
      <c r="W70" s="14">
        <f t="shared" si="16"/>
        <v>1281.5163656</v>
      </c>
      <c r="X70" s="4">
        <f t="shared" si="17"/>
        <v>1.5165940994351378E-5</v>
      </c>
    </row>
    <row r="71" spans="1:24" ht="14.25" customHeight="1" x14ac:dyDescent="0.2">
      <c r="A71" s="5" t="s">
        <v>1567</v>
      </c>
      <c r="B71" s="3" t="s">
        <v>24</v>
      </c>
      <c r="C71" s="3" t="s">
        <v>29</v>
      </c>
      <c r="D71" s="3" t="s">
        <v>2353</v>
      </c>
      <c r="E71" s="3" t="s">
        <v>2354</v>
      </c>
      <c r="F71" s="3" t="s">
        <v>142</v>
      </c>
      <c r="G71" s="3" t="s">
        <v>27</v>
      </c>
      <c r="H71" s="3" t="s">
        <v>114</v>
      </c>
      <c r="I71" s="3">
        <v>62040</v>
      </c>
      <c r="J71" s="3">
        <v>50</v>
      </c>
      <c r="K71" s="3">
        <v>43853</v>
      </c>
      <c r="L71" s="3">
        <v>58642</v>
      </c>
      <c r="M71" s="3">
        <v>15</v>
      </c>
      <c r="N71" s="14">
        <v>2139.0657930000002</v>
      </c>
      <c r="O71" s="7">
        <f t="shared" si="9"/>
        <v>8.0593165699548677E-2</v>
      </c>
      <c r="P71" s="14">
        <f t="shared" si="10"/>
        <v>42.781315860000007</v>
      </c>
      <c r="Q71" s="14">
        <f t="shared" si="11"/>
        <v>142.60438620000002</v>
      </c>
      <c r="R71" s="4">
        <f t="shared" si="12"/>
        <v>30</v>
      </c>
      <c r="S71" s="14">
        <f t="shared" si="13"/>
        <v>36.476685532553461</v>
      </c>
      <c r="T71" s="4">
        <f t="shared" si="14"/>
        <v>70.685041908446166</v>
      </c>
      <c r="U71" s="3">
        <f>LEN(A71) - LEN(SUBSTITUTE(A71,"&gt;","")) +1</f>
        <v>4</v>
      </c>
      <c r="V71" s="8">
        <f t="shared" si="15"/>
        <v>4.8355899419729207E-4</v>
      </c>
      <c r="W71" s="14">
        <f t="shared" si="16"/>
        <v>534.76644825000005</v>
      </c>
      <c r="X71" s="4">
        <f t="shared" si="17"/>
        <v>1.6954562446596471E-2</v>
      </c>
    </row>
    <row r="72" spans="1:24" ht="14.25" customHeight="1" x14ac:dyDescent="0.2">
      <c r="A72" s="5" t="s">
        <v>1568</v>
      </c>
      <c r="B72" s="3" t="s">
        <v>14</v>
      </c>
      <c r="C72" s="3" t="s">
        <v>29</v>
      </c>
      <c r="D72" s="3" t="s">
        <v>2357</v>
      </c>
      <c r="E72" s="3" t="s">
        <v>2358</v>
      </c>
      <c r="F72" s="3" t="s">
        <v>40</v>
      </c>
      <c r="G72" s="3" t="s">
        <v>27</v>
      </c>
      <c r="H72" s="3" t="s">
        <v>19</v>
      </c>
      <c r="I72" s="3">
        <v>921791</v>
      </c>
      <c r="J72" s="3">
        <v>49</v>
      </c>
      <c r="K72" s="3">
        <v>668449</v>
      </c>
      <c r="L72" s="3">
        <v>852442</v>
      </c>
      <c r="M72" s="3">
        <v>69</v>
      </c>
      <c r="N72" s="14">
        <v>8042.8979490000002</v>
      </c>
      <c r="O72" s="7">
        <f t="shared" si="9"/>
        <v>5.3157386001816027E-3</v>
      </c>
      <c r="P72" s="14">
        <f t="shared" si="10"/>
        <v>164.14077446938776</v>
      </c>
      <c r="Q72" s="14">
        <f t="shared" si="11"/>
        <v>116.56373839130435</v>
      </c>
      <c r="R72" s="4">
        <f t="shared" si="12"/>
        <v>140.81632653061226</v>
      </c>
      <c r="S72" s="14">
        <f t="shared" si="13"/>
        <v>9.4351263182715073</v>
      </c>
      <c r="T72" s="4">
        <f t="shared" si="14"/>
        <v>72.516329623526374</v>
      </c>
      <c r="U72" s="3">
        <f>LEN(A72) - LEN(SUBSTITUTE(A72,"&gt;","")) +1</f>
        <v>5</v>
      </c>
      <c r="V72" s="8">
        <f t="shared" si="15"/>
        <v>1.527638331580719E-4</v>
      </c>
      <c r="W72" s="14">
        <f t="shared" si="16"/>
        <v>1608.5795898000001</v>
      </c>
      <c r="X72" s="4">
        <f t="shared" si="17"/>
        <v>6.421746529454082E-3</v>
      </c>
    </row>
    <row r="73" spans="1:24" ht="14.25" customHeight="1" x14ac:dyDescent="0.2">
      <c r="A73" s="5" t="s">
        <v>144</v>
      </c>
      <c r="B73" s="3" t="s">
        <v>68</v>
      </c>
      <c r="C73" s="3" t="s">
        <v>29</v>
      </c>
      <c r="D73" s="3" t="s">
        <v>2362</v>
      </c>
      <c r="E73" s="3" t="s">
        <v>2352</v>
      </c>
      <c r="F73" s="3" t="s">
        <v>145</v>
      </c>
      <c r="G73" s="3" t="s">
        <v>22</v>
      </c>
      <c r="H73" s="3" t="s">
        <v>19</v>
      </c>
      <c r="I73" s="3">
        <v>115412</v>
      </c>
      <c r="J73" s="3">
        <v>49</v>
      </c>
      <c r="K73" s="3">
        <v>71564</v>
      </c>
      <c r="L73" s="3">
        <v>81785</v>
      </c>
      <c r="M73" s="3">
        <v>21</v>
      </c>
      <c r="N73" s="14">
        <v>6861.5363799999996</v>
      </c>
      <c r="O73" s="7">
        <f t="shared" si="9"/>
        <v>4.2456590302568188E-2</v>
      </c>
      <c r="P73" s="14">
        <f t="shared" si="10"/>
        <v>140.03135469387755</v>
      </c>
      <c r="Q73" s="14">
        <f t="shared" si="11"/>
        <v>326.73982761904762</v>
      </c>
      <c r="R73" s="4">
        <f t="shared" si="12"/>
        <v>42.857142857142854</v>
      </c>
      <c r="S73" s="14">
        <f t="shared" si="13"/>
        <v>83.897247417008003</v>
      </c>
      <c r="T73" s="4">
        <f t="shared" si="14"/>
        <v>62.007416906387547</v>
      </c>
      <c r="U73" s="3">
        <f>LEN(A73) - LEN(SUBSTITUTE(A73,"&gt;","")) +1</f>
        <v>4</v>
      </c>
      <c r="V73" s="8">
        <f t="shared" si="15"/>
        <v>3.7134043996415322E-4</v>
      </c>
      <c r="W73" s="14">
        <f t="shared" si="16"/>
        <v>1715.3840949999999</v>
      </c>
      <c r="X73" s="4">
        <f t="shared" si="17"/>
        <v>5.5688593860244709E-3</v>
      </c>
    </row>
    <row r="74" spans="1:24" ht="14.25" customHeight="1" x14ac:dyDescent="0.2">
      <c r="A74" s="5" t="s">
        <v>1569</v>
      </c>
      <c r="B74" s="3" t="s">
        <v>24</v>
      </c>
      <c r="C74" s="3" t="s">
        <v>35</v>
      </c>
      <c r="D74" s="3" t="s">
        <v>2357</v>
      </c>
      <c r="E74" s="3" t="s">
        <v>2358</v>
      </c>
      <c r="F74" s="3" t="s">
        <v>72</v>
      </c>
      <c r="G74" s="3" t="s">
        <v>64</v>
      </c>
      <c r="H74" s="3" t="s">
        <v>19</v>
      </c>
      <c r="I74" s="3">
        <v>144088</v>
      </c>
      <c r="J74" s="3">
        <v>49</v>
      </c>
      <c r="K74" s="3">
        <v>26416</v>
      </c>
      <c r="L74" s="3">
        <v>137369</v>
      </c>
      <c r="M74" s="3">
        <v>7</v>
      </c>
      <c r="N74" s="14">
        <v>1464.0642350000001</v>
      </c>
      <c r="O74" s="7">
        <f t="shared" si="9"/>
        <v>3.4006995724834822E-2</v>
      </c>
      <c r="P74" s="14">
        <f t="shared" si="10"/>
        <v>29.878861938775511</v>
      </c>
      <c r="Q74" s="14">
        <f t="shared" si="11"/>
        <v>209.15203357142857</v>
      </c>
      <c r="R74" s="4">
        <f t="shared" si="12"/>
        <v>14.285714285714285</v>
      </c>
      <c r="S74" s="14">
        <f t="shared" si="13"/>
        <v>10.657893957151904</v>
      </c>
      <c r="T74" s="4">
        <f t="shared" si="14"/>
        <v>18.333240797290546</v>
      </c>
      <c r="U74" s="3">
        <f>LEN(A74) - LEN(SUBSTITUTE(A74,"&gt;","")) +1</f>
        <v>2</v>
      </c>
      <c r="V74" s="8">
        <f t="shared" si="15"/>
        <v>9.9145760130713758E-5</v>
      </c>
      <c r="W74" s="14">
        <f t="shared" si="16"/>
        <v>732.03211750000003</v>
      </c>
      <c r="X74" s="4">
        <f t="shared" si="17"/>
        <v>2.3227803064825789E-3</v>
      </c>
    </row>
    <row r="75" spans="1:24" ht="14.25" customHeight="1" x14ac:dyDescent="0.2">
      <c r="A75" s="5" t="s">
        <v>1570</v>
      </c>
      <c r="B75" s="3" t="s">
        <v>24</v>
      </c>
      <c r="C75" s="3" t="s">
        <v>29</v>
      </c>
      <c r="D75" s="3" t="s">
        <v>2357</v>
      </c>
      <c r="E75" s="3" t="s">
        <v>2358</v>
      </c>
      <c r="F75" s="3" t="s">
        <v>46</v>
      </c>
      <c r="G75" s="3" t="s">
        <v>27</v>
      </c>
      <c r="H75" s="3" t="s">
        <v>114</v>
      </c>
      <c r="I75" s="3">
        <v>102958</v>
      </c>
      <c r="J75" s="3">
        <v>48</v>
      </c>
      <c r="K75" s="3">
        <v>86884</v>
      </c>
      <c r="L75" s="3">
        <v>94687</v>
      </c>
      <c r="M75" s="3">
        <v>12</v>
      </c>
      <c r="N75" s="14">
        <v>6624.2211749999997</v>
      </c>
      <c r="O75" s="7">
        <f t="shared" si="9"/>
        <v>4.6620952232949361E-2</v>
      </c>
      <c r="P75" s="14">
        <f t="shared" si="10"/>
        <v>138.00460781249998</v>
      </c>
      <c r="Q75" s="14">
        <f t="shared" si="11"/>
        <v>552.01843124999994</v>
      </c>
      <c r="R75" s="4">
        <f t="shared" si="12"/>
        <v>25</v>
      </c>
      <c r="S75" s="14">
        <f t="shared" si="13"/>
        <v>69.959140906354619</v>
      </c>
      <c r="T75" s="4">
        <f t="shared" si="14"/>
        <v>84.38780862099108</v>
      </c>
      <c r="U75" s="3">
        <f>LEN(A75) - LEN(SUBSTITUTE(A75,"&gt;","")) +1</f>
        <v>5</v>
      </c>
      <c r="V75" s="8">
        <f t="shared" si="15"/>
        <v>2.4281745954661123E-4</v>
      </c>
      <c r="W75" s="14">
        <f t="shared" si="16"/>
        <v>1324.844235</v>
      </c>
      <c r="X75" s="4">
        <f t="shared" si="17"/>
        <v>2.1113856709177301E-3</v>
      </c>
    </row>
    <row r="76" spans="1:24" ht="14.25" customHeight="1" x14ac:dyDescent="0.2">
      <c r="A76" s="5" t="s">
        <v>1571</v>
      </c>
      <c r="B76" s="3" t="s">
        <v>24</v>
      </c>
      <c r="C76" s="3" t="s">
        <v>35</v>
      </c>
      <c r="D76" s="3" t="s">
        <v>2357</v>
      </c>
      <c r="E76" s="3" t="s">
        <v>2358</v>
      </c>
      <c r="F76" s="3" t="s">
        <v>149</v>
      </c>
      <c r="G76" s="3" t="s">
        <v>27</v>
      </c>
      <c r="H76" s="3" t="s">
        <v>19</v>
      </c>
      <c r="I76" s="3">
        <v>224359</v>
      </c>
      <c r="J76" s="3">
        <v>48</v>
      </c>
      <c r="K76" s="3">
        <v>163149</v>
      </c>
      <c r="L76" s="3">
        <v>200859</v>
      </c>
      <c r="M76" s="3">
        <v>5</v>
      </c>
      <c r="N76" s="14">
        <v>4196.9367769999999</v>
      </c>
      <c r="O76" s="7">
        <f t="shared" si="9"/>
        <v>2.1394283269224768E-2</v>
      </c>
      <c r="P76" s="14">
        <f t="shared" si="10"/>
        <v>87.43618285416666</v>
      </c>
      <c r="Q76" s="14">
        <f t="shared" si="11"/>
        <v>839.38735539999993</v>
      </c>
      <c r="R76" s="4">
        <f t="shared" si="12"/>
        <v>10.416666666666668</v>
      </c>
      <c r="S76" s="14">
        <f t="shared" si="13"/>
        <v>20.89494011719664</v>
      </c>
      <c r="T76" s="4">
        <f t="shared" si="14"/>
        <v>72.717831689390664</v>
      </c>
      <c r="U76" s="3">
        <f>LEN(A76) - LEN(SUBSTITUTE(A76,"&gt;","")) +1</f>
        <v>5</v>
      </c>
      <c r="V76" s="8">
        <f t="shared" si="15"/>
        <v>4.6428566122449588E-5</v>
      </c>
      <c r="W76" s="14">
        <f t="shared" si="16"/>
        <v>839.38735539999993</v>
      </c>
      <c r="X76" s="4">
        <f t="shared" si="17"/>
        <v>2.6549973138630155E-4</v>
      </c>
    </row>
    <row r="77" spans="1:24" ht="14.25" customHeight="1" x14ac:dyDescent="0.2">
      <c r="A77" s="5" t="s">
        <v>1572</v>
      </c>
      <c r="B77" s="3" t="s">
        <v>14</v>
      </c>
      <c r="C77" s="3" t="s">
        <v>32</v>
      </c>
      <c r="D77" s="3" t="s">
        <v>2371</v>
      </c>
      <c r="E77" s="3" t="s">
        <v>2372</v>
      </c>
      <c r="F77" s="3" t="s">
        <v>149</v>
      </c>
      <c r="G77" s="3" t="s">
        <v>27</v>
      </c>
      <c r="H77" s="3" t="s">
        <v>19</v>
      </c>
      <c r="I77" s="3">
        <v>198754</v>
      </c>
      <c r="J77" s="3">
        <v>48</v>
      </c>
      <c r="K77" s="3">
        <v>137649</v>
      </c>
      <c r="L77" s="3">
        <v>178415</v>
      </c>
      <c r="M77" s="3">
        <v>4</v>
      </c>
      <c r="N77" s="14">
        <v>1803.0814969999999</v>
      </c>
      <c r="O77" s="7">
        <f t="shared" si="9"/>
        <v>2.4150457349286052E-2</v>
      </c>
      <c r="P77" s="14">
        <f t="shared" si="10"/>
        <v>37.564197854166665</v>
      </c>
      <c r="Q77" s="14">
        <f t="shared" si="11"/>
        <v>450.77037424999997</v>
      </c>
      <c r="R77" s="4">
        <f t="shared" si="12"/>
        <v>8.3333333333333321</v>
      </c>
      <c r="S77" s="14">
        <f t="shared" si="13"/>
        <v>10.10610933497744</v>
      </c>
      <c r="T77" s="4">
        <f t="shared" si="14"/>
        <v>69.255964659830752</v>
      </c>
      <c r="U77" s="3">
        <f>LEN(A77) - LEN(SUBSTITUTE(A77,"&gt;","")) +1</f>
        <v>5</v>
      </c>
      <c r="V77" s="8">
        <f t="shared" si="15"/>
        <v>4.1927877342510504E-5</v>
      </c>
      <c r="W77" s="14">
        <f t="shared" si="16"/>
        <v>360.6162994</v>
      </c>
      <c r="X77" s="4">
        <f t="shared" si="17"/>
        <v>4.464663667813134E-4</v>
      </c>
    </row>
    <row r="78" spans="1:24" ht="14.25" customHeight="1" x14ac:dyDescent="0.2">
      <c r="A78" s="5" t="s">
        <v>1573</v>
      </c>
      <c r="B78" s="3" t="s">
        <v>24</v>
      </c>
      <c r="C78" s="3" t="s">
        <v>15</v>
      </c>
      <c r="D78" s="3" t="s">
        <v>2357</v>
      </c>
      <c r="E78" s="3" t="s">
        <v>2358</v>
      </c>
      <c r="F78" s="3" t="s">
        <v>17</v>
      </c>
      <c r="G78" s="3" t="s">
        <v>27</v>
      </c>
      <c r="H78" s="3" t="s">
        <v>114</v>
      </c>
      <c r="I78" s="3">
        <v>48211</v>
      </c>
      <c r="J78" s="3">
        <v>47</v>
      </c>
      <c r="K78" s="3">
        <v>30157</v>
      </c>
      <c r="L78" s="3">
        <v>43810</v>
      </c>
      <c r="M78" s="3">
        <v>13</v>
      </c>
      <c r="N78" s="14">
        <v>6708.4633510000003</v>
      </c>
      <c r="O78" s="7">
        <f t="shared" si="9"/>
        <v>9.7488125116674623E-2</v>
      </c>
      <c r="P78" s="14">
        <f t="shared" si="10"/>
        <v>142.73326278723405</v>
      </c>
      <c r="Q78" s="14">
        <f t="shared" si="11"/>
        <v>516.03564238461536</v>
      </c>
      <c r="R78" s="4">
        <f t="shared" si="12"/>
        <v>27.659574468085108</v>
      </c>
      <c r="S78" s="14">
        <f t="shared" si="13"/>
        <v>153.12630337822418</v>
      </c>
      <c r="T78" s="4">
        <f t="shared" si="14"/>
        <v>62.552114662628867</v>
      </c>
      <c r="U78" s="3">
        <f>LEN(A78) - LEN(SUBSTITUTE(A78,"&gt;","")) +1</f>
        <v>5</v>
      </c>
      <c r="V78" s="8">
        <f t="shared" si="15"/>
        <v>5.7371916094014032E-4</v>
      </c>
      <c r="W78" s="14">
        <f t="shared" si="16"/>
        <v>1341.6926702000001</v>
      </c>
      <c r="X78" s="4">
        <f t="shared" si="17"/>
        <v>5.2253756038209854E-3</v>
      </c>
    </row>
    <row r="79" spans="1:24" ht="14.25" customHeight="1" x14ac:dyDescent="0.2">
      <c r="A79" s="5" t="s">
        <v>1574</v>
      </c>
      <c r="B79" s="3" t="s">
        <v>24</v>
      </c>
      <c r="C79" s="3" t="s">
        <v>29</v>
      </c>
      <c r="D79" s="3" t="s">
        <v>2363</v>
      </c>
      <c r="E79" s="3" t="s">
        <v>2358</v>
      </c>
      <c r="F79" s="3" t="s">
        <v>40</v>
      </c>
      <c r="G79" s="3" t="s">
        <v>27</v>
      </c>
      <c r="H79" s="3" t="s">
        <v>19</v>
      </c>
      <c r="I79" s="3">
        <v>109128</v>
      </c>
      <c r="J79" s="3">
        <v>47</v>
      </c>
      <c r="K79" s="3">
        <v>38487</v>
      </c>
      <c r="L79" s="3">
        <v>90615</v>
      </c>
      <c r="M79" s="3">
        <v>3</v>
      </c>
      <c r="N79" s="14">
        <v>5153.1172040000001</v>
      </c>
      <c r="O79" s="7">
        <f t="shared" si="9"/>
        <v>4.3068689978740561E-2</v>
      </c>
      <c r="P79" s="14">
        <f t="shared" si="10"/>
        <v>109.64079157446808</v>
      </c>
      <c r="Q79" s="14">
        <f t="shared" si="11"/>
        <v>1717.7057346666668</v>
      </c>
      <c r="R79" s="4">
        <f t="shared" si="12"/>
        <v>6.3829787234042552</v>
      </c>
      <c r="S79" s="14">
        <f t="shared" si="13"/>
        <v>56.868258058820288</v>
      </c>
      <c r="T79" s="4">
        <f t="shared" si="14"/>
        <v>35.267758961952936</v>
      </c>
      <c r="U79" s="3">
        <f>LEN(A79) - LEN(SUBSTITUTE(A79,"&gt;","")) +1</f>
        <v>5</v>
      </c>
      <c r="V79" s="8">
        <f t="shared" si="15"/>
        <v>5.8490751442381929E-5</v>
      </c>
      <c r="W79" s="14">
        <f t="shared" si="16"/>
        <v>1030.6234408</v>
      </c>
      <c r="X79" s="4">
        <f t="shared" si="17"/>
        <v>1.6004285613713845E-4</v>
      </c>
    </row>
    <row r="80" spans="1:24" ht="14.25" customHeight="1" x14ac:dyDescent="0.2">
      <c r="A80" s="5" t="s">
        <v>1575</v>
      </c>
      <c r="B80" s="3" t="s">
        <v>14</v>
      </c>
      <c r="C80" s="3" t="s">
        <v>29</v>
      </c>
      <c r="D80" s="3" t="s">
        <v>2373</v>
      </c>
      <c r="E80" s="3" t="s">
        <v>2352</v>
      </c>
      <c r="F80" s="3" t="s">
        <v>61</v>
      </c>
      <c r="G80" s="3" t="s">
        <v>33</v>
      </c>
      <c r="H80" s="3" t="s">
        <v>19</v>
      </c>
      <c r="I80" s="3">
        <v>190592</v>
      </c>
      <c r="J80" s="3">
        <v>47</v>
      </c>
      <c r="K80" s="3">
        <v>28906</v>
      </c>
      <c r="L80" s="3">
        <v>172515</v>
      </c>
      <c r="M80" s="3">
        <v>30</v>
      </c>
      <c r="N80" s="14">
        <v>4742.0477659999997</v>
      </c>
      <c r="O80" s="7">
        <f t="shared" si="9"/>
        <v>2.466000671591672E-2</v>
      </c>
      <c r="P80" s="14">
        <f t="shared" si="10"/>
        <v>100.89463331914892</v>
      </c>
      <c r="Q80" s="14">
        <f t="shared" si="11"/>
        <v>158.06825886666667</v>
      </c>
      <c r="R80" s="4">
        <f t="shared" si="12"/>
        <v>63.829787234042556</v>
      </c>
      <c r="S80" s="14">
        <f t="shared" si="13"/>
        <v>27.487741738399556</v>
      </c>
      <c r="T80" s="4">
        <f t="shared" si="14"/>
        <v>15.166428811282739</v>
      </c>
      <c r="U80" s="3">
        <f>LEN(A80) - LEN(SUBSTITUTE(A80,"&gt;","")) +1</f>
        <v>5</v>
      </c>
      <c r="V80" s="8">
        <f t="shared" si="15"/>
        <v>3.34902762099367E-4</v>
      </c>
      <c r="W80" s="14">
        <f t="shared" si="16"/>
        <v>948.40955319999989</v>
      </c>
      <c r="X80" s="4">
        <f t="shared" si="17"/>
        <v>9.9579953189384944E-3</v>
      </c>
    </row>
    <row r="81" spans="1:24" ht="14.25" customHeight="1" x14ac:dyDescent="0.2">
      <c r="A81" s="5" t="s">
        <v>1576</v>
      </c>
      <c r="B81" s="3" t="s">
        <v>24</v>
      </c>
      <c r="C81" s="3" t="s">
        <v>29</v>
      </c>
      <c r="D81" s="3" t="s">
        <v>2357</v>
      </c>
      <c r="E81" s="3" t="s">
        <v>2358</v>
      </c>
      <c r="F81" s="3" t="s">
        <v>157</v>
      </c>
      <c r="G81" s="3" t="s">
        <v>81</v>
      </c>
      <c r="H81" s="3" t="s">
        <v>114</v>
      </c>
      <c r="I81" s="3">
        <v>49415</v>
      </c>
      <c r="J81" s="3">
        <v>47</v>
      </c>
      <c r="K81" s="3">
        <v>24692</v>
      </c>
      <c r="L81" s="3">
        <v>45565</v>
      </c>
      <c r="M81" s="3">
        <v>3</v>
      </c>
      <c r="N81" s="14">
        <v>1471.1757279999999</v>
      </c>
      <c r="O81" s="7">
        <f t="shared" si="9"/>
        <v>9.5112819993928968E-2</v>
      </c>
      <c r="P81" s="14">
        <f t="shared" si="10"/>
        <v>31.30161123404255</v>
      </c>
      <c r="Q81" s="14">
        <f t="shared" si="11"/>
        <v>490.39190933333333</v>
      </c>
      <c r="R81" s="4">
        <f t="shared" si="12"/>
        <v>6.3829787234042552</v>
      </c>
      <c r="S81" s="14">
        <f t="shared" si="13"/>
        <v>32.287407615494345</v>
      </c>
      <c r="T81" s="4">
        <f t="shared" si="14"/>
        <v>49.968633006172212</v>
      </c>
      <c r="U81" s="3">
        <f>LEN(A81) - LEN(SUBSTITUTE(A81,"&gt;","")) +1</f>
        <v>3</v>
      </c>
      <c r="V81" s="8">
        <f t="shared" si="15"/>
        <v>1.2917087369026115E-4</v>
      </c>
      <c r="W81" s="14">
        <f t="shared" si="16"/>
        <v>490.39190933333333</v>
      </c>
      <c r="X81" s="4">
        <f t="shared" si="17"/>
        <v>1.2379957637750549E-3</v>
      </c>
    </row>
    <row r="82" spans="1:24" ht="14.25" customHeight="1" x14ac:dyDescent="0.2">
      <c r="A82" s="5" t="s">
        <v>158</v>
      </c>
      <c r="B82" s="3" t="s">
        <v>68</v>
      </c>
      <c r="C82" s="3" t="s">
        <v>35</v>
      </c>
      <c r="D82" s="3" t="s">
        <v>2362</v>
      </c>
      <c r="E82" s="3" t="s">
        <v>2352</v>
      </c>
      <c r="F82" s="3" t="s">
        <v>159</v>
      </c>
      <c r="G82" s="3" t="s">
        <v>27</v>
      </c>
      <c r="H82" s="3" t="s">
        <v>19</v>
      </c>
      <c r="I82" s="3">
        <v>119280</v>
      </c>
      <c r="J82" s="3">
        <v>46</v>
      </c>
      <c r="K82" s="3">
        <v>55665</v>
      </c>
      <c r="L82" s="3">
        <v>112913</v>
      </c>
      <c r="M82" s="3">
        <v>23</v>
      </c>
      <c r="N82" s="14">
        <v>6492.6763430000001</v>
      </c>
      <c r="O82" s="7">
        <f t="shared" si="9"/>
        <v>3.8564721663313213E-2</v>
      </c>
      <c r="P82" s="14">
        <f t="shared" si="10"/>
        <v>141.14513789130436</v>
      </c>
      <c r="Q82" s="14">
        <f t="shared" si="11"/>
        <v>282.29027578260872</v>
      </c>
      <c r="R82" s="4">
        <f t="shared" si="12"/>
        <v>50</v>
      </c>
      <c r="S82" s="14">
        <f t="shared" si="13"/>
        <v>57.501583900879439</v>
      </c>
      <c r="T82" s="4">
        <f t="shared" si="14"/>
        <v>46.66750503018109</v>
      </c>
      <c r="U82" s="3">
        <f>LEN(A82) - LEN(SUBSTITUTE(A82,"&gt;","")) +1</f>
        <v>4</v>
      </c>
      <c r="V82" s="8">
        <f t="shared" si="15"/>
        <v>4.1918175720992624E-4</v>
      </c>
      <c r="W82" s="14">
        <f t="shared" si="16"/>
        <v>1623.16908575</v>
      </c>
      <c r="X82" s="4">
        <f t="shared" si="17"/>
        <v>6.8306854631102918E-3</v>
      </c>
    </row>
    <row r="83" spans="1:24" ht="14.25" customHeight="1" x14ac:dyDescent="0.2">
      <c r="A83" s="5" t="s">
        <v>1577</v>
      </c>
      <c r="B83" s="3" t="s">
        <v>24</v>
      </c>
      <c r="C83" s="3" t="s">
        <v>15</v>
      </c>
      <c r="D83" s="3" t="s">
        <v>2357</v>
      </c>
      <c r="E83" s="3" t="s">
        <v>2358</v>
      </c>
      <c r="F83" s="3" t="s">
        <v>161</v>
      </c>
      <c r="G83" s="3" t="s">
        <v>27</v>
      </c>
      <c r="H83" s="3" t="s">
        <v>19</v>
      </c>
      <c r="I83" s="3">
        <v>52006</v>
      </c>
      <c r="J83" s="3">
        <v>45</v>
      </c>
      <c r="K83" s="3">
        <v>24711</v>
      </c>
      <c r="L83" s="3">
        <v>48019</v>
      </c>
      <c r="M83" s="3">
        <v>8</v>
      </c>
      <c r="N83" s="14">
        <v>5200.0101180000001</v>
      </c>
      <c r="O83" s="7">
        <f t="shared" si="9"/>
        <v>8.6528477483367311E-2</v>
      </c>
      <c r="P83" s="14">
        <f t="shared" si="10"/>
        <v>115.5557804</v>
      </c>
      <c r="Q83" s="14">
        <f t="shared" si="11"/>
        <v>650.00126475000002</v>
      </c>
      <c r="R83" s="4">
        <f t="shared" si="12"/>
        <v>17.777777777777779</v>
      </c>
      <c r="S83" s="14">
        <f t="shared" si="13"/>
        <v>108.29067906453696</v>
      </c>
      <c r="T83" s="4">
        <f t="shared" si="14"/>
        <v>47.515671268699769</v>
      </c>
      <c r="U83" s="3">
        <f>LEN(A83) - LEN(SUBSTITUTE(A83,"&gt;","")) +1</f>
        <v>5</v>
      </c>
      <c r="V83" s="8">
        <f t="shared" si="15"/>
        <v>3.4184089869972271E-4</v>
      </c>
      <c r="W83" s="14">
        <f t="shared" si="16"/>
        <v>1040.0020236</v>
      </c>
      <c r="X83" s="4">
        <f t="shared" si="17"/>
        <v>2.3665862323212538E-3</v>
      </c>
    </row>
    <row r="84" spans="1:24" ht="14.25" customHeight="1" x14ac:dyDescent="0.2">
      <c r="A84" s="5" t="s">
        <v>1578</v>
      </c>
      <c r="B84" s="3" t="s">
        <v>24</v>
      </c>
      <c r="C84" s="3" t="s">
        <v>15</v>
      </c>
      <c r="D84" s="3" t="s">
        <v>2351</v>
      </c>
      <c r="E84" s="3" t="s">
        <v>2352</v>
      </c>
      <c r="F84" s="3" t="s">
        <v>52</v>
      </c>
      <c r="G84" s="3" t="s">
        <v>41</v>
      </c>
      <c r="H84" s="3" t="s">
        <v>163</v>
      </c>
      <c r="I84" s="3">
        <v>73567</v>
      </c>
      <c r="J84" s="3">
        <v>45</v>
      </c>
      <c r="K84" s="3">
        <v>28800</v>
      </c>
      <c r="L84" s="3">
        <v>68566</v>
      </c>
      <c r="M84" s="3">
        <v>2</v>
      </c>
      <c r="N84" s="14">
        <v>1567.3660709999999</v>
      </c>
      <c r="O84" s="7">
        <f t="shared" si="9"/>
        <v>6.116873054494542E-2</v>
      </c>
      <c r="P84" s="14">
        <f t="shared" si="10"/>
        <v>34.83035713333333</v>
      </c>
      <c r="Q84" s="14">
        <f t="shared" si="11"/>
        <v>783.68303549999996</v>
      </c>
      <c r="R84" s="4">
        <f t="shared" si="12"/>
        <v>4.4444444444444446</v>
      </c>
      <c r="S84" s="14">
        <f t="shared" si="13"/>
        <v>22.859231557914999</v>
      </c>
      <c r="T84" s="4">
        <f t="shared" si="14"/>
        <v>39.147987548765073</v>
      </c>
      <c r="U84" s="3">
        <f>LEN(A84) - LEN(SUBSTITUTE(A84,"&gt;","")) +1</f>
        <v>2</v>
      </c>
      <c r="V84" s="8">
        <f t="shared" si="15"/>
        <v>6.0413561032044863E-5</v>
      </c>
      <c r="W84" s="14">
        <f t="shared" si="16"/>
        <v>783.68303549999996</v>
      </c>
      <c r="X84" s="4">
        <f t="shared" si="17"/>
        <v>3.4690176044292065E-4</v>
      </c>
    </row>
    <row r="85" spans="1:24" ht="14.25" customHeight="1" x14ac:dyDescent="0.2">
      <c r="A85" s="5" t="s">
        <v>1579</v>
      </c>
      <c r="B85" s="3" t="s">
        <v>14</v>
      </c>
      <c r="C85" s="3" t="s">
        <v>35</v>
      </c>
      <c r="D85" s="3" t="s">
        <v>2374</v>
      </c>
      <c r="E85" s="3" t="s">
        <v>2375</v>
      </c>
      <c r="F85" s="3" t="s">
        <v>166</v>
      </c>
      <c r="G85" s="3" t="s">
        <v>27</v>
      </c>
      <c r="H85" s="3" t="s">
        <v>19</v>
      </c>
      <c r="I85" s="3">
        <v>81567</v>
      </c>
      <c r="J85" s="3">
        <v>44</v>
      </c>
      <c r="K85" s="3">
        <v>53264</v>
      </c>
      <c r="L85" s="3">
        <v>68123</v>
      </c>
      <c r="M85" s="3">
        <v>4</v>
      </c>
      <c r="N85" s="14">
        <v>6392.471955</v>
      </c>
      <c r="O85" s="7">
        <f t="shared" si="9"/>
        <v>5.3943383966555104E-2</v>
      </c>
      <c r="P85" s="14">
        <f t="shared" si="10"/>
        <v>145.28345352272729</v>
      </c>
      <c r="Q85" s="14">
        <f t="shared" si="11"/>
        <v>1598.11798875</v>
      </c>
      <c r="R85" s="4">
        <f t="shared" si="12"/>
        <v>9.0909090909090917</v>
      </c>
      <c r="S85" s="14">
        <f t="shared" si="13"/>
        <v>93.837205569337826</v>
      </c>
      <c r="T85" s="4">
        <f t="shared" si="14"/>
        <v>65.300918263513424</v>
      </c>
      <c r="U85" s="3">
        <f>LEN(A85) - LEN(SUBSTITUTE(A85,"&gt;","")) +1</f>
        <v>6</v>
      </c>
      <c r="V85" s="8">
        <f t="shared" si="15"/>
        <v>1.1145327265817171E-4</v>
      </c>
      <c r="W85" s="14">
        <f t="shared" si="16"/>
        <v>1065.4119925</v>
      </c>
      <c r="X85" s="4">
        <f t="shared" si="17"/>
        <v>3.0685744303493345E-4</v>
      </c>
    </row>
    <row r="86" spans="1:24" ht="14.25" customHeight="1" x14ac:dyDescent="0.2">
      <c r="A86" s="5" t="s">
        <v>1497</v>
      </c>
      <c r="B86" s="3" t="s">
        <v>14</v>
      </c>
      <c r="C86" s="3" t="s">
        <v>15</v>
      </c>
      <c r="D86" s="3" t="s">
        <v>2362</v>
      </c>
      <c r="E86" s="3" t="s">
        <v>2352</v>
      </c>
      <c r="F86" s="3" t="s">
        <v>17</v>
      </c>
      <c r="G86" s="3" t="s">
        <v>81</v>
      </c>
      <c r="H86" s="3" t="s">
        <v>19</v>
      </c>
      <c r="I86" s="3">
        <v>69540</v>
      </c>
      <c r="J86" s="3">
        <v>44</v>
      </c>
      <c r="K86" s="3">
        <v>28713</v>
      </c>
      <c r="L86" s="3">
        <v>62829</v>
      </c>
      <c r="M86" s="3">
        <v>15</v>
      </c>
      <c r="N86" s="14">
        <v>1838.9877300000001</v>
      </c>
      <c r="O86" s="7">
        <f t="shared" si="9"/>
        <v>6.3272936439459304E-2</v>
      </c>
      <c r="P86" s="14">
        <f t="shared" si="10"/>
        <v>41.795175681818186</v>
      </c>
      <c r="Q86" s="14">
        <f t="shared" si="11"/>
        <v>122.599182</v>
      </c>
      <c r="R86" s="4">
        <f t="shared" si="12"/>
        <v>34.090909090909086</v>
      </c>
      <c r="S86" s="14">
        <f t="shared" si="13"/>
        <v>29.269727832688726</v>
      </c>
      <c r="T86" s="4">
        <f t="shared" si="14"/>
        <v>41.28990509059534</v>
      </c>
      <c r="U86" s="3">
        <f>LEN(A86) - LEN(SUBSTITUTE(A86,"&gt;","")) +1</f>
        <v>2</v>
      </c>
      <c r="V86" s="8">
        <f t="shared" si="15"/>
        <v>4.9023452819828999E-4</v>
      </c>
      <c r="W86" s="14">
        <f t="shared" si="16"/>
        <v>919.49386500000003</v>
      </c>
      <c r="X86" s="4">
        <f t="shared" si="17"/>
        <v>1.7594178761098714E-2</v>
      </c>
    </row>
    <row r="87" spans="1:24" ht="14.25" customHeight="1" x14ac:dyDescent="0.2">
      <c r="A87" s="5" t="s">
        <v>1580</v>
      </c>
      <c r="B87" s="3" t="s">
        <v>68</v>
      </c>
      <c r="C87" s="3" t="s">
        <v>35</v>
      </c>
      <c r="D87" s="3" t="s">
        <v>2367</v>
      </c>
      <c r="E87" s="3" t="s">
        <v>2352</v>
      </c>
      <c r="F87" s="3" t="s">
        <v>142</v>
      </c>
      <c r="G87" s="3" t="s">
        <v>27</v>
      </c>
      <c r="H87" s="3" t="s">
        <v>19</v>
      </c>
      <c r="I87" s="3">
        <v>81054</v>
      </c>
      <c r="J87" s="3">
        <v>44</v>
      </c>
      <c r="K87" s="3">
        <v>56762</v>
      </c>
      <c r="L87" s="3">
        <v>76198</v>
      </c>
      <c r="M87" s="3">
        <v>16</v>
      </c>
      <c r="N87" s="14">
        <v>1532.357841</v>
      </c>
      <c r="O87" s="7">
        <f t="shared" si="9"/>
        <v>5.4284797789128231E-2</v>
      </c>
      <c r="P87" s="14">
        <f t="shared" si="10"/>
        <v>34.826314568181822</v>
      </c>
      <c r="Q87" s="14">
        <f t="shared" si="11"/>
        <v>95.7723650625</v>
      </c>
      <c r="R87" s="4">
        <f t="shared" si="12"/>
        <v>36.363636363636367</v>
      </c>
      <c r="S87" s="14">
        <f t="shared" si="13"/>
        <v>20.110210779810494</v>
      </c>
      <c r="T87" s="4">
        <f t="shared" si="14"/>
        <v>70.029856638784011</v>
      </c>
      <c r="U87" s="3">
        <f>LEN(A87) - LEN(SUBSTITUTE(A87,"&gt;","")) +1</f>
        <v>4</v>
      </c>
      <c r="V87" s="8">
        <f t="shared" si="15"/>
        <v>4.4863469247213421E-4</v>
      </c>
      <c r="W87" s="14">
        <f t="shared" si="16"/>
        <v>383.08946025</v>
      </c>
      <c r="X87" s="4">
        <f t="shared" si="17"/>
        <v>2.0611296855718081E-2</v>
      </c>
    </row>
    <row r="88" spans="1:24" ht="14.25" customHeight="1" x14ac:dyDescent="0.2">
      <c r="A88" s="5" t="s">
        <v>1581</v>
      </c>
      <c r="B88" s="3" t="s">
        <v>14</v>
      </c>
      <c r="C88" s="3" t="s">
        <v>15</v>
      </c>
      <c r="D88" s="3" t="s">
        <v>2362</v>
      </c>
      <c r="E88" s="3" t="s">
        <v>2352</v>
      </c>
      <c r="F88" s="3" t="s">
        <v>40</v>
      </c>
      <c r="G88" s="3" t="s">
        <v>27</v>
      </c>
      <c r="H88" s="3" t="s">
        <v>19</v>
      </c>
      <c r="I88" s="3">
        <v>1222302</v>
      </c>
      <c r="J88" s="3">
        <v>42</v>
      </c>
      <c r="K88" s="3">
        <v>553773</v>
      </c>
      <c r="L88" s="3">
        <v>1120128</v>
      </c>
      <c r="M88" s="3">
        <v>42</v>
      </c>
      <c r="N88" s="14">
        <v>7880.7704059999996</v>
      </c>
      <c r="O88" s="7">
        <f t="shared" si="9"/>
        <v>3.4361393501769612E-3</v>
      </c>
      <c r="P88" s="14">
        <f t="shared" si="10"/>
        <v>187.63739061904761</v>
      </c>
      <c r="Q88" s="14">
        <f t="shared" si="11"/>
        <v>187.63739061904761</v>
      </c>
      <c r="R88" s="4">
        <f t="shared" si="12"/>
        <v>100</v>
      </c>
      <c r="S88" s="14">
        <f t="shared" si="13"/>
        <v>7.035598079862301</v>
      </c>
      <c r="T88" s="4">
        <f t="shared" si="14"/>
        <v>45.305742770608248</v>
      </c>
      <c r="U88" s="3">
        <f>LEN(A88) - LEN(SUBSTITUTE(A88,"&gt;","")) +1</f>
        <v>5</v>
      </c>
      <c r="V88" s="8">
        <f t="shared" si="15"/>
        <v>8.1812841670880028E-5</v>
      </c>
      <c r="W88" s="14">
        <f t="shared" si="16"/>
        <v>1576.1540811999998</v>
      </c>
      <c r="X88" s="4">
        <f t="shared" si="17"/>
        <v>1.8312657934756787E-3</v>
      </c>
    </row>
    <row r="89" spans="1:24" ht="14.25" customHeight="1" x14ac:dyDescent="0.2">
      <c r="A89" s="5" t="s">
        <v>170</v>
      </c>
      <c r="B89" s="3" t="s">
        <v>14</v>
      </c>
      <c r="C89" s="3" t="s">
        <v>32</v>
      </c>
      <c r="D89" s="3" t="s">
        <v>2353</v>
      </c>
      <c r="E89" s="3" t="s">
        <v>2354</v>
      </c>
      <c r="F89" s="3" t="s">
        <v>52</v>
      </c>
      <c r="G89" s="3" t="s">
        <v>27</v>
      </c>
      <c r="H89" s="3" t="s">
        <v>19</v>
      </c>
      <c r="I89" s="3">
        <v>25377</v>
      </c>
      <c r="J89" s="3">
        <v>42</v>
      </c>
      <c r="K89" s="3">
        <v>16698</v>
      </c>
      <c r="L89" s="3">
        <v>23798</v>
      </c>
      <c r="M89" s="3">
        <v>2</v>
      </c>
      <c r="N89" s="14">
        <v>5175.1429189999999</v>
      </c>
      <c r="O89" s="7">
        <f t="shared" si="9"/>
        <v>0.16550419671355954</v>
      </c>
      <c r="P89" s="14">
        <f t="shared" si="10"/>
        <v>123.21768854761905</v>
      </c>
      <c r="Q89" s="14">
        <f t="shared" si="11"/>
        <v>2587.5714594999999</v>
      </c>
      <c r="R89" s="4">
        <f t="shared" si="12"/>
        <v>4.7619047619047619</v>
      </c>
      <c r="S89" s="14">
        <f t="shared" si="13"/>
        <v>217.46125384486089</v>
      </c>
      <c r="T89" s="4">
        <f t="shared" si="14"/>
        <v>65.799739921976595</v>
      </c>
      <c r="U89" s="3">
        <f>LEN(A89) - LEN(SUBSTITUTE(A89,"&gt;","")) +1</f>
        <v>4</v>
      </c>
      <c r="V89" s="8">
        <f t="shared" si="15"/>
        <v>1.8764648153464798E-4</v>
      </c>
      <c r="W89" s="14">
        <f t="shared" si="16"/>
        <v>1293.78572975</v>
      </c>
      <c r="X89" s="4">
        <f t="shared" si="17"/>
        <v>3.0457718164730808E-4</v>
      </c>
    </row>
    <row r="90" spans="1:24" ht="14.25" customHeight="1" x14ac:dyDescent="0.2">
      <c r="A90" s="5" t="s">
        <v>1582</v>
      </c>
      <c r="B90" s="3" t="s">
        <v>14</v>
      </c>
      <c r="C90" s="3" t="s">
        <v>35</v>
      </c>
      <c r="D90" s="3" t="s">
        <v>2353</v>
      </c>
      <c r="E90" s="3" t="s">
        <v>2354</v>
      </c>
      <c r="F90" s="3" t="s">
        <v>172</v>
      </c>
      <c r="G90" s="3" t="s">
        <v>64</v>
      </c>
      <c r="H90" s="3" t="s">
        <v>19</v>
      </c>
      <c r="I90" s="3">
        <v>115673</v>
      </c>
      <c r="J90" s="3">
        <v>41</v>
      </c>
      <c r="K90" s="3">
        <v>52475</v>
      </c>
      <c r="L90" s="3">
        <v>97166</v>
      </c>
      <c r="M90" s="3">
        <v>22</v>
      </c>
      <c r="N90" s="14">
        <v>5045.9379300000001</v>
      </c>
      <c r="O90" s="7">
        <f t="shared" si="9"/>
        <v>3.5444745100412366E-2</v>
      </c>
      <c r="P90" s="14">
        <f t="shared" si="10"/>
        <v>123.07165682926829</v>
      </c>
      <c r="Q90" s="14">
        <f t="shared" si="11"/>
        <v>229.360815</v>
      </c>
      <c r="R90" s="4">
        <f t="shared" si="12"/>
        <v>53.658536585365859</v>
      </c>
      <c r="S90" s="14">
        <f t="shared" si="13"/>
        <v>51.931106868657764</v>
      </c>
      <c r="T90" s="4">
        <f t="shared" si="14"/>
        <v>45.364951198637534</v>
      </c>
      <c r="U90" s="3">
        <f>LEN(A90) - LEN(SUBSTITUTE(A90,"&gt;","")) +1</f>
        <v>5</v>
      </c>
      <c r="V90" s="8">
        <f t="shared" si="15"/>
        <v>4.6388125651937668E-4</v>
      </c>
      <c r="W90" s="14">
        <f t="shared" si="16"/>
        <v>1009.187586</v>
      </c>
      <c r="X90" s="4">
        <f t="shared" si="17"/>
        <v>8.2922322704924289E-3</v>
      </c>
    </row>
    <row r="91" spans="1:24" ht="14.25" customHeight="1" x14ac:dyDescent="0.2">
      <c r="A91" s="5" t="s">
        <v>1583</v>
      </c>
      <c r="B91" s="3" t="s">
        <v>14</v>
      </c>
      <c r="C91" s="3" t="s">
        <v>15</v>
      </c>
      <c r="D91" s="3" t="s">
        <v>2376</v>
      </c>
      <c r="E91" s="3" t="s">
        <v>2377</v>
      </c>
      <c r="F91" s="3" t="s">
        <v>175</v>
      </c>
      <c r="G91" s="3" t="s">
        <v>27</v>
      </c>
      <c r="H91" s="3" t="s">
        <v>19</v>
      </c>
      <c r="I91" s="3">
        <v>138904</v>
      </c>
      <c r="J91" s="3">
        <v>41</v>
      </c>
      <c r="K91" s="3">
        <v>98952</v>
      </c>
      <c r="L91" s="3">
        <v>120688</v>
      </c>
      <c r="M91" s="3">
        <v>25</v>
      </c>
      <c r="N91" s="14">
        <v>5038.6447239999998</v>
      </c>
      <c r="O91" s="7">
        <f t="shared" si="9"/>
        <v>2.9516788573403212E-2</v>
      </c>
      <c r="P91" s="14">
        <f t="shared" si="10"/>
        <v>122.89377375609756</v>
      </c>
      <c r="Q91" s="14">
        <f t="shared" si="11"/>
        <v>201.54578895999998</v>
      </c>
      <c r="R91" s="4">
        <f t="shared" si="12"/>
        <v>60.975609756097562</v>
      </c>
      <c r="S91" s="14">
        <f t="shared" si="13"/>
        <v>41.749343132705818</v>
      </c>
      <c r="T91" s="4">
        <f t="shared" si="14"/>
        <v>71.237689339399864</v>
      </c>
      <c r="U91" s="3">
        <f>LEN(A91) - LEN(SUBSTITUTE(A91,"&gt;","")) +1</f>
        <v>6</v>
      </c>
      <c r="V91" s="8">
        <f t="shared" si="15"/>
        <v>4.3897662958660344E-4</v>
      </c>
      <c r="W91" s="14">
        <f t="shared" si="16"/>
        <v>839.77412066666659</v>
      </c>
      <c r="X91" s="4">
        <f t="shared" si="17"/>
        <v>8.9300014184978786E-3</v>
      </c>
    </row>
    <row r="92" spans="1:24" ht="14.25" customHeight="1" x14ac:dyDescent="0.2">
      <c r="A92" s="5" t="s">
        <v>1584</v>
      </c>
      <c r="B92" s="3" t="s">
        <v>24</v>
      </c>
      <c r="C92" s="3" t="s">
        <v>29</v>
      </c>
      <c r="D92" s="3" t="s">
        <v>2359</v>
      </c>
      <c r="E92" s="3" t="s">
        <v>2360</v>
      </c>
      <c r="F92" s="3" t="s">
        <v>177</v>
      </c>
      <c r="G92" s="3" t="s">
        <v>27</v>
      </c>
      <c r="H92" s="3" t="s">
        <v>163</v>
      </c>
      <c r="I92" s="3">
        <v>6363</v>
      </c>
      <c r="J92" s="3">
        <v>41</v>
      </c>
      <c r="K92" s="3">
        <v>4274</v>
      </c>
      <c r="L92" s="3">
        <v>5919</v>
      </c>
      <c r="M92" s="3">
        <v>1</v>
      </c>
      <c r="N92" s="14">
        <v>2056.2054400000002</v>
      </c>
      <c r="O92" s="7">
        <f t="shared" si="9"/>
        <v>0.64435014930064438</v>
      </c>
      <c r="P92" s="14">
        <f t="shared" si="10"/>
        <v>50.151352195121959</v>
      </c>
      <c r="Q92" s="14">
        <f t="shared" si="11"/>
        <v>2056.2054400000002</v>
      </c>
      <c r="R92" s="4">
        <f t="shared" si="12"/>
        <v>2.4390243902439024</v>
      </c>
      <c r="S92" s="14">
        <f t="shared" si="13"/>
        <v>347.39068085825306</v>
      </c>
      <c r="T92" s="4">
        <f t="shared" si="14"/>
        <v>67.16957410026717</v>
      </c>
      <c r="U92" s="3">
        <f>LEN(A92) - LEN(SUBSTITUTE(A92,"&gt;","")) +1</f>
        <v>2</v>
      </c>
      <c r="V92" s="8">
        <f t="shared" si="15"/>
        <v>3.8331359268331013E-4</v>
      </c>
      <c r="W92" s="14">
        <f t="shared" si="16"/>
        <v>1028.1027200000001</v>
      </c>
      <c r="X92" s="4">
        <f t="shared" si="17"/>
        <v>7.6431357462101231E-4</v>
      </c>
    </row>
    <row r="93" spans="1:24" ht="14.25" customHeight="1" x14ac:dyDescent="0.2">
      <c r="A93" s="5" t="s">
        <v>1585</v>
      </c>
      <c r="B93" s="3" t="s">
        <v>24</v>
      </c>
      <c r="C93" s="3" t="s">
        <v>35</v>
      </c>
      <c r="D93" s="3" t="s">
        <v>2353</v>
      </c>
      <c r="E93" s="3" t="s">
        <v>2354</v>
      </c>
      <c r="F93" s="3" t="s">
        <v>179</v>
      </c>
      <c r="G93" s="3" t="s">
        <v>27</v>
      </c>
      <c r="H93" s="3" t="s">
        <v>19</v>
      </c>
      <c r="I93" s="3">
        <v>756687</v>
      </c>
      <c r="J93" s="3">
        <v>40</v>
      </c>
      <c r="K93" s="3">
        <v>442979</v>
      </c>
      <c r="L93" s="3">
        <v>611813</v>
      </c>
      <c r="M93" s="3">
        <v>4</v>
      </c>
      <c r="N93" s="14">
        <v>2452.9975039999999</v>
      </c>
      <c r="O93" s="7">
        <f t="shared" si="9"/>
        <v>5.2862015602223901E-3</v>
      </c>
      <c r="P93" s="14">
        <f t="shared" si="10"/>
        <v>61.324937599999998</v>
      </c>
      <c r="Q93" s="14">
        <f t="shared" si="11"/>
        <v>613.24937599999998</v>
      </c>
      <c r="R93" s="4">
        <f t="shared" si="12"/>
        <v>10</v>
      </c>
      <c r="S93" s="14">
        <f t="shared" si="13"/>
        <v>4.0093909478876721</v>
      </c>
      <c r="T93" s="4">
        <f t="shared" si="14"/>
        <v>58.541907023643859</v>
      </c>
      <c r="U93" s="3">
        <f>LEN(A93) - LEN(SUBSTITUTE(A93,"&gt;","")) +1</f>
        <v>2</v>
      </c>
      <c r="V93" s="8">
        <f t="shared" si="15"/>
        <v>1.3215503900555976E-5</v>
      </c>
      <c r="W93" s="14">
        <f t="shared" si="16"/>
        <v>1226.498752</v>
      </c>
      <c r="X93" s="4">
        <f t="shared" si="17"/>
        <v>8.6199868554328387E-5</v>
      </c>
    </row>
    <row r="94" spans="1:24" ht="14.25" customHeight="1" x14ac:dyDescent="0.2">
      <c r="A94" s="5" t="s">
        <v>1586</v>
      </c>
      <c r="B94" s="3" t="s">
        <v>24</v>
      </c>
      <c r="C94" s="3" t="s">
        <v>32</v>
      </c>
      <c r="D94" s="3" t="s">
        <v>2349</v>
      </c>
      <c r="E94" s="3" t="s">
        <v>2350</v>
      </c>
      <c r="F94" s="3" t="s">
        <v>79</v>
      </c>
      <c r="G94" s="3" t="s">
        <v>38</v>
      </c>
      <c r="H94" s="3" t="s">
        <v>19</v>
      </c>
      <c r="I94" s="3">
        <v>232635</v>
      </c>
      <c r="J94" s="3">
        <v>40</v>
      </c>
      <c r="K94" s="3">
        <v>34008</v>
      </c>
      <c r="L94" s="3">
        <v>195803</v>
      </c>
      <c r="M94" s="3">
        <v>39</v>
      </c>
      <c r="N94" s="14">
        <v>1773.991882</v>
      </c>
      <c r="O94" s="7">
        <f t="shared" si="9"/>
        <v>1.7194317278139575E-2</v>
      </c>
      <c r="P94" s="14">
        <f t="shared" si="10"/>
        <v>44.349797049999999</v>
      </c>
      <c r="Q94" s="14">
        <f t="shared" si="11"/>
        <v>45.486971333333337</v>
      </c>
      <c r="R94" s="4">
        <f t="shared" si="12"/>
        <v>97.5</v>
      </c>
      <c r="S94" s="14">
        <f t="shared" si="13"/>
        <v>9.0600853000209387</v>
      </c>
      <c r="T94" s="4">
        <f t="shared" si="14"/>
        <v>14.618608549874265</v>
      </c>
      <c r="U94" s="3">
        <f>LEN(A94) - LEN(SUBSTITUTE(A94,"&gt;","")) +1</f>
        <v>3</v>
      </c>
      <c r="V94" s="8">
        <f t="shared" si="15"/>
        <v>4.1911148365465214E-4</v>
      </c>
      <c r="W94" s="14">
        <f t="shared" si="16"/>
        <v>591.33062733333338</v>
      </c>
      <c r="X94" s="4">
        <f t="shared" si="17"/>
        <v>3.685551896461594E-2</v>
      </c>
    </row>
    <row r="95" spans="1:24" ht="14.25" customHeight="1" x14ac:dyDescent="0.2">
      <c r="A95" s="5" t="s">
        <v>1587</v>
      </c>
      <c r="B95" s="3" t="s">
        <v>24</v>
      </c>
      <c r="C95" s="3" t="s">
        <v>35</v>
      </c>
      <c r="D95" s="3" t="s">
        <v>2351</v>
      </c>
      <c r="E95" s="3" t="s">
        <v>2352</v>
      </c>
      <c r="F95" s="3" t="s">
        <v>136</v>
      </c>
      <c r="G95" s="3" t="s">
        <v>27</v>
      </c>
      <c r="H95" s="3" t="s">
        <v>19</v>
      </c>
      <c r="I95" s="3">
        <v>53464</v>
      </c>
      <c r="J95" s="3">
        <v>39</v>
      </c>
      <c r="K95" s="3">
        <v>22151</v>
      </c>
      <c r="L95" s="3">
        <v>49058</v>
      </c>
      <c r="M95" s="3">
        <v>4</v>
      </c>
      <c r="N95" s="14">
        <v>5741.0980449999997</v>
      </c>
      <c r="O95" s="7">
        <f t="shared" si="9"/>
        <v>7.2946281610055369E-2</v>
      </c>
      <c r="P95" s="14">
        <f t="shared" si="10"/>
        <v>147.20764217948718</v>
      </c>
      <c r="Q95" s="14">
        <f t="shared" si="11"/>
        <v>1435.2745112499999</v>
      </c>
      <c r="R95" s="4">
        <f t="shared" si="12"/>
        <v>10.256410256410255</v>
      </c>
      <c r="S95" s="14">
        <f t="shared" si="13"/>
        <v>117.02674477149495</v>
      </c>
      <c r="T95" s="4">
        <f t="shared" si="14"/>
        <v>41.431617537034263</v>
      </c>
      <c r="U95" s="3">
        <f>LEN(A95) - LEN(SUBSTITUTE(A95,"&gt;","")) +1</f>
        <v>5</v>
      </c>
      <c r="V95" s="8">
        <f t="shared" si="15"/>
        <v>1.9183768996727248E-4</v>
      </c>
      <c r="W95" s="14">
        <f t="shared" si="16"/>
        <v>1148.219609</v>
      </c>
      <c r="X95" s="4">
        <f t="shared" si="17"/>
        <v>5.2127100774664633E-4</v>
      </c>
    </row>
    <row r="96" spans="1:24" ht="14.25" customHeight="1" x14ac:dyDescent="0.2">
      <c r="A96" s="5" t="s">
        <v>1588</v>
      </c>
      <c r="B96" s="3" t="s">
        <v>24</v>
      </c>
      <c r="C96" s="3" t="s">
        <v>35</v>
      </c>
      <c r="D96" s="3" t="s">
        <v>2359</v>
      </c>
      <c r="E96" s="3" t="s">
        <v>2360</v>
      </c>
      <c r="F96" s="3" t="s">
        <v>48</v>
      </c>
      <c r="G96" s="3" t="s">
        <v>27</v>
      </c>
      <c r="H96" s="3" t="s">
        <v>19</v>
      </c>
      <c r="I96" s="3">
        <v>482834</v>
      </c>
      <c r="J96" s="3">
        <v>39</v>
      </c>
      <c r="K96" s="3">
        <v>292059</v>
      </c>
      <c r="L96" s="3">
        <v>428761</v>
      </c>
      <c r="M96" s="3">
        <v>7</v>
      </c>
      <c r="N96" s="14">
        <v>1594.463397</v>
      </c>
      <c r="O96" s="7">
        <f t="shared" si="9"/>
        <v>8.0773102142765417E-3</v>
      </c>
      <c r="P96" s="14">
        <f t="shared" si="10"/>
        <v>40.883676846153847</v>
      </c>
      <c r="Q96" s="14">
        <f t="shared" si="11"/>
        <v>227.78048528571429</v>
      </c>
      <c r="R96" s="4">
        <f t="shared" si="12"/>
        <v>17.948717948717949</v>
      </c>
      <c r="S96" s="14">
        <f t="shared" si="13"/>
        <v>3.7187696572216224</v>
      </c>
      <c r="T96" s="4">
        <f t="shared" si="14"/>
        <v>60.488490868497244</v>
      </c>
      <c r="U96" s="3">
        <f>LEN(A96) - LEN(SUBSTITUTE(A96,"&gt;","")) +1</f>
        <v>4</v>
      </c>
      <c r="V96" s="8">
        <f t="shared" si="15"/>
        <v>3.7173682774448258E-5</v>
      </c>
      <c r="W96" s="14">
        <f t="shared" si="16"/>
        <v>398.61584925</v>
      </c>
      <c r="X96" s="4">
        <f t="shared" si="17"/>
        <v>6.364784175365032E-4</v>
      </c>
    </row>
    <row r="97" spans="1:24" ht="14.25" customHeight="1" x14ac:dyDescent="0.2">
      <c r="A97" s="5" t="s">
        <v>183</v>
      </c>
      <c r="B97" s="3" t="s">
        <v>14</v>
      </c>
      <c r="C97" s="3" t="s">
        <v>29</v>
      </c>
      <c r="D97" s="3" t="s">
        <v>2368</v>
      </c>
      <c r="E97" s="3" t="s">
        <v>2352</v>
      </c>
      <c r="F97" s="3" t="s">
        <v>46</v>
      </c>
      <c r="G97" s="3" t="s">
        <v>64</v>
      </c>
      <c r="H97" s="3" t="s">
        <v>19</v>
      </c>
      <c r="I97" s="3">
        <v>113262</v>
      </c>
      <c r="J97" s="3">
        <v>38</v>
      </c>
      <c r="K97" s="3">
        <v>95762</v>
      </c>
      <c r="L97" s="3">
        <v>104612</v>
      </c>
      <c r="M97" s="3">
        <v>4</v>
      </c>
      <c r="N97" s="14">
        <v>7443.4832329999999</v>
      </c>
      <c r="O97" s="7">
        <f t="shared" si="9"/>
        <v>3.3550528862283907E-2</v>
      </c>
      <c r="P97" s="14">
        <f t="shared" si="10"/>
        <v>195.8811377105263</v>
      </c>
      <c r="Q97" s="14">
        <f t="shared" si="11"/>
        <v>1860.87080825</v>
      </c>
      <c r="R97" s="4">
        <f t="shared" si="12"/>
        <v>10.526315789473683</v>
      </c>
      <c r="S97" s="14">
        <f t="shared" si="13"/>
        <v>71.153244685122175</v>
      </c>
      <c r="T97" s="4">
        <f t="shared" si="14"/>
        <v>84.549098550263992</v>
      </c>
      <c r="U97" s="3">
        <f>LEN(A97) - LEN(SUBSTITUTE(A97,"&gt;","")) +1</f>
        <v>4</v>
      </c>
      <c r="V97" s="8">
        <f t="shared" si="15"/>
        <v>9.2937753081118849E-5</v>
      </c>
      <c r="W97" s="14">
        <f t="shared" si="16"/>
        <v>1860.87080825</v>
      </c>
      <c r="X97" s="4">
        <f t="shared" si="17"/>
        <v>1.8978397648162024E-4</v>
      </c>
    </row>
    <row r="98" spans="1:24" ht="14.25" customHeight="1" x14ac:dyDescent="0.2">
      <c r="A98" s="5" t="s">
        <v>1589</v>
      </c>
      <c r="B98" s="3" t="s">
        <v>24</v>
      </c>
      <c r="C98" s="3" t="s">
        <v>35</v>
      </c>
      <c r="D98" s="3" t="s">
        <v>2357</v>
      </c>
      <c r="E98" s="3" t="s">
        <v>2358</v>
      </c>
      <c r="F98" s="3" t="s">
        <v>57</v>
      </c>
      <c r="G98" s="3" t="s">
        <v>27</v>
      </c>
      <c r="H98" s="3" t="s">
        <v>114</v>
      </c>
      <c r="I98" s="3">
        <v>74164</v>
      </c>
      <c r="J98" s="3">
        <v>38</v>
      </c>
      <c r="K98" s="3">
        <v>25104</v>
      </c>
      <c r="L98" s="3">
        <v>61242</v>
      </c>
      <c r="M98" s="3">
        <v>19</v>
      </c>
      <c r="N98" s="14">
        <v>1902.3014430000001</v>
      </c>
      <c r="O98" s="7">
        <f t="shared" si="9"/>
        <v>5.123779731406073E-2</v>
      </c>
      <c r="P98" s="14">
        <f t="shared" si="10"/>
        <v>50.060564289473689</v>
      </c>
      <c r="Q98" s="14">
        <f t="shared" si="11"/>
        <v>100.12112857894738</v>
      </c>
      <c r="R98" s="4">
        <f t="shared" si="12"/>
        <v>50</v>
      </c>
      <c r="S98" s="14">
        <f t="shared" si="13"/>
        <v>31.062039825609876</v>
      </c>
      <c r="T98" s="4">
        <f t="shared" si="14"/>
        <v>33.849306941373172</v>
      </c>
      <c r="U98" s="3">
        <f>LEN(A98) - LEN(SUBSTITUTE(A98,"&gt;","")) +1</f>
        <v>4</v>
      </c>
      <c r="V98" s="8">
        <f t="shared" si="15"/>
        <v>6.7418154360606223E-4</v>
      </c>
      <c r="W98" s="14">
        <f t="shared" si="16"/>
        <v>475.57536075000002</v>
      </c>
      <c r="X98" s="4">
        <f t="shared" si="17"/>
        <v>2.5587904392057853E-2</v>
      </c>
    </row>
    <row r="99" spans="1:24" ht="14.25" customHeight="1" x14ac:dyDescent="0.2">
      <c r="A99" s="5" t="s">
        <v>1590</v>
      </c>
      <c r="B99" s="3" t="s">
        <v>24</v>
      </c>
      <c r="C99" s="3" t="s">
        <v>29</v>
      </c>
      <c r="D99" s="3" t="s">
        <v>2357</v>
      </c>
      <c r="E99" s="3" t="s">
        <v>2358</v>
      </c>
      <c r="F99" s="3" t="s">
        <v>57</v>
      </c>
      <c r="G99" s="3" t="s">
        <v>41</v>
      </c>
      <c r="H99" s="3" t="s">
        <v>19</v>
      </c>
      <c r="I99" s="3">
        <v>556152</v>
      </c>
      <c r="J99" s="3">
        <v>38</v>
      </c>
      <c r="K99" s="3">
        <v>221833</v>
      </c>
      <c r="L99" s="3">
        <v>480882</v>
      </c>
      <c r="M99" s="3">
        <v>7</v>
      </c>
      <c r="N99" s="14">
        <v>1818.100044</v>
      </c>
      <c r="O99" s="7">
        <f t="shared" si="9"/>
        <v>6.8326644514449296E-3</v>
      </c>
      <c r="P99" s="14">
        <f t="shared" si="10"/>
        <v>47.844738</v>
      </c>
      <c r="Q99" s="14">
        <f t="shared" si="11"/>
        <v>259.72857771428573</v>
      </c>
      <c r="R99" s="4">
        <f t="shared" si="12"/>
        <v>18.421052631578945</v>
      </c>
      <c r="S99" s="14">
        <f t="shared" si="13"/>
        <v>3.7807612761550651</v>
      </c>
      <c r="T99" s="4">
        <f t="shared" si="14"/>
        <v>39.887117190983759</v>
      </c>
      <c r="U99" s="3">
        <f>LEN(A99) - LEN(SUBSTITUTE(A99,"&gt;","")) +1</f>
        <v>4</v>
      </c>
      <c r="V99" s="8">
        <f t="shared" si="15"/>
        <v>3.3122334598417243E-5</v>
      </c>
      <c r="W99" s="14">
        <f t="shared" si="16"/>
        <v>454.52501100000001</v>
      </c>
      <c r="X99" s="4">
        <f t="shared" si="17"/>
        <v>4.8460155051726001E-4</v>
      </c>
    </row>
    <row r="100" spans="1:24" ht="14.25" customHeight="1" x14ac:dyDescent="0.2">
      <c r="A100" s="5" t="s">
        <v>1591</v>
      </c>
      <c r="B100" s="3" t="s">
        <v>24</v>
      </c>
      <c r="C100" s="3" t="s">
        <v>29</v>
      </c>
      <c r="D100" s="3" t="s">
        <v>2349</v>
      </c>
      <c r="E100" s="3" t="s">
        <v>2350</v>
      </c>
      <c r="F100" s="3" t="s">
        <v>142</v>
      </c>
      <c r="G100" s="3" t="s">
        <v>22</v>
      </c>
      <c r="H100" s="3" t="s">
        <v>19</v>
      </c>
      <c r="I100" s="3">
        <v>83537</v>
      </c>
      <c r="J100" s="3">
        <v>38</v>
      </c>
      <c r="K100" s="3">
        <v>67987</v>
      </c>
      <c r="L100" s="3">
        <v>79409</v>
      </c>
      <c r="M100" s="3">
        <v>3</v>
      </c>
      <c r="N100" s="14">
        <v>1761.0793229999999</v>
      </c>
      <c r="O100" s="7">
        <f t="shared" si="9"/>
        <v>4.5488825310940062E-2</v>
      </c>
      <c r="P100" s="14">
        <f t="shared" si="10"/>
        <v>46.344192710526315</v>
      </c>
      <c r="Q100" s="14">
        <f t="shared" si="11"/>
        <v>587.02644099999998</v>
      </c>
      <c r="R100" s="4">
        <f t="shared" si="12"/>
        <v>7.8947368421052628</v>
      </c>
      <c r="S100" s="14">
        <f t="shared" si="13"/>
        <v>22.177326537294263</v>
      </c>
      <c r="T100" s="4">
        <f t="shared" si="14"/>
        <v>81.38549385302322</v>
      </c>
      <c r="U100" s="3">
        <f>LEN(A100) - LEN(SUBSTITUTE(A100,"&gt;","")) +1</f>
        <v>3</v>
      </c>
      <c r="V100" s="8">
        <f t="shared" si="15"/>
        <v>9.4505869759570766E-5</v>
      </c>
      <c r="W100" s="14">
        <f t="shared" si="16"/>
        <v>587.02644099999998</v>
      </c>
      <c r="X100" s="4">
        <f t="shared" si="17"/>
        <v>6.1176512675409269E-4</v>
      </c>
    </row>
    <row r="101" spans="1:24" ht="14.25" customHeight="1" x14ac:dyDescent="0.2">
      <c r="A101" s="5" t="s">
        <v>1592</v>
      </c>
      <c r="B101" s="3" t="s">
        <v>68</v>
      </c>
      <c r="C101" s="3" t="s">
        <v>29</v>
      </c>
      <c r="D101" s="3" t="s">
        <v>2353</v>
      </c>
      <c r="E101" s="3" t="s">
        <v>2354</v>
      </c>
      <c r="F101" s="3" t="s">
        <v>149</v>
      </c>
      <c r="G101" s="3" t="s">
        <v>27</v>
      </c>
      <c r="H101" s="3" t="s">
        <v>19</v>
      </c>
      <c r="I101" s="3">
        <v>100058</v>
      </c>
      <c r="J101" s="3">
        <v>37</v>
      </c>
      <c r="K101" s="3">
        <v>73422</v>
      </c>
      <c r="L101" s="3">
        <v>91976</v>
      </c>
      <c r="M101" s="3">
        <v>2</v>
      </c>
      <c r="N101" s="14">
        <v>5831.2257929999996</v>
      </c>
      <c r="O101" s="7">
        <f t="shared" si="9"/>
        <v>3.697855243958504E-2</v>
      </c>
      <c r="P101" s="14">
        <f t="shared" si="10"/>
        <v>157.60069710810811</v>
      </c>
      <c r="Q101" s="14">
        <f t="shared" si="11"/>
        <v>2915.6128964999998</v>
      </c>
      <c r="R101" s="4">
        <f t="shared" si="12"/>
        <v>5.4054054054054053</v>
      </c>
      <c r="S101" s="14">
        <f t="shared" si="13"/>
        <v>63.399428035574495</v>
      </c>
      <c r="T101" s="4">
        <f t="shared" si="14"/>
        <v>73.379439924843595</v>
      </c>
      <c r="U101" s="3">
        <f>LEN(A101) - LEN(SUBSTITUTE(A101,"&gt;","")) +1</f>
        <v>5</v>
      </c>
      <c r="V101" s="8">
        <f t="shared" si="15"/>
        <v>5.4022720875946005E-5</v>
      </c>
      <c r="W101" s="14">
        <f t="shared" si="16"/>
        <v>1166.2451586</v>
      </c>
      <c r="X101" s="4">
        <f t="shared" si="17"/>
        <v>6.8556449136628455E-5</v>
      </c>
    </row>
    <row r="102" spans="1:24" ht="14.25" customHeight="1" x14ac:dyDescent="0.2">
      <c r="A102" s="5" t="s">
        <v>1593</v>
      </c>
      <c r="B102" s="3" t="s">
        <v>68</v>
      </c>
      <c r="C102" s="3" t="s">
        <v>32</v>
      </c>
      <c r="D102" s="3" t="s">
        <v>2351</v>
      </c>
      <c r="E102" s="3" t="s">
        <v>2352</v>
      </c>
      <c r="F102" s="3" t="s">
        <v>159</v>
      </c>
      <c r="G102" s="3" t="s">
        <v>18</v>
      </c>
      <c r="H102" s="3" t="s">
        <v>19</v>
      </c>
      <c r="I102" s="3">
        <v>88022</v>
      </c>
      <c r="J102" s="3">
        <v>37</v>
      </c>
      <c r="K102" s="3">
        <v>45972</v>
      </c>
      <c r="L102" s="3">
        <v>83922</v>
      </c>
      <c r="M102" s="3">
        <v>11</v>
      </c>
      <c r="N102" s="14">
        <v>5669.1447600000001</v>
      </c>
      <c r="O102" s="7">
        <f t="shared" si="9"/>
        <v>4.2034945809002293E-2</v>
      </c>
      <c r="P102" s="14">
        <f t="shared" si="10"/>
        <v>153.22012864864865</v>
      </c>
      <c r="Q102" s="14">
        <f t="shared" si="11"/>
        <v>515.37679636363634</v>
      </c>
      <c r="R102" s="4">
        <f t="shared" si="12"/>
        <v>29.72972972972973</v>
      </c>
      <c r="S102" s="14">
        <f t="shared" si="13"/>
        <v>67.552545935511546</v>
      </c>
      <c r="T102" s="4">
        <f t="shared" si="14"/>
        <v>52.227852127877114</v>
      </c>
      <c r="U102" s="3">
        <f>LEN(A102) - LEN(SUBSTITUTE(A102,"&gt;","")) +1</f>
        <v>5</v>
      </c>
      <c r="V102" s="8">
        <f t="shared" si="15"/>
        <v>3.3775339948796586E-4</v>
      </c>
      <c r="W102" s="14">
        <f t="shared" si="16"/>
        <v>1133.8289520000001</v>
      </c>
      <c r="X102" s="4">
        <f t="shared" si="17"/>
        <v>2.4248037298592829E-3</v>
      </c>
    </row>
    <row r="103" spans="1:24" ht="14.25" customHeight="1" x14ac:dyDescent="0.2">
      <c r="A103" s="5" t="s">
        <v>1594</v>
      </c>
      <c r="B103" s="3" t="s">
        <v>14</v>
      </c>
      <c r="C103" s="3" t="s">
        <v>15</v>
      </c>
      <c r="D103" s="3" t="s">
        <v>2363</v>
      </c>
      <c r="E103" s="3" t="s">
        <v>2358</v>
      </c>
      <c r="F103" s="3" t="s">
        <v>149</v>
      </c>
      <c r="G103" s="3" t="s">
        <v>22</v>
      </c>
      <c r="H103" s="3" t="s">
        <v>19</v>
      </c>
      <c r="I103" s="3">
        <v>186702</v>
      </c>
      <c r="J103" s="3">
        <v>37</v>
      </c>
      <c r="K103" s="3">
        <v>132038</v>
      </c>
      <c r="L103" s="3">
        <v>167406</v>
      </c>
      <c r="M103" s="3">
        <v>4</v>
      </c>
      <c r="N103" s="14">
        <v>1568.7360200000001</v>
      </c>
      <c r="O103" s="7">
        <f t="shared" si="9"/>
        <v>1.9817677368212445E-2</v>
      </c>
      <c r="P103" s="14">
        <f t="shared" si="10"/>
        <v>42.398270810810814</v>
      </c>
      <c r="Q103" s="14">
        <f t="shared" si="11"/>
        <v>392.18400500000001</v>
      </c>
      <c r="R103" s="4">
        <f t="shared" si="12"/>
        <v>10.810810810810811</v>
      </c>
      <c r="S103" s="14">
        <f t="shared" si="13"/>
        <v>9.3708470425193831</v>
      </c>
      <c r="T103" s="4">
        <f t="shared" si="14"/>
        <v>70.721256333622563</v>
      </c>
      <c r="U103" s="3">
        <f>LEN(A103) - LEN(SUBSTITUTE(A103,"&gt;","")) +1</f>
        <v>4</v>
      </c>
      <c r="V103" s="8">
        <f t="shared" si="15"/>
        <v>5.7904097496603198E-5</v>
      </c>
      <c r="W103" s="14">
        <f t="shared" si="16"/>
        <v>392.18400500000001</v>
      </c>
      <c r="X103" s="4">
        <f t="shared" si="17"/>
        <v>5.4628734983067919E-4</v>
      </c>
    </row>
    <row r="104" spans="1:24" ht="14.25" customHeight="1" x14ac:dyDescent="0.2">
      <c r="A104" s="5" t="s">
        <v>190</v>
      </c>
      <c r="B104" s="3" t="s">
        <v>14</v>
      </c>
      <c r="C104" s="3" t="s">
        <v>15</v>
      </c>
      <c r="D104" s="3" t="s">
        <v>2361</v>
      </c>
      <c r="E104" s="3" t="s">
        <v>2360</v>
      </c>
      <c r="F104" s="3" t="s">
        <v>191</v>
      </c>
      <c r="G104" s="3" t="s">
        <v>33</v>
      </c>
      <c r="H104" s="3" t="s">
        <v>19</v>
      </c>
      <c r="I104" s="3">
        <v>44505</v>
      </c>
      <c r="J104" s="3">
        <v>36</v>
      </c>
      <c r="K104" s="3">
        <v>18993</v>
      </c>
      <c r="L104" s="3">
        <v>39522</v>
      </c>
      <c r="M104" s="3">
        <v>1</v>
      </c>
      <c r="N104" s="14">
        <v>6766.4753680000003</v>
      </c>
      <c r="O104" s="7">
        <f t="shared" si="9"/>
        <v>8.0889787664307378E-2</v>
      </c>
      <c r="P104" s="14">
        <f t="shared" si="10"/>
        <v>187.95764911111112</v>
      </c>
      <c r="Q104" s="14">
        <f t="shared" si="11"/>
        <v>6766.4753680000003</v>
      </c>
      <c r="R104" s="4">
        <f t="shared" si="12"/>
        <v>2.7777777777777777</v>
      </c>
      <c r="S104" s="14">
        <f t="shared" si="13"/>
        <v>171.20781762056578</v>
      </c>
      <c r="T104" s="4">
        <f t="shared" si="14"/>
        <v>42.676103808560832</v>
      </c>
      <c r="U104" s="3">
        <f>LEN(A104) - LEN(SUBSTITUTE(A104,"&gt;","")) +1</f>
        <v>4</v>
      </c>
      <c r="V104" s="8">
        <f t="shared" si="15"/>
        <v>6.2414959617521123E-5</v>
      </c>
      <c r="W104" s="14">
        <f t="shared" si="16"/>
        <v>1691.6188420000001</v>
      </c>
      <c r="X104" s="4">
        <f t="shared" si="17"/>
        <v>3.3206927152310005E-5</v>
      </c>
    </row>
    <row r="105" spans="1:24" ht="14.25" customHeight="1" x14ac:dyDescent="0.2">
      <c r="A105" s="5" t="s">
        <v>1595</v>
      </c>
      <c r="B105" s="3" t="s">
        <v>24</v>
      </c>
      <c r="C105" s="3" t="s">
        <v>29</v>
      </c>
      <c r="D105" s="3" t="s">
        <v>2353</v>
      </c>
      <c r="E105" s="3" t="s">
        <v>2354</v>
      </c>
      <c r="F105" s="3" t="s">
        <v>26</v>
      </c>
      <c r="G105" s="3" t="s">
        <v>64</v>
      </c>
      <c r="H105" s="3" t="s">
        <v>163</v>
      </c>
      <c r="I105" s="3">
        <v>48707</v>
      </c>
      <c r="J105" s="3">
        <v>36</v>
      </c>
      <c r="K105" s="3">
        <v>25182</v>
      </c>
      <c r="L105" s="3">
        <v>44696</v>
      </c>
      <c r="M105" s="3">
        <v>13</v>
      </c>
      <c r="N105" s="14">
        <v>5600.3556429999999</v>
      </c>
      <c r="O105" s="7">
        <f t="shared" si="9"/>
        <v>7.3911347444925779E-2</v>
      </c>
      <c r="P105" s="14">
        <f t="shared" si="10"/>
        <v>155.56543452777777</v>
      </c>
      <c r="Q105" s="14">
        <f t="shared" si="11"/>
        <v>430.79658792307691</v>
      </c>
      <c r="R105" s="4">
        <f t="shared" si="12"/>
        <v>36.111111111111107</v>
      </c>
      <c r="S105" s="14">
        <f t="shared" si="13"/>
        <v>125.29881069894397</v>
      </c>
      <c r="T105" s="4">
        <f t="shared" si="14"/>
        <v>51.700987537725581</v>
      </c>
      <c r="U105" s="3">
        <f>LEN(A105) - LEN(SUBSTITUTE(A105,"&gt;","")) +1</f>
        <v>5</v>
      </c>
      <c r="V105" s="8">
        <f t="shared" si="15"/>
        <v>7.413946888765703E-4</v>
      </c>
      <c r="W105" s="14">
        <f t="shared" si="16"/>
        <v>1120.0711286000001</v>
      </c>
      <c r="X105" s="4">
        <f t="shared" si="17"/>
        <v>6.195547863606184E-3</v>
      </c>
    </row>
    <row r="106" spans="1:24" ht="14.25" customHeight="1" x14ac:dyDescent="0.2">
      <c r="A106" s="5" t="s">
        <v>1596</v>
      </c>
      <c r="B106" s="3" t="s">
        <v>24</v>
      </c>
      <c r="C106" s="3" t="s">
        <v>32</v>
      </c>
      <c r="D106" s="3" t="s">
        <v>2363</v>
      </c>
      <c r="E106" s="3" t="s">
        <v>2358</v>
      </c>
      <c r="F106" s="3" t="s">
        <v>46</v>
      </c>
      <c r="G106" s="3" t="s">
        <v>22</v>
      </c>
      <c r="H106" s="3" t="s">
        <v>163</v>
      </c>
      <c r="I106" s="3">
        <v>87245</v>
      </c>
      <c r="J106" s="3">
        <v>35</v>
      </c>
      <c r="K106" s="3">
        <v>71903</v>
      </c>
      <c r="L106" s="3">
        <v>80390</v>
      </c>
      <c r="M106" s="3">
        <v>2</v>
      </c>
      <c r="N106" s="14">
        <v>1500.838771</v>
      </c>
      <c r="O106" s="7">
        <f t="shared" si="9"/>
        <v>4.0116912143962402E-2</v>
      </c>
      <c r="P106" s="14">
        <f t="shared" si="10"/>
        <v>42.881107742857139</v>
      </c>
      <c r="Q106" s="14">
        <f t="shared" si="11"/>
        <v>750.41938549999998</v>
      </c>
      <c r="R106" s="4">
        <f t="shared" si="12"/>
        <v>5.7142857142857144</v>
      </c>
      <c r="S106" s="14">
        <f t="shared" si="13"/>
        <v>18.669470966538125</v>
      </c>
      <c r="T106" s="4">
        <f t="shared" si="14"/>
        <v>82.415038111066536</v>
      </c>
      <c r="U106" s="3">
        <f>LEN(A106) - LEN(SUBSTITUTE(A106,"&gt;","")) +1</f>
        <v>5</v>
      </c>
      <c r="V106" s="8">
        <f t="shared" si="15"/>
        <v>6.5496999418714126E-5</v>
      </c>
      <c r="W106" s="14">
        <f t="shared" si="16"/>
        <v>300.16775419999999</v>
      </c>
      <c r="X106" s="4">
        <f t="shared" si="17"/>
        <v>3.054818444125861E-4</v>
      </c>
    </row>
    <row r="107" spans="1:24" ht="14.25" customHeight="1" x14ac:dyDescent="0.2">
      <c r="A107" s="5" t="s">
        <v>1597</v>
      </c>
      <c r="B107" s="3" t="s">
        <v>14</v>
      </c>
      <c r="C107" s="3" t="s">
        <v>32</v>
      </c>
      <c r="D107" s="3" t="s">
        <v>2357</v>
      </c>
      <c r="E107" s="3" t="s">
        <v>2358</v>
      </c>
      <c r="F107" s="3" t="s">
        <v>72</v>
      </c>
      <c r="G107" s="3" t="s">
        <v>27</v>
      </c>
      <c r="H107" s="3" t="s">
        <v>19</v>
      </c>
      <c r="I107" s="3">
        <v>405957</v>
      </c>
      <c r="J107" s="3">
        <v>34</v>
      </c>
      <c r="K107" s="3">
        <v>204189</v>
      </c>
      <c r="L107" s="3">
        <v>385654</v>
      </c>
      <c r="M107" s="3">
        <v>16</v>
      </c>
      <c r="N107" s="14">
        <v>5864.1264929999998</v>
      </c>
      <c r="O107" s="7">
        <f t="shared" si="9"/>
        <v>8.3752712725732037E-3</v>
      </c>
      <c r="P107" s="14">
        <f t="shared" si="10"/>
        <v>172.47430861764704</v>
      </c>
      <c r="Q107" s="14">
        <f t="shared" si="11"/>
        <v>366.50790581249998</v>
      </c>
      <c r="R107" s="4">
        <f t="shared" si="12"/>
        <v>47.058823529411761</v>
      </c>
      <c r="S107" s="14">
        <f t="shared" si="13"/>
        <v>15.205667497290317</v>
      </c>
      <c r="T107" s="4">
        <f t="shared" si="14"/>
        <v>50.298184290454408</v>
      </c>
      <c r="U107" s="3">
        <f>LEN(A107) - LEN(SUBSTITUTE(A107,"&gt;","")) +1</f>
        <v>5</v>
      </c>
      <c r="V107" s="8">
        <f t="shared" si="15"/>
        <v>1.1592070965499243E-4</v>
      </c>
      <c r="W107" s="14">
        <f t="shared" si="16"/>
        <v>1172.8252986</v>
      </c>
      <c r="X107" s="4">
        <f t="shared" si="17"/>
        <v>1.0753667426443062E-3</v>
      </c>
    </row>
    <row r="108" spans="1:24" ht="14.25" customHeight="1" x14ac:dyDescent="0.2">
      <c r="A108" s="5" t="s">
        <v>1598</v>
      </c>
      <c r="B108" s="3" t="s">
        <v>14</v>
      </c>
      <c r="C108" s="3" t="s">
        <v>15</v>
      </c>
      <c r="D108" s="3" t="s">
        <v>2353</v>
      </c>
      <c r="E108" s="3" t="s">
        <v>2354</v>
      </c>
      <c r="F108" s="3" t="s">
        <v>196</v>
      </c>
      <c r="G108" s="3" t="s">
        <v>197</v>
      </c>
      <c r="H108" s="3" t="s">
        <v>19</v>
      </c>
      <c r="I108" s="3">
        <v>56927</v>
      </c>
      <c r="J108" s="3">
        <v>34</v>
      </c>
      <c r="K108" s="3">
        <v>20980</v>
      </c>
      <c r="L108" s="3">
        <v>55050</v>
      </c>
      <c r="M108" s="3">
        <v>2</v>
      </c>
      <c r="N108" s="14">
        <v>2463.8219170000002</v>
      </c>
      <c r="O108" s="7">
        <f t="shared" si="9"/>
        <v>5.9725613505015193E-2</v>
      </c>
      <c r="P108" s="14">
        <f t="shared" si="10"/>
        <v>72.4653505</v>
      </c>
      <c r="Q108" s="14">
        <f t="shared" si="11"/>
        <v>1231.9109585000001</v>
      </c>
      <c r="R108" s="4">
        <f t="shared" si="12"/>
        <v>5.8823529411764701</v>
      </c>
      <c r="S108" s="14">
        <f t="shared" si="13"/>
        <v>44.756074786557683</v>
      </c>
      <c r="T108" s="4">
        <f t="shared" si="14"/>
        <v>36.854216803977025</v>
      </c>
      <c r="U108" s="3">
        <f>LEN(A108) - LEN(SUBSTITUTE(A108,"&gt;","")) +1</f>
        <v>6</v>
      </c>
      <c r="V108" s="8">
        <f t="shared" si="15"/>
        <v>1.0333151125435153E-4</v>
      </c>
      <c r="W108" s="14">
        <f t="shared" si="16"/>
        <v>410.6369861666667</v>
      </c>
      <c r="X108" s="4">
        <f t="shared" si="17"/>
        <v>2.8518874342393897E-4</v>
      </c>
    </row>
    <row r="109" spans="1:24" ht="14.25" customHeight="1" x14ac:dyDescent="0.2">
      <c r="A109" s="5" t="s">
        <v>1599</v>
      </c>
      <c r="B109" s="3" t="s">
        <v>14</v>
      </c>
      <c r="C109" s="3" t="s">
        <v>15</v>
      </c>
      <c r="D109" s="3" t="s">
        <v>2357</v>
      </c>
      <c r="E109" s="3" t="s">
        <v>2358</v>
      </c>
      <c r="F109" s="3" t="s">
        <v>199</v>
      </c>
      <c r="G109" s="3" t="s">
        <v>27</v>
      </c>
      <c r="H109" s="3" t="s">
        <v>19</v>
      </c>
      <c r="I109" s="3">
        <v>59782</v>
      </c>
      <c r="J109" s="3">
        <v>34</v>
      </c>
      <c r="K109" s="3">
        <v>28235</v>
      </c>
      <c r="L109" s="3">
        <v>57543</v>
      </c>
      <c r="M109" s="3">
        <v>13</v>
      </c>
      <c r="N109" s="14">
        <v>1455.7035539999999</v>
      </c>
      <c r="O109" s="7">
        <f t="shared" si="9"/>
        <v>5.6873306346391886E-2</v>
      </c>
      <c r="P109" s="14">
        <f t="shared" si="10"/>
        <v>42.814810411764704</v>
      </c>
      <c r="Q109" s="14">
        <f t="shared" si="11"/>
        <v>111.97719646153845</v>
      </c>
      <c r="R109" s="4">
        <f t="shared" si="12"/>
        <v>38.235294117647058</v>
      </c>
      <c r="S109" s="14">
        <f t="shared" si="13"/>
        <v>25.297665293780302</v>
      </c>
      <c r="T109" s="4">
        <f t="shared" si="14"/>
        <v>47.229935432069851</v>
      </c>
      <c r="U109" s="3">
        <f>LEN(A109) - LEN(SUBSTITUTE(A109,"&gt;","")) +1</f>
        <v>3</v>
      </c>
      <c r="V109" s="8">
        <f t="shared" si="15"/>
        <v>6.3957870458745199E-4</v>
      </c>
      <c r="W109" s="14">
        <f t="shared" si="16"/>
        <v>485.23451799999998</v>
      </c>
      <c r="X109" s="4">
        <f t="shared" si="17"/>
        <v>1.9419736020487438E-2</v>
      </c>
    </row>
    <row r="110" spans="1:24" ht="14.25" customHeight="1" x14ac:dyDescent="0.2">
      <c r="A110" s="5" t="s">
        <v>1600</v>
      </c>
      <c r="B110" s="3" t="s">
        <v>14</v>
      </c>
      <c r="C110" s="3" t="s">
        <v>32</v>
      </c>
      <c r="D110" s="3" t="s">
        <v>2357</v>
      </c>
      <c r="E110" s="3" t="s">
        <v>2358</v>
      </c>
      <c r="F110" s="3" t="s">
        <v>201</v>
      </c>
      <c r="G110" s="3" t="s">
        <v>41</v>
      </c>
      <c r="H110" s="3" t="s">
        <v>19</v>
      </c>
      <c r="I110" s="3">
        <v>14489</v>
      </c>
      <c r="J110" s="3">
        <v>33</v>
      </c>
      <c r="K110" s="3">
        <v>12453</v>
      </c>
      <c r="L110" s="3">
        <v>13873</v>
      </c>
      <c r="M110" s="3">
        <v>1</v>
      </c>
      <c r="N110" s="14">
        <v>6195.8407340000003</v>
      </c>
      <c r="O110" s="7">
        <f t="shared" si="9"/>
        <v>0.22775898957830076</v>
      </c>
      <c r="P110" s="14">
        <f t="shared" si="10"/>
        <v>187.75274951515152</v>
      </c>
      <c r="Q110" s="14">
        <f t="shared" si="11"/>
        <v>6195.8407340000003</v>
      </c>
      <c r="R110" s="4">
        <f t="shared" si="12"/>
        <v>3.0303030303030303</v>
      </c>
      <c r="S110" s="14">
        <f t="shared" si="13"/>
        <v>446.61145635406905</v>
      </c>
      <c r="T110" s="4">
        <f t="shared" si="14"/>
        <v>85.94796052177513</v>
      </c>
      <c r="U110" s="3">
        <f>LEN(A110) - LEN(SUBSTITUTE(A110,"&gt;","")) +1</f>
        <v>6</v>
      </c>
      <c r="V110" s="8">
        <f t="shared" si="15"/>
        <v>2.0914507766602459E-4</v>
      </c>
      <c r="W110" s="14">
        <f t="shared" si="16"/>
        <v>1032.6401223333335</v>
      </c>
      <c r="X110" s="4">
        <f t="shared" si="17"/>
        <v>1.1139388275597354E-4</v>
      </c>
    </row>
    <row r="111" spans="1:24" ht="14.25" customHeight="1" x14ac:dyDescent="0.2">
      <c r="A111" s="5" t="s">
        <v>202</v>
      </c>
      <c r="B111" s="3" t="s">
        <v>14</v>
      </c>
      <c r="C111" s="3" t="s">
        <v>35</v>
      </c>
      <c r="D111" s="3" t="s">
        <v>2353</v>
      </c>
      <c r="E111" s="3" t="s">
        <v>2354</v>
      </c>
      <c r="F111" s="3" t="s">
        <v>57</v>
      </c>
      <c r="G111" s="3" t="s">
        <v>41</v>
      </c>
      <c r="H111" s="3" t="s">
        <v>19</v>
      </c>
      <c r="I111" s="3">
        <v>888037</v>
      </c>
      <c r="J111" s="3">
        <v>32</v>
      </c>
      <c r="K111" s="3">
        <v>370429</v>
      </c>
      <c r="L111" s="3">
        <v>820340</v>
      </c>
      <c r="M111" s="3">
        <v>42</v>
      </c>
      <c r="N111" s="14">
        <v>8134.3505240000004</v>
      </c>
      <c r="O111" s="7">
        <f t="shared" si="9"/>
        <v>3.6034534597094493E-3</v>
      </c>
      <c r="P111" s="14">
        <f t="shared" si="10"/>
        <v>254.19845387500001</v>
      </c>
      <c r="Q111" s="14">
        <f t="shared" si="11"/>
        <v>193.67501247619049</v>
      </c>
      <c r="R111" s="4">
        <f t="shared" si="12"/>
        <v>131.25</v>
      </c>
      <c r="S111" s="14">
        <f t="shared" si="13"/>
        <v>9.9158282224443521</v>
      </c>
      <c r="T111" s="4">
        <f t="shared" si="14"/>
        <v>41.713239425834736</v>
      </c>
      <c r="U111" s="3">
        <f>LEN(A111) - LEN(SUBSTITUTE(A111,"&gt;","")) +1</f>
        <v>4</v>
      </c>
      <c r="V111" s="8">
        <f t="shared" si="15"/>
        <v>1.4779789580839537E-4</v>
      </c>
      <c r="W111" s="14">
        <f t="shared" si="16"/>
        <v>2033.5876310000001</v>
      </c>
      <c r="X111" s="4">
        <f t="shared" si="17"/>
        <v>2.4419942487160437E-3</v>
      </c>
    </row>
    <row r="112" spans="1:24" ht="14.25" customHeight="1" x14ac:dyDescent="0.2">
      <c r="A112" s="5" t="s">
        <v>1601</v>
      </c>
      <c r="B112" s="3" t="s">
        <v>24</v>
      </c>
      <c r="C112" s="3" t="s">
        <v>29</v>
      </c>
      <c r="D112" s="3" t="s">
        <v>2363</v>
      </c>
      <c r="E112" s="3" t="s">
        <v>2358</v>
      </c>
      <c r="F112" s="3" t="s">
        <v>72</v>
      </c>
      <c r="G112" s="3" t="s">
        <v>27</v>
      </c>
      <c r="H112" s="3" t="s">
        <v>114</v>
      </c>
      <c r="I112" s="3">
        <v>39163</v>
      </c>
      <c r="J112" s="3">
        <v>32</v>
      </c>
      <c r="K112" s="3">
        <v>16254</v>
      </c>
      <c r="L112" s="3">
        <v>36526</v>
      </c>
      <c r="M112" s="3">
        <v>15</v>
      </c>
      <c r="N112" s="14">
        <v>5692.765813</v>
      </c>
      <c r="O112" s="7">
        <f t="shared" si="9"/>
        <v>8.1709777085514385E-2</v>
      </c>
      <c r="P112" s="14">
        <f t="shared" si="10"/>
        <v>177.89893165625</v>
      </c>
      <c r="Q112" s="14">
        <f t="shared" si="11"/>
        <v>379.51772086666665</v>
      </c>
      <c r="R112" s="4">
        <f t="shared" si="12"/>
        <v>46.875</v>
      </c>
      <c r="S112" s="14">
        <f t="shared" si="13"/>
        <v>155.8551665389038</v>
      </c>
      <c r="T112" s="4">
        <f t="shared" si="14"/>
        <v>41.503459898373464</v>
      </c>
      <c r="U112" s="3">
        <f>LEN(A112) - LEN(SUBSTITUTE(A112,"&gt;","")) +1</f>
        <v>5</v>
      </c>
      <c r="V112" s="8">
        <f t="shared" si="15"/>
        <v>1.1969205627760896E-3</v>
      </c>
      <c r="W112" s="14">
        <f t="shared" si="16"/>
        <v>1138.5531626</v>
      </c>
      <c r="X112" s="4">
        <f t="shared" si="17"/>
        <v>1.009213955052472E-2</v>
      </c>
    </row>
    <row r="113" spans="1:24" ht="14.25" customHeight="1" x14ac:dyDescent="0.2">
      <c r="A113" s="5" t="s">
        <v>1602</v>
      </c>
      <c r="B113" s="3" t="s">
        <v>24</v>
      </c>
      <c r="C113" s="3" t="s">
        <v>35</v>
      </c>
      <c r="D113" s="3" t="s">
        <v>2378</v>
      </c>
      <c r="E113" s="3" t="s">
        <v>2352</v>
      </c>
      <c r="F113" s="3" t="s">
        <v>206</v>
      </c>
      <c r="G113" s="3" t="s">
        <v>33</v>
      </c>
      <c r="H113" s="3" t="s">
        <v>114</v>
      </c>
      <c r="I113" s="3">
        <v>16325</v>
      </c>
      <c r="J113" s="3">
        <v>32</v>
      </c>
      <c r="K113" s="3">
        <v>9558</v>
      </c>
      <c r="L113" s="3">
        <v>15426</v>
      </c>
      <c r="M113" s="3">
        <v>21</v>
      </c>
      <c r="N113" s="14">
        <v>1814.098581</v>
      </c>
      <c r="O113" s="7">
        <f t="shared" si="9"/>
        <v>0.19601837672281774</v>
      </c>
      <c r="P113" s="14">
        <f t="shared" si="10"/>
        <v>56.690580656249999</v>
      </c>
      <c r="Q113" s="14">
        <f t="shared" si="11"/>
        <v>86.385646714285713</v>
      </c>
      <c r="R113" s="4">
        <f t="shared" si="12"/>
        <v>65.625</v>
      </c>
      <c r="S113" s="14">
        <f t="shared" si="13"/>
        <v>117.60006359393232</v>
      </c>
      <c r="T113" s="4">
        <f t="shared" si="14"/>
        <v>58.548238897396629</v>
      </c>
      <c r="U113" s="3">
        <f>LEN(A113) - LEN(SUBSTITUTE(A113,"&gt;","")) +1</f>
        <v>5</v>
      </c>
      <c r="V113" s="8">
        <f t="shared" si="15"/>
        <v>4.0199081163859113E-3</v>
      </c>
      <c r="W113" s="14">
        <f t="shared" si="16"/>
        <v>362.81971620000002</v>
      </c>
      <c r="X113" s="4">
        <f t="shared" si="17"/>
        <v>0.14891022365070314</v>
      </c>
    </row>
    <row r="114" spans="1:24" ht="14.25" customHeight="1" x14ac:dyDescent="0.2">
      <c r="A114" s="5" t="s">
        <v>1603</v>
      </c>
      <c r="B114" s="3" t="s">
        <v>24</v>
      </c>
      <c r="C114" s="3" t="s">
        <v>32</v>
      </c>
      <c r="D114" s="3" t="s">
        <v>2353</v>
      </c>
      <c r="E114" s="3" t="s">
        <v>2354</v>
      </c>
      <c r="F114" s="3" t="s">
        <v>40</v>
      </c>
      <c r="G114" s="3" t="s">
        <v>27</v>
      </c>
      <c r="H114" s="3" t="s">
        <v>19</v>
      </c>
      <c r="I114" s="3">
        <v>554980</v>
      </c>
      <c r="J114" s="3">
        <v>32</v>
      </c>
      <c r="K114" s="3">
        <v>323498</v>
      </c>
      <c r="L114" s="3">
        <v>467646</v>
      </c>
      <c r="M114" s="3">
        <v>8</v>
      </c>
      <c r="N114" s="14">
        <v>1600.7695880000001</v>
      </c>
      <c r="O114" s="7">
        <f t="shared" si="9"/>
        <v>5.7659735485963461E-3</v>
      </c>
      <c r="P114" s="14">
        <f t="shared" si="10"/>
        <v>50.024049625000004</v>
      </c>
      <c r="Q114" s="14">
        <f t="shared" si="11"/>
        <v>200.09619850000001</v>
      </c>
      <c r="R114" s="4">
        <f t="shared" si="12"/>
        <v>25</v>
      </c>
      <c r="S114" s="14">
        <f t="shared" si="13"/>
        <v>3.4230370579455403</v>
      </c>
      <c r="T114" s="4">
        <f t="shared" si="14"/>
        <v>58.290028469494395</v>
      </c>
      <c r="U114" s="3">
        <f>LEN(A114) - LEN(SUBSTITUTE(A114,"&gt;","")) +1</f>
        <v>2</v>
      </c>
      <c r="V114" s="8">
        <f t="shared" si="15"/>
        <v>4.5046668348408954E-5</v>
      </c>
      <c r="W114" s="14">
        <f t="shared" si="16"/>
        <v>800.38479400000006</v>
      </c>
      <c r="X114" s="4">
        <f t="shared" si="17"/>
        <v>7.2040018648784389E-4</v>
      </c>
    </row>
    <row r="115" spans="1:24" ht="14.25" customHeight="1" x14ac:dyDescent="0.2">
      <c r="A115" s="5" t="s">
        <v>208</v>
      </c>
      <c r="B115" s="3" t="s">
        <v>14</v>
      </c>
      <c r="C115" s="3" t="s">
        <v>15</v>
      </c>
      <c r="D115" s="3" t="s">
        <v>2349</v>
      </c>
      <c r="E115" s="3" t="s">
        <v>2350</v>
      </c>
      <c r="F115" s="3" t="s">
        <v>63</v>
      </c>
      <c r="G115" s="3" t="s">
        <v>27</v>
      </c>
      <c r="H115" s="3" t="s">
        <v>19</v>
      </c>
      <c r="I115" s="3">
        <v>272509</v>
      </c>
      <c r="J115" s="3">
        <v>31</v>
      </c>
      <c r="K115" s="3">
        <v>89526</v>
      </c>
      <c r="L115" s="3">
        <v>237859</v>
      </c>
      <c r="M115" s="3">
        <v>69</v>
      </c>
      <c r="N115" s="14">
        <v>8168.3470770000004</v>
      </c>
      <c r="O115" s="7">
        <f t="shared" si="9"/>
        <v>1.1375771075450718E-2</v>
      </c>
      <c r="P115" s="14">
        <f t="shared" si="10"/>
        <v>263.49506700000001</v>
      </c>
      <c r="Q115" s="14">
        <f t="shared" si="11"/>
        <v>118.38184169565218</v>
      </c>
      <c r="R115" s="4">
        <f t="shared" si="12"/>
        <v>222.58064516129031</v>
      </c>
      <c r="S115" s="14">
        <f t="shared" si="13"/>
        <v>34.341130993571824</v>
      </c>
      <c r="T115" s="4">
        <f t="shared" si="14"/>
        <v>32.852492945187137</v>
      </c>
      <c r="U115" s="3">
        <f>LEN(A115) - LEN(SUBSTITUTE(A115,"&gt;","")) +1</f>
        <v>4</v>
      </c>
      <c r="V115" s="8">
        <f t="shared" si="15"/>
        <v>8.1678273070353755E-4</v>
      </c>
      <c r="W115" s="14">
        <f t="shared" si="16"/>
        <v>2042.0867692500001</v>
      </c>
      <c r="X115" s="4">
        <f t="shared" si="17"/>
        <v>2.1388638907059342E-2</v>
      </c>
    </row>
    <row r="116" spans="1:24" ht="14.25" customHeight="1" x14ac:dyDescent="0.2">
      <c r="A116" s="5" t="s">
        <v>1604</v>
      </c>
      <c r="B116" s="3" t="s">
        <v>68</v>
      </c>
      <c r="C116" s="3" t="s">
        <v>29</v>
      </c>
      <c r="D116" s="3" t="s">
        <v>2357</v>
      </c>
      <c r="E116" s="3" t="s">
        <v>2358</v>
      </c>
      <c r="F116" s="3" t="s">
        <v>210</v>
      </c>
      <c r="G116" s="3" t="s">
        <v>22</v>
      </c>
      <c r="H116" s="3" t="s">
        <v>19</v>
      </c>
      <c r="I116" s="3">
        <v>100800</v>
      </c>
      <c r="J116" s="3">
        <v>29</v>
      </c>
      <c r="K116" s="3">
        <v>14473</v>
      </c>
      <c r="L116" s="3">
        <v>85424</v>
      </c>
      <c r="M116" s="3">
        <v>3</v>
      </c>
      <c r="N116" s="14">
        <v>7004.7304830000003</v>
      </c>
      <c r="O116" s="7">
        <f t="shared" si="9"/>
        <v>2.8769841269841268E-2</v>
      </c>
      <c r="P116" s="14">
        <f t="shared" si="10"/>
        <v>241.54243044827587</v>
      </c>
      <c r="Q116" s="14">
        <f t="shared" si="11"/>
        <v>2334.9101610000002</v>
      </c>
      <c r="R116" s="4">
        <f t="shared" si="12"/>
        <v>10.344827586206897</v>
      </c>
      <c r="S116" s="14">
        <f t="shared" si="13"/>
        <v>81.999560814291058</v>
      </c>
      <c r="T116" s="4">
        <f t="shared" si="14"/>
        <v>14.358134920634921</v>
      </c>
      <c r="U116" s="3">
        <f>LEN(A116) - LEN(SUBSTITUTE(A116,"&gt;","")) +1</f>
        <v>5</v>
      </c>
      <c r="V116" s="8">
        <f t="shared" si="15"/>
        <v>1.0262725779967159E-4</v>
      </c>
      <c r="W116" s="14">
        <f t="shared" si="16"/>
        <v>1400.9460966000001</v>
      </c>
      <c r="X116" s="4">
        <f t="shared" si="17"/>
        <v>1.274648817715465E-4</v>
      </c>
    </row>
    <row r="117" spans="1:24" ht="14.25" customHeight="1" x14ac:dyDescent="0.2">
      <c r="A117" s="5" t="s">
        <v>1605</v>
      </c>
      <c r="B117" s="3" t="s">
        <v>14</v>
      </c>
      <c r="C117" s="3" t="s">
        <v>29</v>
      </c>
      <c r="D117" s="3" t="s">
        <v>2349</v>
      </c>
      <c r="E117" s="3" t="s">
        <v>2350</v>
      </c>
      <c r="F117" s="3" t="s">
        <v>37</v>
      </c>
      <c r="G117" s="3" t="s">
        <v>22</v>
      </c>
      <c r="H117" s="3" t="s">
        <v>19</v>
      </c>
      <c r="I117" s="3">
        <v>20486</v>
      </c>
      <c r="J117" s="3">
        <v>29</v>
      </c>
      <c r="K117" s="3">
        <v>14583</v>
      </c>
      <c r="L117" s="3">
        <v>19860</v>
      </c>
      <c r="M117" s="3">
        <v>1</v>
      </c>
      <c r="N117" s="14">
        <v>1718.513762</v>
      </c>
      <c r="O117" s="7">
        <f t="shared" si="9"/>
        <v>0.14156008981743629</v>
      </c>
      <c r="P117" s="14">
        <f t="shared" si="10"/>
        <v>59.259095241379313</v>
      </c>
      <c r="Q117" s="14">
        <f t="shared" si="11"/>
        <v>1718.513762</v>
      </c>
      <c r="R117" s="4">
        <f t="shared" si="12"/>
        <v>3.4482758620689653</v>
      </c>
      <c r="S117" s="14">
        <f t="shared" si="13"/>
        <v>86.531407955689843</v>
      </c>
      <c r="T117" s="4">
        <f t="shared" si="14"/>
        <v>71.185199648540461</v>
      </c>
      <c r="U117" s="3">
        <f>LEN(A117) - LEN(SUBSTITUTE(A117,"&gt;","")) +1</f>
        <v>4</v>
      </c>
      <c r="V117" s="8">
        <f t="shared" si="15"/>
        <v>1.683235312930277E-4</v>
      </c>
      <c r="W117" s="14">
        <f t="shared" si="16"/>
        <v>429.62844050000001</v>
      </c>
      <c r="X117" s="4">
        <f t="shared" si="17"/>
        <v>2.8404674524205539E-4</v>
      </c>
    </row>
    <row r="118" spans="1:24" ht="14.25" customHeight="1" x14ac:dyDescent="0.2">
      <c r="A118" s="5" t="s">
        <v>212</v>
      </c>
      <c r="B118" s="3" t="s">
        <v>24</v>
      </c>
      <c r="C118" s="3" t="s">
        <v>15</v>
      </c>
      <c r="D118" s="3" t="s">
        <v>2353</v>
      </c>
      <c r="E118" s="3" t="s">
        <v>2354</v>
      </c>
      <c r="F118" s="3" t="s">
        <v>57</v>
      </c>
      <c r="G118" s="3" t="s">
        <v>27</v>
      </c>
      <c r="H118" s="3" t="s">
        <v>19</v>
      </c>
      <c r="I118" s="3">
        <v>421110</v>
      </c>
      <c r="J118" s="3">
        <v>29</v>
      </c>
      <c r="K118" s="3">
        <v>212140</v>
      </c>
      <c r="L118" s="3">
        <v>389474</v>
      </c>
      <c r="M118" s="3">
        <v>4</v>
      </c>
      <c r="N118" s="14">
        <v>1635.920216</v>
      </c>
      <c r="O118" s="7">
        <f t="shared" si="9"/>
        <v>6.8865617059675624E-3</v>
      </c>
      <c r="P118" s="14">
        <f t="shared" si="10"/>
        <v>56.411041931034482</v>
      </c>
      <c r="Q118" s="14">
        <f t="shared" si="11"/>
        <v>408.980054</v>
      </c>
      <c r="R118" s="4">
        <f t="shared" si="12"/>
        <v>13.793103448275861</v>
      </c>
      <c r="S118" s="14">
        <f t="shared" si="13"/>
        <v>4.2003322840549044</v>
      </c>
      <c r="T118" s="4">
        <f t="shared" si="14"/>
        <v>50.376386217377878</v>
      </c>
      <c r="U118" s="3">
        <f>LEN(A118) - LEN(SUBSTITUTE(A118,"&gt;","")) +1</f>
        <v>1</v>
      </c>
      <c r="V118" s="8">
        <f t="shared" si="15"/>
        <v>3.2754157935636437E-5</v>
      </c>
      <c r="W118" s="14">
        <f t="shared" si="16"/>
        <v>1635.920216</v>
      </c>
      <c r="X118" s="4">
        <f t="shared" si="17"/>
        <v>2.3225352210781822E-4</v>
      </c>
    </row>
    <row r="119" spans="1:24" ht="14.25" customHeight="1" x14ac:dyDescent="0.2">
      <c r="A119" s="5" t="s">
        <v>1606</v>
      </c>
      <c r="B119" s="3" t="s">
        <v>14</v>
      </c>
      <c r="C119" s="3" t="s">
        <v>15</v>
      </c>
      <c r="D119" s="3" t="s">
        <v>2362</v>
      </c>
      <c r="E119" s="3" t="s">
        <v>2352</v>
      </c>
      <c r="F119" s="3" t="s">
        <v>214</v>
      </c>
      <c r="G119" s="3" t="s">
        <v>64</v>
      </c>
      <c r="H119" s="3" t="s">
        <v>19</v>
      </c>
      <c r="I119" s="3">
        <v>12692</v>
      </c>
      <c r="J119" s="3">
        <v>29</v>
      </c>
      <c r="K119" s="3">
        <v>9048</v>
      </c>
      <c r="L119" s="3">
        <v>12326</v>
      </c>
      <c r="M119" s="3">
        <v>14</v>
      </c>
      <c r="N119" s="14">
        <v>1541.7195979999999</v>
      </c>
      <c r="O119" s="7">
        <f t="shared" si="9"/>
        <v>0.2284903876457611</v>
      </c>
      <c r="P119" s="14">
        <f t="shared" si="10"/>
        <v>53.16274475862069</v>
      </c>
      <c r="Q119" s="14">
        <f t="shared" si="11"/>
        <v>110.12282842857142</v>
      </c>
      <c r="R119" s="4">
        <f t="shared" si="12"/>
        <v>48.275862068965516</v>
      </c>
      <c r="S119" s="14">
        <f t="shared" si="13"/>
        <v>125.07866282654551</v>
      </c>
      <c r="T119" s="4">
        <f t="shared" si="14"/>
        <v>71.289000945477468</v>
      </c>
      <c r="U119" s="3">
        <f>LEN(A119) - LEN(SUBSTITUTE(A119,"&gt;","")) +1</f>
        <v>4</v>
      </c>
      <c r="V119" s="8">
        <f t="shared" si="15"/>
        <v>3.80364497864525E-3</v>
      </c>
      <c r="W119" s="14">
        <f t="shared" si="16"/>
        <v>385.42989949999998</v>
      </c>
      <c r="X119" s="4">
        <f t="shared" si="17"/>
        <v>0.10016606543325342</v>
      </c>
    </row>
    <row r="120" spans="1:24" ht="14.25" customHeight="1" x14ac:dyDescent="0.2">
      <c r="A120" s="5" t="s">
        <v>1607</v>
      </c>
      <c r="B120" s="3" t="s">
        <v>14</v>
      </c>
      <c r="C120" s="3" t="s">
        <v>29</v>
      </c>
      <c r="D120" s="3" t="s">
        <v>2379</v>
      </c>
      <c r="E120" s="3" t="s">
        <v>2380</v>
      </c>
      <c r="F120" s="3" t="s">
        <v>46</v>
      </c>
      <c r="G120" s="3" t="s">
        <v>27</v>
      </c>
      <c r="H120" s="3" t="s">
        <v>19</v>
      </c>
      <c r="I120" s="3">
        <v>55274</v>
      </c>
      <c r="J120" s="3">
        <v>29</v>
      </c>
      <c r="K120" s="3">
        <v>47583</v>
      </c>
      <c r="L120" s="3">
        <v>51275</v>
      </c>
      <c r="M120" s="3">
        <v>3</v>
      </c>
      <c r="N120" s="14">
        <v>1532.7579049999999</v>
      </c>
      <c r="O120" s="7">
        <f t="shared" si="9"/>
        <v>5.2465897166841552E-2</v>
      </c>
      <c r="P120" s="14">
        <f t="shared" si="10"/>
        <v>52.853720862068961</v>
      </c>
      <c r="Q120" s="14">
        <f t="shared" si="11"/>
        <v>510.91930166666663</v>
      </c>
      <c r="R120" s="4">
        <f t="shared" si="12"/>
        <v>10.344827586206897</v>
      </c>
      <c r="S120" s="14">
        <f t="shared" si="13"/>
        <v>29.892889419795221</v>
      </c>
      <c r="T120" s="4">
        <f t="shared" si="14"/>
        <v>86.085682237580059</v>
      </c>
      <c r="U120" s="3">
        <f>LEN(A120) - LEN(SUBSTITUTE(A120,"&gt;","")) +1</f>
        <v>5</v>
      </c>
      <c r="V120" s="8">
        <f t="shared" si="15"/>
        <v>1.8715540011952992E-4</v>
      </c>
      <c r="W120" s="14">
        <f t="shared" si="16"/>
        <v>306.551581</v>
      </c>
      <c r="X120" s="4">
        <f t="shared" si="17"/>
        <v>1.0623021259446126E-3</v>
      </c>
    </row>
    <row r="121" spans="1:24" ht="14.25" customHeight="1" x14ac:dyDescent="0.2">
      <c r="A121" s="5" t="s">
        <v>1608</v>
      </c>
      <c r="B121" s="3" t="s">
        <v>14</v>
      </c>
      <c r="C121" s="3" t="s">
        <v>35</v>
      </c>
      <c r="D121" s="3" t="s">
        <v>2379</v>
      </c>
      <c r="E121" s="3" t="s">
        <v>2380</v>
      </c>
      <c r="F121" s="3" t="s">
        <v>218</v>
      </c>
      <c r="G121" s="3" t="s">
        <v>76</v>
      </c>
      <c r="H121" s="3" t="s">
        <v>19</v>
      </c>
      <c r="I121" s="3">
        <v>117879</v>
      </c>
      <c r="J121" s="3">
        <v>28</v>
      </c>
      <c r="K121" s="3">
        <v>52098</v>
      </c>
      <c r="L121" s="3">
        <v>86127</v>
      </c>
      <c r="M121" s="3">
        <v>1</v>
      </c>
      <c r="N121" s="14">
        <v>5102.7067290000005</v>
      </c>
      <c r="O121" s="7">
        <f t="shared" si="9"/>
        <v>2.3753170624114559E-2</v>
      </c>
      <c r="P121" s="14">
        <f t="shared" si="10"/>
        <v>182.23952603571431</v>
      </c>
      <c r="Q121" s="14">
        <f t="shared" si="11"/>
        <v>5102.7067290000005</v>
      </c>
      <c r="R121" s="4">
        <f t="shared" si="12"/>
        <v>3.5714285714285712</v>
      </c>
      <c r="S121" s="14">
        <f t="shared" si="13"/>
        <v>59.246307534222723</v>
      </c>
      <c r="T121" s="4">
        <f t="shared" si="14"/>
        <v>44.196167256254292</v>
      </c>
      <c r="U121" s="3">
        <f>LEN(A121) - LEN(SUBSTITUTE(A121,"&gt;","")) +1</f>
        <v>5</v>
      </c>
      <c r="V121" s="8">
        <f t="shared" si="15"/>
        <v>3.0297411510350201E-5</v>
      </c>
      <c r="W121" s="14">
        <f t="shared" si="16"/>
        <v>1020.5413458</v>
      </c>
      <c r="X121" s="4">
        <f t="shared" si="17"/>
        <v>1.6625049553965963E-5</v>
      </c>
    </row>
    <row r="122" spans="1:24" ht="14.25" customHeight="1" x14ac:dyDescent="0.2">
      <c r="A122" s="5" t="s">
        <v>1609</v>
      </c>
      <c r="B122" s="3" t="s">
        <v>24</v>
      </c>
      <c r="C122" s="3" t="s">
        <v>29</v>
      </c>
      <c r="D122" s="3" t="s">
        <v>2359</v>
      </c>
      <c r="E122" s="3" t="s">
        <v>2360</v>
      </c>
      <c r="F122" s="3" t="s">
        <v>79</v>
      </c>
      <c r="G122" s="3" t="s">
        <v>38</v>
      </c>
      <c r="H122" s="3" t="s">
        <v>19</v>
      </c>
      <c r="I122" s="3">
        <v>61574</v>
      </c>
      <c r="J122" s="3">
        <v>28</v>
      </c>
      <c r="K122" s="3">
        <v>18717</v>
      </c>
      <c r="L122" s="3">
        <v>46367</v>
      </c>
      <c r="M122" s="3">
        <v>4</v>
      </c>
      <c r="N122" s="14">
        <v>4999.6652050000002</v>
      </c>
      <c r="O122" s="7">
        <f t="shared" si="9"/>
        <v>4.5473738915776142E-2</v>
      </c>
      <c r="P122" s="14">
        <f t="shared" si="10"/>
        <v>178.55947160714285</v>
      </c>
      <c r="Q122" s="14">
        <f t="shared" si="11"/>
        <v>1249.9163012500001</v>
      </c>
      <c r="R122" s="4">
        <f t="shared" si="12"/>
        <v>14.285714285714285</v>
      </c>
      <c r="S122" s="14">
        <f t="shared" si="13"/>
        <v>107.82809336381479</v>
      </c>
      <c r="T122" s="4">
        <f t="shared" si="14"/>
        <v>30.397570403092217</v>
      </c>
      <c r="U122" s="3">
        <f>LEN(A122) - LEN(SUBSTITUTE(A122,"&gt;","")) +1</f>
        <v>5</v>
      </c>
      <c r="V122" s="8">
        <f t="shared" si="15"/>
        <v>2.3200887201926601E-4</v>
      </c>
      <c r="W122" s="14">
        <f t="shared" si="16"/>
        <v>999.933041</v>
      </c>
      <c r="X122" s="4">
        <f t="shared" si="17"/>
        <v>5.1973467423720805E-4</v>
      </c>
    </row>
    <row r="123" spans="1:24" ht="14.25" customHeight="1" x14ac:dyDescent="0.2">
      <c r="A123" s="5" t="s">
        <v>220</v>
      </c>
      <c r="B123" s="3" t="s">
        <v>14</v>
      </c>
      <c r="C123" s="3" t="s">
        <v>35</v>
      </c>
      <c r="D123" s="3" t="s">
        <v>2362</v>
      </c>
      <c r="E123" s="3" t="s">
        <v>2352</v>
      </c>
      <c r="F123" s="3" t="s">
        <v>52</v>
      </c>
      <c r="G123" s="3" t="s">
        <v>27</v>
      </c>
      <c r="H123" s="3" t="s">
        <v>19</v>
      </c>
      <c r="I123" s="3">
        <v>29092</v>
      </c>
      <c r="J123" s="3">
        <v>28</v>
      </c>
      <c r="K123" s="3">
        <v>16986</v>
      </c>
      <c r="L123" s="3">
        <v>26606</v>
      </c>
      <c r="M123" s="3">
        <v>15</v>
      </c>
      <c r="N123" s="14">
        <v>1801.0581110000001</v>
      </c>
      <c r="O123" s="7">
        <f t="shared" si="9"/>
        <v>9.6246390760346495E-2</v>
      </c>
      <c r="P123" s="14">
        <f t="shared" si="10"/>
        <v>64.32350396428572</v>
      </c>
      <c r="Q123" s="14">
        <f t="shared" si="11"/>
        <v>120.07054073333333</v>
      </c>
      <c r="R123" s="4">
        <f t="shared" si="12"/>
        <v>53.571428571428569</v>
      </c>
      <c r="S123" s="14">
        <f t="shared" si="13"/>
        <v>67.693682289709102</v>
      </c>
      <c r="T123" s="4">
        <f t="shared" si="14"/>
        <v>58.387185480544481</v>
      </c>
      <c r="U123" s="3">
        <f>LEN(A123) - LEN(SUBSTITUTE(A123,"&gt;","")) +1</f>
        <v>1</v>
      </c>
      <c r="V123" s="8">
        <f t="shared" si="15"/>
        <v>1.8414488028127517E-3</v>
      </c>
      <c r="W123" s="14">
        <f t="shared" si="16"/>
        <v>1801.0581110000001</v>
      </c>
      <c r="X123" s="4">
        <f t="shared" si="17"/>
        <v>4.2941895792131701E-2</v>
      </c>
    </row>
    <row r="124" spans="1:24" ht="14.25" customHeight="1" x14ac:dyDescent="0.2">
      <c r="A124" s="5" t="s">
        <v>1610</v>
      </c>
      <c r="B124" s="3" t="s">
        <v>24</v>
      </c>
      <c r="C124" s="3" t="s">
        <v>15</v>
      </c>
      <c r="D124" s="3" t="s">
        <v>2349</v>
      </c>
      <c r="E124" s="3" t="s">
        <v>2350</v>
      </c>
      <c r="F124" s="3" t="s">
        <v>222</v>
      </c>
      <c r="G124" s="3" t="s">
        <v>33</v>
      </c>
      <c r="H124" s="3" t="s">
        <v>19</v>
      </c>
      <c r="I124" s="3">
        <v>75161</v>
      </c>
      <c r="J124" s="3">
        <v>28</v>
      </c>
      <c r="K124" s="3">
        <v>40385</v>
      </c>
      <c r="L124" s="3">
        <v>70325</v>
      </c>
      <c r="M124" s="3">
        <v>3</v>
      </c>
      <c r="N124" s="14">
        <v>1506.461108</v>
      </c>
      <c r="O124" s="7">
        <f t="shared" si="9"/>
        <v>3.7253362781229628E-2</v>
      </c>
      <c r="P124" s="14">
        <f t="shared" si="10"/>
        <v>53.802182428571427</v>
      </c>
      <c r="Q124" s="14">
        <f t="shared" si="11"/>
        <v>502.15370266666667</v>
      </c>
      <c r="R124" s="4">
        <f t="shared" si="12"/>
        <v>10.714285714285714</v>
      </c>
      <c r="S124" s="14">
        <f t="shared" si="13"/>
        <v>21.421416395307499</v>
      </c>
      <c r="T124" s="4">
        <f t="shared" si="14"/>
        <v>53.731323425712809</v>
      </c>
      <c r="U124" s="3">
        <f>LEN(A124) - LEN(SUBSTITUTE(A124,"&gt;","")) +1</f>
        <v>3</v>
      </c>
      <c r="V124" s="8">
        <f t="shared" si="15"/>
        <v>1.425511330914399E-4</v>
      </c>
      <c r="W124" s="14">
        <f t="shared" si="16"/>
        <v>502.15370266666667</v>
      </c>
      <c r="X124" s="4">
        <f t="shared" si="17"/>
        <v>7.9486255012439072E-4</v>
      </c>
    </row>
    <row r="125" spans="1:24" ht="14.25" customHeight="1" x14ac:dyDescent="0.2">
      <c r="A125" s="5" t="s">
        <v>1611</v>
      </c>
      <c r="B125" s="3" t="s">
        <v>14</v>
      </c>
      <c r="C125" s="3" t="s">
        <v>35</v>
      </c>
      <c r="D125" s="3" t="s">
        <v>2359</v>
      </c>
      <c r="E125" s="3" t="s">
        <v>2360</v>
      </c>
      <c r="F125" s="3" t="s">
        <v>40</v>
      </c>
      <c r="G125" s="3" t="s">
        <v>41</v>
      </c>
      <c r="H125" s="3" t="s">
        <v>19</v>
      </c>
      <c r="I125" s="3">
        <v>458931</v>
      </c>
      <c r="J125" s="3">
        <v>27</v>
      </c>
      <c r="K125" s="3">
        <v>264325</v>
      </c>
      <c r="L125" s="3">
        <v>378011</v>
      </c>
      <c r="M125" s="3">
        <v>30</v>
      </c>
      <c r="N125" s="14">
        <v>7462.6779349999997</v>
      </c>
      <c r="O125" s="7">
        <f t="shared" si="9"/>
        <v>5.8832373494054659E-3</v>
      </c>
      <c r="P125" s="14">
        <f t="shared" si="10"/>
        <v>276.39547907407405</v>
      </c>
      <c r="Q125" s="14">
        <f t="shared" si="11"/>
        <v>248.75593116666667</v>
      </c>
      <c r="R125" s="4">
        <f t="shared" si="12"/>
        <v>111.11111111111111</v>
      </c>
      <c r="S125" s="14">
        <f t="shared" si="13"/>
        <v>19.741959718103441</v>
      </c>
      <c r="T125" s="4">
        <f t="shared" si="14"/>
        <v>57.595804162281475</v>
      </c>
      <c r="U125" s="3">
        <f>LEN(A125) - LEN(SUBSTITUTE(A125,"&gt;","")) +1</f>
        <v>5</v>
      </c>
      <c r="V125" s="8">
        <f t="shared" si="15"/>
        <v>2.421085328973443E-4</v>
      </c>
      <c r="W125" s="14">
        <f t="shared" si="16"/>
        <v>1492.5355869999999</v>
      </c>
      <c r="X125" s="4">
        <f t="shared" si="17"/>
        <v>2.627849055727056E-3</v>
      </c>
    </row>
    <row r="126" spans="1:24" ht="14.25" customHeight="1" x14ac:dyDescent="0.2">
      <c r="A126" s="5" t="s">
        <v>1612</v>
      </c>
      <c r="B126" s="3" t="s">
        <v>14</v>
      </c>
      <c r="C126" s="3" t="s">
        <v>15</v>
      </c>
      <c r="D126" s="3" t="s">
        <v>2359</v>
      </c>
      <c r="E126" s="3" t="s">
        <v>2360</v>
      </c>
      <c r="F126" s="3" t="s">
        <v>111</v>
      </c>
      <c r="G126" s="3" t="s">
        <v>41</v>
      </c>
      <c r="H126" s="3" t="s">
        <v>19</v>
      </c>
      <c r="I126" s="3">
        <v>23965</v>
      </c>
      <c r="J126" s="3">
        <v>27</v>
      </c>
      <c r="K126" s="3">
        <v>13608</v>
      </c>
      <c r="L126" s="3">
        <v>21704</v>
      </c>
      <c r="M126" s="3">
        <v>1</v>
      </c>
      <c r="N126" s="14">
        <v>5706.8644169999998</v>
      </c>
      <c r="O126" s="7">
        <f t="shared" si="9"/>
        <v>0.11266430210723971</v>
      </c>
      <c r="P126" s="14">
        <f t="shared" si="10"/>
        <v>211.36534877777777</v>
      </c>
      <c r="Q126" s="14">
        <f t="shared" si="11"/>
        <v>5706.8644169999998</v>
      </c>
      <c r="R126" s="4">
        <f t="shared" si="12"/>
        <v>3.7037037037037033</v>
      </c>
      <c r="S126" s="14">
        <f t="shared" si="13"/>
        <v>262.94067531330626</v>
      </c>
      <c r="T126" s="4">
        <f t="shared" si="14"/>
        <v>56.782808262048825</v>
      </c>
      <c r="U126" s="3">
        <f>LEN(A126) - LEN(SUBSTITUTE(A126,"&gt;","")) +1</f>
        <v>5</v>
      </c>
      <c r="V126" s="8">
        <f t="shared" si="15"/>
        <v>1.5454636777399136E-4</v>
      </c>
      <c r="W126" s="14">
        <f t="shared" si="16"/>
        <v>1141.3728833999999</v>
      </c>
      <c r="X126" s="4">
        <f t="shared" si="17"/>
        <v>7.311811925069897E-5</v>
      </c>
    </row>
    <row r="127" spans="1:24" ht="14.25" customHeight="1" x14ac:dyDescent="0.2">
      <c r="A127" s="5" t="s">
        <v>225</v>
      </c>
      <c r="B127" s="3" t="s">
        <v>24</v>
      </c>
      <c r="C127" s="3" t="s">
        <v>15</v>
      </c>
      <c r="D127" s="3" t="s">
        <v>2357</v>
      </c>
      <c r="E127" s="3" t="s">
        <v>2358</v>
      </c>
      <c r="F127" s="3" t="s">
        <v>149</v>
      </c>
      <c r="G127" s="3" t="s">
        <v>41</v>
      </c>
      <c r="H127" s="3" t="s">
        <v>19</v>
      </c>
      <c r="I127" s="3">
        <v>103665</v>
      </c>
      <c r="J127" s="3">
        <v>27</v>
      </c>
      <c r="K127" s="3">
        <v>77283</v>
      </c>
      <c r="L127" s="3">
        <v>94019</v>
      </c>
      <c r="M127" s="3">
        <v>4</v>
      </c>
      <c r="N127" s="14">
        <v>5284.6855649999998</v>
      </c>
      <c r="O127" s="7">
        <f t="shared" si="9"/>
        <v>2.6045434814064534E-2</v>
      </c>
      <c r="P127" s="14">
        <f t="shared" si="10"/>
        <v>195.729095</v>
      </c>
      <c r="Q127" s="14">
        <f t="shared" si="11"/>
        <v>1321.1713912499999</v>
      </c>
      <c r="R127" s="4">
        <f t="shared" si="12"/>
        <v>14.814814814814813</v>
      </c>
      <c r="S127" s="14">
        <f t="shared" si="13"/>
        <v>56.208697869579552</v>
      </c>
      <c r="T127" s="4">
        <f t="shared" si="14"/>
        <v>74.550716249457381</v>
      </c>
      <c r="U127" s="3">
        <f>LEN(A127) - LEN(SUBSTITUTE(A127,"&gt;","")) +1</f>
        <v>4</v>
      </c>
      <c r="V127" s="8">
        <f t="shared" si="15"/>
        <v>1.4291047908951732E-4</v>
      </c>
      <c r="W127" s="14">
        <f t="shared" si="16"/>
        <v>1321.1713912499999</v>
      </c>
      <c r="X127" s="4">
        <f t="shared" si="17"/>
        <v>2.9205771188901136E-4</v>
      </c>
    </row>
    <row r="128" spans="1:24" ht="14.25" customHeight="1" x14ac:dyDescent="0.2">
      <c r="A128" s="5" t="s">
        <v>1613</v>
      </c>
      <c r="B128" s="3" t="s">
        <v>14</v>
      </c>
      <c r="C128" s="3" t="s">
        <v>32</v>
      </c>
      <c r="D128" s="3" t="s">
        <v>2367</v>
      </c>
      <c r="E128" s="3" t="s">
        <v>2352</v>
      </c>
      <c r="F128" s="3" t="s">
        <v>111</v>
      </c>
      <c r="G128" s="3" t="s">
        <v>22</v>
      </c>
      <c r="H128" s="3" t="s">
        <v>19</v>
      </c>
      <c r="I128" s="3">
        <v>213699</v>
      </c>
      <c r="J128" s="3">
        <v>27</v>
      </c>
      <c r="K128" s="3">
        <v>18395</v>
      </c>
      <c r="L128" s="3">
        <v>164487</v>
      </c>
      <c r="M128" s="3">
        <v>4</v>
      </c>
      <c r="N128" s="14">
        <v>2194.9871250000001</v>
      </c>
      <c r="O128" s="7">
        <f t="shared" si="9"/>
        <v>1.2634593517049682E-2</v>
      </c>
      <c r="P128" s="14">
        <f t="shared" si="10"/>
        <v>81.295819444444447</v>
      </c>
      <c r="Q128" s="14">
        <f t="shared" si="11"/>
        <v>548.74678125000003</v>
      </c>
      <c r="R128" s="4">
        <f t="shared" si="12"/>
        <v>14.814814814814813</v>
      </c>
      <c r="S128" s="14">
        <f t="shared" si="13"/>
        <v>13.344441354027978</v>
      </c>
      <c r="T128" s="4">
        <f t="shared" si="14"/>
        <v>8.6079017683751431</v>
      </c>
      <c r="U128" s="3">
        <f>LEN(A128) - LEN(SUBSTITUTE(A128,"&gt;","")) +1</f>
        <v>4</v>
      </c>
      <c r="V128" s="8">
        <f t="shared" si="15"/>
        <v>6.9325616005759563E-5</v>
      </c>
      <c r="W128" s="14">
        <f t="shared" si="16"/>
        <v>548.74678125000003</v>
      </c>
      <c r="X128" s="4">
        <f t="shared" si="17"/>
        <v>3.4110298157771806E-4</v>
      </c>
    </row>
    <row r="129" spans="1:24" ht="14.25" customHeight="1" x14ac:dyDescent="0.2">
      <c r="A129" s="5" t="s">
        <v>1614</v>
      </c>
      <c r="B129" s="3" t="s">
        <v>24</v>
      </c>
      <c r="C129" s="3" t="s">
        <v>29</v>
      </c>
      <c r="D129" s="3" t="s">
        <v>2381</v>
      </c>
      <c r="E129" s="3" t="s">
        <v>2365</v>
      </c>
      <c r="F129" s="3" t="s">
        <v>229</v>
      </c>
      <c r="G129" s="3" t="s">
        <v>41</v>
      </c>
      <c r="H129" s="3" t="s">
        <v>114</v>
      </c>
      <c r="I129" s="3">
        <v>70506</v>
      </c>
      <c r="J129" s="3">
        <v>27</v>
      </c>
      <c r="K129" s="3">
        <v>26779</v>
      </c>
      <c r="L129" s="3">
        <v>48902</v>
      </c>
      <c r="M129" s="3">
        <v>2</v>
      </c>
      <c r="N129" s="14">
        <v>1912.9668819999999</v>
      </c>
      <c r="O129" s="7">
        <f t="shared" si="9"/>
        <v>3.8294613224406436E-2</v>
      </c>
      <c r="P129" s="14">
        <f t="shared" si="10"/>
        <v>70.85062525925926</v>
      </c>
      <c r="Q129" s="14">
        <f t="shared" si="11"/>
        <v>956.48344099999997</v>
      </c>
      <c r="R129" s="4">
        <f t="shared" si="12"/>
        <v>7.4074074074074066</v>
      </c>
      <c r="S129" s="14">
        <f t="shared" si="13"/>
        <v>39.118377203386366</v>
      </c>
      <c r="T129" s="4">
        <f t="shared" si="14"/>
        <v>37.981164723569627</v>
      </c>
      <c r="U129" s="3">
        <f>LEN(A129) - LEN(SUBSTITUTE(A129,"&gt;","")) +1</f>
        <v>2</v>
      </c>
      <c r="V129" s="8">
        <f t="shared" si="15"/>
        <v>1.0506066728232217E-4</v>
      </c>
      <c r="W129" s="14">
        <f t="shared" si="16"/>
        <v>956.48344099999997</v>
      </c>
      <c r="X129" s="4">
        <f t="shared" si="17"/>
        <v>2.9656948516087258E-4</v>
      </c>
    </row>
    <row r="130" spans="1:24" ht="14.25" customHeight="1" x14ac:dyDescent="0.2">
      <c r="A130" s="5" t="s">
        <v>1615</v>
      </c>
      <c r="B130" s="3" t="s">
        <v>24</v>
      </c>
      <c r="C130" s="3" t="s">
        <v>15</v>
      </c>
      <c r="D130" s="3" t="s">
        <v>2349</v>
      </c>
      <c r="E130" s="3" t="s">
        <v>2350</v>
      </c>
      <c r="F130" s="3" t="s">
        <v>231</v>
      </c>
      <c r="G130" s="3" t="s">
        <v>27</v>
      </c>
      <c r="H130" s="3" t="s">
        <v>163</v>
      </c>
      <c r="I130" s="3">
        <v>50517</v>
      </c>
      <c r="J130" s="3">
        <v>27</v>
      </c>
      <c r="K130" s="3">
        <v>17179</v>
      </c>
      <c r="L130" s="3">
        <v>48389</v>
      </c>
      <c r="M130" s="3">
        <v>2</v>
      </c>
      <c r="N130" s="14">
        <v>1718.4710769999999</v>
      </c>
      <c r="O130" s="7">
        <f t="shared" si="9"/>
        <v>5.3447354355959376E-2</v>
      </c>
      <c r="P130" s="14">
        <f t="shared" si="10"/>
        <v>63.647076925925923</v>
      </c>
      <c r="Q130" s="14">
        <f t="shared" si="11"/>
        <v>859.23553849999996</v>
      </c>
      <c r="R130" s="4">
        <f t="shared" si="12"/>
        <v>7.4074074074074066</v>
      </c>
      <c r="S130" s="14">
        <f t="shared" si="13"/>
        <v>35.513672053565891</v>
      </c>
      <c r="T130" s="4">
        <f t="shared" si="14"/>
        <v>34.00637409188986</v>
      </c>
      <c r="U130" s="3">
        <f>LEN(A130) - LEN(SUBSTITUTE(A130,"&gt;","")) +1</f>
        <v>4</v>
      </c>
      <c r="V130" s="8">
        <f t="shared" si="15"/>
        <v>1.4663197354172669E-4</v>
      </c>
      <c r="W130" s="14">
        <f t="shared" si="16"/>
        <v>429.61776924999998</v>
      </c>
      <c r="X130" s="4">
        <f t="shared" si="17"/>
        <v>4.6076577471854889E-4</v>
      </c>
    </row>
    <row r="131" spans="1:24" ht="14.25" customHeight="1" x14ac:dyDescent="0.2">
      <c r="A131" s="5" t="s">
        <v>1616</v>
      </c>
      <c r="B131" s="3" t="s">
        <v>14</v>
      </c>
      <c r="C131" s="3" t="s">
        <v>35</v>
      </c>
      <c r="D131" s="3" t="s">
        <v>2361</v>
      </c>
      <c r="E131" s="3" t="s">
        <v>2360</v>
      </c>
      <c r="F131" s="3" t="s">
        <v>79</v>
      </c>
      <c r="G131" s="3" t="s">
        <v>27</v>
      </c>
      <c r="H131" s="3" t="s">
        <v>19</v>
      </c>
      <c r="I131" s="3">
        <v>254780</v>
      </c>
      <c r="J131" s="3">
        <v>27</v>
      </c>
      <c r="K131" s="3">
        <v>19169</v>
      </c>
      <c r="L131" s="3">
        <v>182583</v>
      </c>
      <c r="M131" s="3">
        <v>4</v>
      </c>
      <c r="N131" s="14">
        <v>1561.021915</v>
      </c>
      <c r="O131" s="7">
        <f t="shared" ref="O131:O194" si="18">IFERROR((J131/I131)*100, 0)</f>
        <v>1.0597378130151503E-2</v>
      </c>
      <c r="P131" s="14">
        <f t="shared" ref="P131:P194" si="19">IFERROR(N131/J131, 0)</f>
        <v>57.81562648148148</v>
      </c>
      <c r="Q131" s="14">
        <f t="shared" ref="Q131:Q194" si="20">IFERROR(N131/M131, 0)</f>
        <v>390.25547875000001</v>
      </c>
      <c r="R131" s="4">
        <f t="shared" ref="R131:R194" si="21">IFERROR((M131/J131)*100, 0)</f>
        <v>14.814814814814813</v>
      </c>
      <c r="S131" s="14">
        <f t="shared" ref="S131:S194" si="22">IFERROR((N131/L131)*1000, 0)</f>
        <v>8.5496564028414461</v>
      </c>
      <c r="T131" s="4">
        <f t="shared" ref="T131:T194" si="23">(K131/I131)*100</f>
        <v>7.5237459769212656</v>
      </c>
      <c r="U131" s="3">
        <f>LEN(A131) - LEN(SUBSTITUTE(A131,"&gt;","")) +1</f>
        <v>4</v>
      </c>
      <c r="V131" s="8">
        <f t="shared" ref="V131:V194" si="24">R131/I131</f>
        <v>5.8147479452134445E-5</v>
      </c>
      <c r="W131" s="14">
        <f t="shared" ref="W131:W194" si="25">N131/U131</f>
        <v>390.25547875000001</v>
      </c>
      <c r="X131" s="4">
        <f t="shared" ref="X131:X194" si="26">(O131*R131/Q131)</f>
        <v>4.0229593963327028E-4</v>
      </c>
    </row>
    <row r="132" spans="1:24" ht="14.25" customHeight="1" x14ac:dyDescent="0.2">
      <c r="A132" s="5" t="s">
        <v>1617</v>
      </c>
      <c r="B132" s="3" t="s">
        <v>14</v>
      </c>
      <c r="C132" s="3" t="s">
        <v>35</v>
      </c>
      <c r="D132" s="3" t="s">
        <v>2349</v>
      </c>
      <c r="E132" s="3" t="s">
        <v>2350</v>
      </c>
      <c r="F132" s="3" t="s">
        <v>37</v>
      </c>
      <c r="G132" s="3" t="s">
        <v>27</v>
      </c>
      <c r="H132" s="3" t="s">
        <v>19</v>
      </c>
      <c r="I132" s="3">
        <v>92764</v>
      </c>
      <c r="J132" s="3">
        <v>26</v>
      </c>
      <c r="K132" s="3">
        <v>19625</v>
      </c>
      <c r="L132" s="3">
        <v>76531</v>
      </c>
      <c r="M132" s="3">
        <v>1</v>
      </c>
      <c r="N132" s="14">
        <v>6730.012549</v>
      </c>
      <c r="O132" s="7">
        <f t="shared" si="18"/>
        <v>2.8028114354706569E-2</v>
      </c>
      <c r="P132" s="14">
        <f t="shared" si="19"/>
        <v>258.84663649999999</v>
      </c>
      <c r="Q132" s="14">
        <f t="shared" si="20"/>
        <v>6730.012549</v>
      </c>
      <c r="R132" s="4">
        <f t="shared" si="21"/>
        <v>3.8461538461538463</v>
      </c>
      <c r="S132" s="14">
        <f t="shared" si="22"/>
        <v>87.93838508578223</v>
      </c>
      <c r="T132" s="4">
        <f t="shared" si="23"/>
        <v>21.155836315812167</v>
      </c>
      <c r="U132" s="3">
        <f>LEN(A132) - LEN(SUBSTITUTE(A132,"&gt;","")) +1</f>
        <v>5</v>
      </c>
      <c r="V132" s="8">
        <f t="shared" si="24"/>
        <v>4.1461707625305575E-5</v>
      </c>
      <c r="W132" s="14">
        <f t="shared" si="25"/>
        <v>1346.0025098000001</v>
      </c>
      <c r="X132" s="4">
        <f t="shared" si="26"/>
        <v>1.6017866094738912E-5</v>
      </c>
    </row>
    <row r="133" spans="1:24" ht="14.25" customHeight="1" x14ac:dyDescent="0.2">
      <c r="A133" s="5" t="s">
        <v>1618</v>
      </c>
      <c r="B133" s="3" t="s">
        <v>14</v>
      </c>
      <c r="C133" s="3" t="s">
        <v>29</v>
      </c>
      <c r="D133" s="3" t="s">
        <v>2368</v>
      </c>
      <c r="E133" s="3" t="s">
        <v>2352</v>
      </c>
      <c r="F133" s="3" t="s">
        <v>119</v>
      </c>
      <c r="G133" s="3" t="s">
        <v>38</v>
      </c>
      <c r="H133" s="3" t="s">
        <v>19</v>
      </c>
      <c r="I133" s="3">
        <v>149618</v>
      </c>
      <c r="J133" s="3">
        <v>26</v>
      </c>
      <c r="K133" s="3">
        <v>126031</v>
      </c>
      <c r="L133" s="3">
        <v>140596</v>
      </c>
      <c r="M133" s="3">
        <v>26</v>
      </c>
      <c r="N133" s="14">
        <v>6605.5861580000001</v>
      </c>
      <c r="O133" s="7">
        <f t="shared" si="18"/>
        <v>1.7377588258097289E-2</v>
      </c>
      <c r="P133" s="14">
        <f t="shared" si="19"/>
        <v>254.06100607692309</v>
      </c>
      <c r="Q133" s="14">
        <f t="shared" si="20"/>
        <v>254.06100607692309</v>
      </c>
      <c r="R133" s="4">
        <f t="shared" si="21"/>
        <v>100</v>
      </c>
      <c r="S133" s="14">
        <f t="shared" si="22"/>
        <v>46.982746009843808</v>
      </c>
      <c r="T133" s="4">
        <f t="shared" si="23"/>
        <v>84.235185606009978</v>
      </c>
      <c r="U133" s="3">
        <f>LEN(A133) - LEN(SUBSTITUTE(A133,"&gt;","")) +1</f>
        <v>5</v>
      </c>
      <c r="V133" s="8">
        <f t="shared" si="24"/>
        <v>6.6836877915758797E-4</v>
      </c>
      <c r="W133" s="14">
        <f t="shared" si="25"/>
        <v>1321.1172316</v>
      </c>
      <c r="X133" s="4">
        <f t="shared" si="26"/>
        <v>6.8399273569891344E-3</v>
      </c>
    </row>
    <row r="134" spans="1:24" ht="14.25" customHeight="1" x14ac:dyDescent="0.2">
      <c r="A134" s="5" t="s">
        <v>235</v>
      </c>
      <c r="B134" s="3" t="s">
        <v>14</v>
      </c>
      <c r="C134" s="3" t="s">
        <v>29</v>
      </c>
      <c r="D134" s="3" t="s">
        <v>2362</v>
      </c>
      <c r="E134" s="3" t="s">
        <v>2352</v>
      </c>
      <c r="F134" s="3" t="s">
        <v>57</v>
      </c>
      <c r="G134" s="3" t="s">
        <v>27</v>
      </c>
      <c r="H134" s="3" t="s">
        <v>19</v>
      </c>
      <c r="I134" s="3">
        <v>571090</v>
      </c>
      <c r="J134" s="3">
        <v>26</v>
      </c>
      <c r="K134" s="3">
        <v>246243</v>
      </c>
      <c r="L134" s="3">
        <v>532325</v>
      </c>
      <c r="M134" s="3">
        <v>11</v>
      </c>
      <c r="N134" s="14">
        <v>4733.6187829999999</v>
      </c>
      <c r="O134" s="7">
        <f t="shared" si="18"/>
        <v>4.5526974732529027E-3</v>
      </c>
      <c r="P134" s="14">
        <f t="shared" si="19"/>
        <v>182.06226088461537</v>
      </c>
      <c r="Q134" s="14">
        <f t="shared" si="20"/>
        <v>430.32898027272728</v>
      </c>
      <c r="R134" s="4">
        <f t="shared" si="21"/>
        <v>42.307692307692307</v>
      </c>
      <c r="S134" s="14">
        <f t="shared" si="22"/>
        <v>8.8923473122622454</v>
      </c>
      <c r="T134" s="4">
        <f t="shared" si="23"/>
        <v>43.118072457931319</v>
      </c>
      <c r="U134" s="3">
        <f>LEN(A134) - LEN(SUBSTITUTE(A134,"&gt;","")) +1</f>
        <v>4</v>
      </c>
      <c r="V134" s="8">
        <f t="shared" si="24"/>
        <v>7.4082355333996927E-5</v>
      </c>
      <c r="W134" s="14">
        <f t="shared" si="25"/>
        <v>1183.40469575</v>
      </c>
      <c r="X134" s="4">
        <f t="shared" si="26"/>
        <v>4.4759737944286254E-4</v>
      </c>
    </row>
    <row r="135" spans="1:24" ht="14.25" customHeight="1" x14ac:dyDescent="0.2">
      <c r="A135" s="5" t="s">
        <v>1619</v>
      </c>
      <c r="B135" s="3" t="s">
        <v>14</v>
      </c>
      <c r="C135" s="3" t="s">
        <v>15</v>
      </c>
      <c r="D135" s="3" t="s">
        <v>2357</v>
      </c>
      <c r="E135" s="3" t="s">
        <v>2358</v>
      </c>
      <c r="F135" s="3" t="s">
        <v>237</v>
      </c>
      <c r="G135" s="3" t="s">
        <v>58</v>
      </c>
      <c r="H135" s="3" t="s">
        <v>19</v>
      </c>
      <c r="I135" s="3">
        <v>39212</v>
      </c>
      <c r="J135" s="3">
        <v>26</v>
      </c>
      <c r="K135" s="3">
        <v>31317</v>
      </c>
      <c r="L135" s="3">
        <v>37660</v>
      </c>
      <c r="M135" s="3">
        <v>1</v>
      </c>
      <c r="N135" s="14">
        <v>3621.4177030000001</v>
      </c>
      <c r="O135" s="7">
        <f t="shared" si="18"/>
        <v>6.6306232785881866E-2</v>
      </c>
      <c r="P135" s="14">
        <f t="shared" si="19"/>
        <v>139.28529626923077</v>
      </c>
      <c r="Q135" s="14">
        <f t="shared" si="20"/>
        <v>3621.4177030000001</v>
      </c>
      <c r="R135" s="4">
        <f t="shared" si="21"/>
        <v>3.8461538461538463</v>
      </c>
      <c r="S135" s="14">
        <f t="shared" si="22"/>
        <v>96.160852442910254</v>
      </c>
      <c r="T135" s="4">
        <f t="shared" si="23"/>
        <v>79.865857390594712</v>
      </c>
      <c r="U135" s="3">
        <f>LEN(A135) - LEN(SUBSTITUTE(A135,"&gt;","")) +1</f>
        <v>5</v>
      </c>
      <c r="V135" s="8">
        <f t="shared" si="24"/>
        <v>9.8086143174381472E-5</v>
      </c>
      <c r="W135" s="14">
        <f t="shared" si="25"/>
        <v>724.28354060000004</v>
      </c>
      <c r="X135" s="4">
        <f t="shared" si="26"/>
        <v>7.0421032084238365E-5</v>
      </c>
    </row>
    <row r="136" spans="1:24" ht="14.25" customHeight="1" x14ac:dyDescent="0.2">
      <c r="A136" s="5" t="s">
        <v>1620</v>
      </c>
      <c r="B136" s="3" t="s">
        <v>14</v>
      </c>
      <c r="C136" s="3" t="s">
        <v>15</v>
      </c>
      <c r="D136" s="3" t="s">
        <v>2362</v>
      </c>
      <c r="E136" s="3" t="s">
        <v>2352</v>
      </c>
      <c r="F136" s="3" t="s">
        <v>239</v>
      </c>
      <c r="G136" s="3" t="s">
        <v>27</v>
      </c>
      <c r="H136" s="3" t="s">
        <v>19</v>
      </c>
      <c r="I136" s="3">
        <v>16580</v>
      </c>
      <c r="J136" s="3">
        <v>26</v>
      </c>
      <c r="K136" s="3">
        <v>11928</v>
      </c>
      <c r="L136" s="3">
        <v>14527</v>
      </c>
      <c r="M136" s="3">
        <v>6</v>
      </c>
      <c r="N136" s="14">
        <v>1965.7389470000001</v>
      </c>
      <c r="O136" s="7">
        <f t="shared" si="18"/>
        <v>0.15681544028950542</v>
      </c>
      <c r="P136" s="14">
        <f t="shared" si="19"/>
        <v>75.605344115384611</v>
      </c>
      <c r="Q136" s="14">
        <f t="shared" si="20"/>
        <v>327.62315783333332</v>
      </c>
      <c r="R136" s="4">
        <f t="shared" si="21"/>
        <v>23.076923076923077</v>
      </c>
      <c r="S136" s="14">
        <f t="shared" si="22"/>
        <v>135.31623507950712</v>
      </c>
      <c r="T136" s="4">
        <f t="shared" si="23"/>
        <v>71.942098914354645</v>
      </c>
      <c r="U136" s="3">
        <f>LEN(A136) - LEN(SUBSTITUTE(A136,"&gt;","")) +1</f>
        <v>4</v>
      </c>
      <c r="V136" s="8">
        <f t="shared" si="24"/>
        <v>1.3918530203210541E-3</v>
      </c>
      <c r="W136" s="14">
        <f t="shared" si="25"/>
        <v>491.43473675000001</v>
      </c>
      <c r="X136" s="4">
        <f t="shared" si="26"/>
        <v>1.1045671730798975E-2</v>
      </c>
    </row>
    <row r="137" spans="1:24" ht="14.25" customHeight="1" x14ac:dyDescent="0.2">
      <c r="A137" s="5" t="s">
        <v>1621</v>
      </c>
      <c r="B137" s="3" t="s">
        <v>24</v>
      </c>
      <c r="C137" s="3" t="s">
        <v>15</v>
      </c>
      <c r="D137" s="3" t="s">
        <v>2362</v>
      </c>
      <c r="E137" s="3" t="s">
        <v>2352</v>
      </c>
      <c r="F137" s="3" t="s">
        <v>149</v>
      </c>
      <c r="G137" s="3" t="s">
        <v>27</v>
      </c>
      <c r="H137" s="3" t="s">
        <v>114</v>
      </c>
      <c r="I137" s="3">
        <v>141165</v>
      </c>
      <c r="J137" s="3">
        <v>25</v>
      </c>
      <c r="K137" s="3">
        <v>102776</v>
      </c>
      <c r="L137" s="3">
        <v>128004</v>
      </c>
      <c r="M137" s="3">
        <v>28</v>
      </c>
      <c r="N137" s="14">
        <v>7222.2114080000001</v>
      </c>
      <c r="O137" s="7">
        <f t="shared" si="18"/>
        <v>1.7709772252328837E-2</v>
      </c>
      <c r="P137" s="14">
        <f t="shared" si="19"/>
        <v>288.88845631999999</v>
      </c>
      <c r="Q137" s="14">
        <f t="shared" si="20"/>
        <v>257.93612171428572</v>
      </c>
      <c r="R137" s="4">
        <f t="shared" si="21"/>
        <v>112.00000000000001</v>
      </c>
      <c r="S137" s="14">
        <f t="shared" si="22"/>
        <v>56.421763444892342</v>
      </c>
      <c r="T137" s="4">
        <f t="shared" si="23"/>
        <v>72.805582120213927</v>
      </c>
      <c r="U137" s="3">
        <f>LEN(A137) - LEN(SUBSTITUTE(A137,"&gt;","")) +1</f>
        <v>5</v>
      </c>
      <c r="V137" s="8">
        <f t="shared" si="24"/>
        <v>7.9339779690433196E-4</v>
      </c>
      <c r="W137" s="14">
        <f t="shared" si="25"/>
        <v>1444.4422816000001</v>
      </c>
      <c r="X137" s="4">
        <f t="shared" si="26"/>
        <v>7.6898670844478883E-3</v>
      </c>
    </row>
    <row r="138" spans="1:24" ht="14.25" customHeight="1" x14ac:dyDescent="0.2">
      <c r="A138" s="5" t="s">
        <v>241</v>
      </c>
      <c r="B138" s="3" t="s">
        <v>68</v>
      </c>
      <c r="C138" s="3" t="s">
        <v>32</v>
      </c>
      <c r="D138" s="3" t="s">
        <v>2349</v>
      </c>
      <c r="E138" s="3" t="s">
        <v>2350</v>
      </c>
      <c r="F138" s="3" t="s">
        <v>239</v>
      </c>
      <c r="G138" s="3" t="s">
        <v>27</v>
      </c>
      <c r="H138" s="3" t="s">
        <v>19</v>
      </c>
      <c r="I138" s="3">
        <v>17518</v>
      </c>
      <c r="J138" s="3">
        <v>25</v>
      </c>
      <c r="K138" s="3">
        <v>11513</v>
      </c>
      <c r="L138" s="3">
        <v>16192</v>
      </c>
      <c r="M138" s="3">
        <v>1</v>
      </c>
      <c r="N138" s="14">
        <v>6765.0003999999999</v>
      </c>
      <c r="O138" s="7">
        <f t="shared" si="18"/>
        <v>0.14271035506336341</v>
      </c>
      <c r="P138" s="14">
        <f t="shared" si="19"/>
        <v>270.60001599999998</v>
      </c>
      <c r="Q138" s="14">
        <f t="shared" si="20"/>
        <v>6765.0003999999999</v>
      </c>
      <c r="R138" s="4">
        <f t="shared" si="21"/>
        <v>4</v>
      </c>
      <c r="S138" s="14">
        <f t="shared" si="22"/>
        <v>417.79893774703561</v>
      </c>
      <c r="T138" s="4">
        <f t="shared" si="23"/>
        <v>65.720972713780114</v>
      </c>
      <c r="U138" s="3">
        <f>LEN(A138) - LEN(SUBSTITUTE(A138,"&gt;","")) +1</f>
        <v>4</v>
      </c>
      <c r="V138" s="8">
        <f t="shared" si="24"/>
        <v>2.2833656810138144E-4</v>
      </c>
      <c r="W138" s="14">
        <f t="shared" si="25"/>
        <v>1691.2501</v>
      </c>
      <c r="X138" s="4">
        <f t="shared" si="26"/>
        <v>8.4381579674918218E-5</v>
      </c>
    </row>
    <row r="139" spans="1:24" ht="14.25" customHeight="1" x14ac:dyDescent="0.2">
      <c r="A139" s="5" t="s">
        <v>242</v>
      </c>
      <c r="B139" s="3" t="s">
        <v>14</v>
      </c>
      <c r="C139" s="3" t="s">
        <v>35</v>
      </c>
      <c r="D139" s="3" t="s">
        <v>2362</v>
      </c>
      <c r="E139" s="3" t="s">
        <v>2352</v>
      </c>
      <c r="F139" s="3" t="s">
        <v>199</v>
      </c>
      <c r="G139" s="3" t="s">
        <v>27</v>
      </c>
      <c r="H139" s="3" t="s">
        <v>19</v>
      </c>
      <c r="I139" s="3">
        <v>35163</v>
      </c>
      <c r="J139" s="3">
        <v>25</v>
      </c>
      <c r="K139" s="3">
        <v>21222</v>
      </c>
      <c r="L139" s="3">
        <v>33671</v>
      </c>
      <c r="M139" s="3">
        <v>8</v>
      </c>
      <c r="N139" s="14">
        <v>6336.7181</v>
      </c>
      <c r="O139" s="7">
        <f t="shared" si="18"/>
        <v>7.1097460398714563E-2</v>
      </c>
      <c r="P139" s="14">
        <f t="shared" si="19"/>
        <v>253.46872400000001</v>
      </c>
      <c r="Q139" s="14">
        <f t="shared" si="20"/>
        <v>792.08976250000001</v>
      </c>
      <c r="R139" s="4">
        <f t="shared" si="21"/>
        <v>32</v>
      </c>
      <c r="S139" s="14">
        <f t="shared" si="22"/>
        <v>188.19512636987318</v>
      </c>
      <c r="T139" s="4">
        <f t="shared" si="23"/>
        <v>60.353212183260815</v>
      </c>
      <c r="U139" s="3">
        <f>LEN(A139) - LEN(SUBSTITUTE(A139,"&gt;","")) +1</f>
        <v>4</v>
      </c>
      <c r="V139" s="8">
        <f t="shared" si="24"/>
        <v>9.1004749310354637E-4</v>
      </c>
      <c r="W139" s="14">
        <f t="shared" si="25"/>
        <v>1584.179525</v>
      </c>
      <c r="X139" s="4">
        <f t="shared" si="26"/>
        <v>2.8722991262734141E-3</v>
      </c>
    </row>
    <row r="140" spans="1:24" ht="14.25" customHeight="1" x14ac:dyDescent="0.2">
      <c r="A140" s="5" t="s">
        <v>1622</v>
      </c>
      <c r="B140" s="3" t="s">
        <v>14</v>
      </c>
      <c r="C140" s="3" t="s">
        <v>35</v>
      </c>
      <c r="D140" s="3" t="s">
        <v>2368</v>
      </c>
      <c r="E140" s="3" t="s">
        <v>2352</v>
      </c>
      <c r="F140" s="3" t="s">
        <v>244</v>
      </c>
      <c r="G140" s="3" t="s">
        <v>27</v>
      </c>
      <c r="H140" s="3" t="s">
        <v>19</v>
      </c>
      <c r="I140" s="3">
        <v>61474</v>
      </c>
      <c r="J140" s="3">
        <v>25</v>
      </c>
      <c r="K140" s="3">
        <v>31245</v>
      </c>
      <c r="L140" s="3">
        <v>49089</v>
      </c>
      <c r="M140" s="3">
        <v>15</v>
      </c>
      <c r="N140" s="14">
        <v>2189.3413489999998</v>
      </c>
      <c r="O140" s="7">
        <f t="shared" si="18"/>
        <v>4.0667599310277518E-2</v>
      </c>
      <c r="P140" s="14">
        <f t="shared" si="19"/>
        <v>87.573653959999987</v>
      </c>
      <c r="Q140" s="14">
        <f t="shared" si="20"/>
        <v>145.95608993333332</v>
      </c>
      <c r="R140" s="4">
        <f t="shared" si="21"/>
        <v>60</v>
      </c>
      <c r="S140" s="14">
        <f t="shared" si="22"/>
        <v>44.599428568518405</v>
      </c>
      <c r="T140" s="4">
        <f t="shared" si="23"/>
        <v>50.826365617984834</v>
      </c>
      <c r="U140" s="3">
        <f>LEN(A140) - LEN(SUBSTITUTE(A140,"&gt;","")) +1</f>
        <v>4</v>
      </c>
      <c r="V140" s="8">
        <f t="shared" si="24"/>
        <v>9.7602238344666038E-4</v>
      </c>
      <c r="W140" s="14">
        <f t="shared" si="25"/>
        <v>547.33533724999995</v>
      </c>
      <c r="X140" s="4">
        <f t="shared" si="26"/>
        <v>1.6717739970501862E-2</v>
      </c>
    </row>
    <row r="141" spans="1:24" ht="14.25" customHeight="1" x14ac:dyDescent="0.2">
      <c r="A141" s="5" t="s">
        <v>1623</v>
      </c>
      <c r="B141" s="3" t="s">
        <v>24</v>
      </c>
      <c r="C141" s="3" t="s">
        <v>32</v>
      </c>
      <c r="D141" s="3" t="s">
        <v>2357</v>
      </c>
      <c r="E141" s="3" t="s">
        <v>2358</v>
      </c>
      <c r="F141" s="3" t="s">
        <v>40</v>
      </c>
      <c r="G141" s="3" t="s">
        <v>27</v>
      </c>
      <c r="H141" s="3" t="s">
        <v>19</v>
      </c>
      <c r="I141" s="3">
        <v>321263</v>
      </c>
      <c r="J141" s="3">
        <v>25</v>
      </c>
      <c r="K141" s="3">
        <v>172887</v>
      </c>
      <c r="L141" s="3">
        <v>263424</v>
      </c>
      <c r="M141" s="3">
        <v>6</v>
      </c>
      <c r="N141" s="14">
        <v>1576.051434</v>
      </c>
      <c r="O141" s="7">
        <f t="shared" si="18"/>
        <v>7.7817862623458037E-3</v>
      </c>
      <c r="P141" s="14">
        <f t="shared" si="19"/>
        <v>63.042057360000001</v>
      </c>
      <c r="Q141" s="14">
        <f t="shared" si="20"/>
        <v>262.67523899999998</v>
      </c>
      <c r="R141" s="4">
        <f t="shared" si="21"/>
        <v>24</v>
      </c>
      <c r="S141" s="14">
        <f t="shared" si="22"/>
        <v>5.982945494715743</v>
      </c>
      <c r="T141" s="4">
        <f t="shared" si="23"/>
        <v>53.814787261527165</v>
      </c>
      <c r="U141" s="3">
        <f>LEN(A141) - LEN(SUBSTITUTE(A141,"&gt;","")) +1</f>
        <v>6</v>
      </c>
      <c r="V141" s="8">
        <f t="shared" si="24"/>
        <v>7.4705148118519712E-5</v>
      </c>
      <c r="W141" s="14">
        <f t="shared" si="25"/>
        <v>262.67523899999998</v>
      </c>
      <c r="X141" s="4">
        <f t="shared" si="26"/>
        <v>7.1100295180962717E-4</v>
      </c>
    </row>
    <row r="142" spans="1:24" ht="14.25" customHeight="1" x14ac:dyDescent="0.2">
      <c r="A142" s="5" t="s">
        <v>1624</v>
      </c>
      <c r="B142" s="3" t="s">
        <v>24</v>
      </c>
      <c r="C142" s="3" t="s">
        <v>29</v>
      </c>
      <c r="D142" s="3" t="s">
        <v>2379</v>
      </c>
      <c r="E142" s="3" t="s">
        <v>2380</v>
      </c>
      <c r="F142" s="3" t="s">
        <v>247</v>
      </c>
      <c r="G142" s="3" t="s">
        <v>38</v>
      </c>
      <c r="H142" s="3" t="s">
        <v>163</v>
      </c>
      <c r="I142" s="3">
        <v>94340</v>
      </c>
      <c r="J142" s="3">
        <v>25</v>
      </c>
      <c r="K142" s="3">
        <v>16955</v>
      </c>
      <c r="L142" s="3">
        <v>76971</v>
      </c>
      <c r="M142" s="3">
        <v>13</v>
      </c>
      <c r="N142" s="14">
        <v>1517.244377</v>
      </c>
      <c r="O142" s="7">
        <f t="shared" si="18"/>
        <v>2.6499894000423997E-2</v>
      </c>
      <c r="P142" s="14">
        <f t="shared" si="19"/>
        <v>60.689775079999997</v>
      </c>
      <c r="Q142" s="14">
        <f t="shared" si="20"/>
        <v>116.71110592307693</v>
      </c>
      <c r="R142" s="4">
        <f t="shared" si="21"/>
        <v>52</v>
      </c>
      <c r="S142" s="14">
        <f t="shared" si="22"/>
        <v>19.71189638954931</v>
      </c>
      <c r="T142" s="4">
        <f t="shared" si="23"/>
        <v>17.972228111087556</v>
      </c>
      <c r="U142" s="3">
        <f>LEN(A142) - LEN(SUBSTITUTE(A142,"&gt;","")) +1</f>
        <v>4</v>
      </c>
      <c r="V142" s="8">
        <f t="shared" si="24"/>
        <v>5.5119779520881916E-4</v>
      </c>
      <c r="W142" s="14">
        <f t="shared" si="25"/>
        <v>379.31109425</v>
      </c>
      <c r="X142" s="4">
        <f t="shared" si="26"/>
        <v>1.1806883990374229E-2</v>
      </c>
    </row>
    <row r="143" spans="1:24" ht="14.25" customHeight="1" x14ac:dyDescent="0.2">
      <c r="A143" s="5" t="s">
        <v>1625</v>
      </c>
      <c r="B143" s="3" t="s">
        <v>14</v>
      </c>
      <c r="C143" s="3" t="s">
        <v>29</v>
      </c>
      <c r="D143" s="3" t="s">
        <v>2362</v>
      </c>
      <c r="E143" s="3" t="s">
        <v>2352</v>
      </c>
      <c r="F143" s="3" t="s">
        <v>57</v>
      </c>
      <c r="G143" s="3" t="s">
        <v>27</v>
      </c>
      <c r="H143" s="3" t="s">
        <v>19</v>
      </c>
      <c r="I143" s="3">
        <v>263752</v>
      </c>
      <c r="J143" s="3">
        <v>25</v>
      </c>
      <c r="K143" s="3">
        <v>127042</v>
      </c>
      <c r="L143" s="3">
        <v>225121</v>
      </c>
      <c r="M143" s="3">
        <v>4</v>
      </c>
      <c r="N143" s="14">
        <v>1465.5147099999999</v>
      </c>
      <c r="O143" s="7">
        <f t="shared" si="18"/>
        <v>9.4786011101337612E-3</v>
      </c>
      <c r="P143" s="14">
        <f t="shared" si="19"/>
        <v>58.620588399999995</v>
      </c>
      <c r="Q143" s="14">
        <f t="shared" si="20"/>
        <v>366.37867749999998</v>
      </c>
      <c r="R143" s="4">
        <f t="shared" si="21"/>
        <v>16</v>
      </c>
      <c r="S143" s="14">
        <f t="shared" si="22"/>
        <v>6.5098978327210695</v>
      </c>
      <c r="T143" s="4">
        <f t="shared" si="23"/>
        <v>48.16721768934454</v>
      </c>
      <c r="U143" s="3">
        <f>LEN(A143) - LEN(SUBSTITUTE(A143,"&gt;","")) +1</f>
        <v>6</v>
      </c>
      <c r="V143" s="8">
        <f t="shared" si="24"/>
        <v>6.0663047104856079E-5</v>
      </c>
      <c r="W143" s="14">
        <f t="shared" si="25"/>
        <v>244.25245166666664</v>
      </c>
      <c r="X143" s="4">
        <f t="shared" si="26"/>
        <v>4.1393680111785489E-4</v>
      </c>
    </row>
    <row r="144" spans="1:24" ht="14.25" customHeight="1" x14ac:dyDescent="0.2">
      <c r="A144" s="5" t="s">
        <v>249</v>
      </c>
      <c r="B144" s="3" t="s">
        <v>24</v>
      </c>
      <c r="C144" s="3" t="s">
        <v>15</v>
      </c>
      <c r="D144" s="3" t="s">
        <v>2359</v>
      </c>
      <c r="E144" s="3" t="s">
        <v>2360</v>
      </c>
      <c r="F144" s="3" t="s">
        <v>250</v>
      </c>
      <c r="G144" s="3" t="s">
        <v>27</v>
      </c>
      <c r="H144" s="3" t="s">
        <v>19</v>
      </c>
      <c r="I144" s="3">
        <v>224877</v>
      </c>
      <c r="J144" s="3">
        <v>24</v>
      </c>
      <c r="K144" s="3">
        <v>121175</v>
      </c>
      <c r="L144" s="3">
        <v>213280</v>
      </c>
      <c r="M144" s="3">
        <v>11</v>
      </c>
      <c r="N144" s="14">
        <v>7360.9929689999999</v>
      </c>
      <c r="O144" s="7">
        <f t="shared" si="18"/>
        <v>1.06725009671954E-2</v>
      </c>
      <c r="P144" s="14">
        <f t="shared" si="19"/>
        <v>306.708040375</v>
      </c>
      <c r="Q144" s="14">
        <f t="shared" si="20"/>
        <v>669.18117900000004</v>
      </c>
      <c r="R144" s="4">
        <f t="shared" si="21"/>
        <v>45.833333333333329</v>
      </c>
      <c r="S144" s="14">
        <f t="shared" si="22"/>
        <v>34.513282862903225</v>
      </c>
      <c r="T144" s="4">
        <f t="shared" si="23"/>
        <v>53.885012695829268</v>
      </c>
      <c r="U144" s="3">
        <f>LEN(A144) - LEN(SUBSTITUTE(A144,"&gt;","")) +1</f>
        <v>4</v>
      </c>
      <c r="V144" s="8">
        <f t="shared" si="24"/>
        <v>2.0381512263741215E-4</v>
      </c>
      <c r="W144" s="14">
        <f t="shared" si="25"/>
        <v>1840.24824225</v>
      </c>
      <c r="X144" s="4">
        <f t="shared" si="26"/>
        <v>7.3097736409856364E-4</v>
      </c>
    </row>
    <row r="145" spans="1:24" ht="14.25" customHeight="1" x14ac:dyDescent="0.2">
      <c r="A145" s="5" t="s">
        <v>1626</v>
      </c>
      <c r="B145" s="3" t="s">
        <v>24</v>
      </c>
      <c r="C145" s="3" t="s">
        <v>29</v>
      </c>
      <c r="D145" s="3" t="s">
        <v>2359</v>
      </c>
      <c r="E145" s="3" t="s">
        <v>2360</v>
      </c>
      <c r="F145" s="3" t="s">
        <v>107</v>
      </c>
      <c r="G145" s="3" t="s">
        <v>22</v>
      </c>
      <c r="H145" s="3" t="s">
        <v>163</v>
      </c>
      <c r="I145" s="3">
        <v>29323</v>
      </c>
      <c r="J145" s="3">
        <v>24</v>
      </c>
      <c r="K145" s="3">
        <v>13822</v>
      </c>
      <c r="L145" s="3">
        <v>26934</v>
      </c>
      <c r="M145" s="3">
        <v>9</v>
      </c>
      <c r="N145" s="14">
        <v>6096.045521</v>
      </c>
      <c r="O145" s="7">
        <f t="shared" si="18"/>
        <v>8.1847014289124581E-2</v>
      </c>
      <c r="P145" s="14">
        <f t="shared" si="19"/>
        <v>254.00189670833333</v>
      </c>
      <c r="Q145" s="14">
        <f t="shared" si="20"/>
        <v>677.33839122222219</v>
      </c>
      <c r="R145" s="4">
        <f t="shared" si="21"/>
        <v>37.5</v>
      </c>
      <c r="S145" s="14">
        <f t="shared" si="22"/>
        <v>226.3327215044182</v>
      </c>
      <c r="T145" s="4">
        <f t="shared" si="23"/>
        <v>47.137059646011664</v>
      </c>
      <c r="U145" s="3">
        <f>LEN(A145) - LEN(SUBSTITUTE(A145,"&gt;","")) +1</f>
        <v>6</v>
      </c>
      <c r="V145" s="8">
        <f t="shared" si="24"/>
        <v>1.2788595982675716E-3</v>
      </c>
      <c r="W145" s="14">
        <f t="shared" si="25"/>
        <v>1016.0075868333333</v>
      </c>
      <c r="X145" s="4">
        <f t="shared" si="26"/>
        <v>4.5313584400610233E-3</v>
      </c>
    </row>
    <row r="146" spans="1:24" ht="14.25" customHeight="1" x14ac:dyDescent="0.2">
      <c r="A146" s="5" t="s">
        <v>252</v>
      </c>
      <c r="B146" s="3" t="s">
        <v>24</v>
      </c>
      <c r="C146" s="3" t="s">
        <v>32</v>
      </c>
      <c r="D146" s="3" t="s">
        <v>2353</v>
      </c>
      <c r="E146" s="3" t="s">
        <v>2354</v>
      </c>
      <c r="F146" s="3" t="s">
        <v>161</v>
      </c>
      <c r="G146" s="3" t="s">
        <v>22</v>
      </c>
      <c r="H146" s="3" t="s">
        <v>19</v>
      </c>
      <c r="I146" s="3">
        <v>16503</v>
      </c>
      <c r="J146" s="3">
        <v>24</v>
      </c>
      <c r="K146" s="3">
        <v>8595</v>
      </c>
      <c r="L146" s="3">
        <v>14466</v>
      </c>
      <c r="M146" s="3">
        <v>7</v>
      </c>
      <c r="N146" s="14">
        <v>5714.5238669999999</v>
      </c>
      <c r="O146" s="7">
        <f t="shared" si="18"/>
        <v>0.14542810398109435</v>
      </c>
      <c r="P146" s="14">
        <f t="shared" si="19"/>
        <v>238.105161125</v>
      </c>
      <c r="Q146" s="14">
        <f t="shared" si="20"/>
        <v>816.3605524285714</v>
      </c>
      <c r="R146" s="4">
        <f t="shared" si="21"/>
        <v>29.166666666666668</v>
      </c>
      <c r="S146" s="14">
        <f t="shared" si="22"/>
        <v>395.03137474077141</v>
      </c>
      <c r="T146" s="4">
        <f t="shared" si="23"/>
        <v>52.08143973822942</v>
      </c>
      <c r="U146" s="3">
        <f>LEN(A146) - LEN(SUBSTITUTE(A146,"&gt;","")) +1</f>
        <v>4</v>
      </c>
      <c r="V146" s="8">
        <f t="shared" si="24"/>
        <v>1.7673554303257995E-3</v>
      </c>
      <c r="W146" s="14">
        <f t="shared" si="25"/>
        <v>1428.63096675</v>
      </c>
      <c r="X146" s="4">
        <f t="shared" si="26"/>
        <v>5.1958084208791411E-3</v>
      </c>
    </row>
    <row r="147" spans="1:24" ht="14.25" customHeight="1" x14ac:dyDescent="0.2">
      <c r="A147" s="5" t="s">
        <v>1627</v>
      </c>
      <c r="B147" s="3" t="s">
        <v>24</v>
      </c>
      <c r="C147" s="3" t="s">
        <v>29</v>
      </c>
      <c r="D147" s="3" t="s">
        <v>2349</v>
      </c>
      <c r="E147" s="3" t="s">
        <v>2350</v>
      </c>
      <c r="F147" s="3" t="s">
        <v>132</v>
      </c>
      <c r="G147" s="3" t="s">
        <v>41</v>
      </c>
      <c r="H147" s="3" t="s">
        <v>114</v>
      </c>
      <c r="I147" s="3">
        <v>95644</v>
      </c>
      <c r="J147" s="3">
        <v>24</v>
      </c>
      <c r="K147" s="3">
        <v>13294</v>
      </c>
      <c r="L147" s="3">
        <v>86775</v>
      </c>
      <c r="M147" s="3">
        <v>1</v>
      </c>
      <c r="N147" s="14">
        <v>5587.7636750000001</v>
      </c>
      <c r="O147" s="7">
        <f t="shared" si="18"/>
        <v>2.5093053406381998E-2</v>
      </c>
      <c r="P147" s="14">
        <f t="shared" si="19"/>
        <v>232.82348645833335</v>
      </c>
      <c r="Q147" s="14">
        <f t="shared" si="20"/>
        <v>5587.7636750000001</v>
      </c>
      <c r="R147" s="4">
        <f t="shared" si="21"/>
        <v>4.1666666666666661</v>
      </c>
      <c r="S147" s="14">
        <f t="shared" si="22"/>
        <v>64.393704119850199</v>
      </c>
      <c r="T147" s="4">
        <f t="shared" si="23"/>
        <v>13.899460499351763</v>
      </c>
      <c r="U147" s="3">
        <f>LEN(A147) - LEN(SUBSTITUTE(A147,"&gt;","")) +1</f>
        <v>5</v>
      </c>
      <c r="V147" s="8">
        <f t="shared" si="24"/>
        <v>4.3564328830524298E-5</v>
      </c>
      <c r="W147" s="14">
        <f t="shared" si="25"/>
        <v>1117.552735</v>
      </c>
      <c r="X147" s="4">
        <f t="shared" si="26"/>
        <v>1.8711311944175648E-5</v>
      </c>
    </row>
    <row r="148" spans="1:24" ht="14.25" customHeight="1" x14ac:dyDescent="0.2">
      <c r="A148" s="5" t="s">
        <v>1628</v>
      </c>
      <c r="B148" s="3" t="s">
        <v>14</v>
      </c>
      <c r="C148" s="3" t="s">
        <v>15</v>
      </c>
      <c r="D148" s="3" t="s">
        <v>2349</v>
      </c>
      <c r="E148" s="3" t="s">
        <v>2350</v>
      </c>
      <c r="F148" s="3" t="s">
        <v>57</v>
      </c>
      <c r="G148" s="3" t="s">
        <v>197</v>
      </c>
      <c r="H148" s="3" t="s">
        <v>19</v>
      </c>
      <c r="I148" s="3">
        <v>760502</v>
      </c>
      <c r="J148" s="3">
        <v>24</v>
      </c>
      <c r="K148" s="3">
        <v>326721</v>
      </c>
      <c r="L148" s="3">
        <v>700814</v>
      </c>
      <c r="M148" s="3">
        <v>17</v>
      </c>
      <c r="N148" s="14">
        <v>5179.0415320000002</v>
      </c>
      <c r="O148" s="7">
        <f t="shared" si="18"/>
        <v>3.1558102411302007E-3</v>
      </c>
      <c r="P148" s="14">
        <f t="shared" si="19"/>
        <v>215.79339716666667</v>
      </c>
      <c r="Q148" s="14">
        <f t="shared" si="20"/>
        <v>304.64950188235298</v>
      </c>
      <c r="R148" s="4">
        <f t="shared" si="21"/>
        <v>70.833333333333343</v>
      </c>
      <c r="S148" s="14">
        <f t="shared" si="22"/>
        <v>7.3900372024531471</v>
      </c>
      <c r="T148" s="4">
        <f t="shared" si="23"/>
        <v>42.96122824134585</v>
      </c>
      <c r="U148" s="3">
        <f>LEN(A148) - LEN(SUBSTITUTE(A148,"&gt;","")) +1</f>
        <v>5</v>
      </c>
      <c r="V148" s="8">
        <f t="shared" si="24"/>
        <v>9.3140232811134418E-5</v>
      </c>
      <c r="W148" s="14">
        <f t="shared" si="25"/>
        <v>1035.8083064</v>
      </c>
      <c r="X148" s="4">
        <f t="shared" si="26"/>
        <v>7.3374995647636427E-4</v>
      </c>
    </row>
    <row r="149" spans="1:24" ht="14.25" customHeight="1" x14ac:dyDescent="0.2">
      <c r="A149" s="5" t="s">
        <v>1629</v>
      </c>
      <c r="B149" s="3" t="s">
        <v>24</v>
      </c>
      <c r="C149" s="3" t="s">
        <v>29</v>
      </c>
      <c r="D149" s="3" t="s">
        <v>2353</v>
      </c>
      <c r="E149" s="3" t="s">
        <v>2354</v>
      </c>
      <c r="F149" s="3" t="s">
        <v>132</v>
      </c>
      <c r="G149" s="3" t="s">
        <v>27</v>
      </c>
      <c r="H149" s="3" t="s">
        <v>114</v>
      </c>
      <c r="I149" s="3">
        <v>65238</v>
      </c>
      <c r="J149" s="3">
        <v>24</v>
      </c>
      <c r="K149" s="3">
        <v>23741</v>
      </c>
      <c r="L149" s="3">
        <v>59893</v>
      </c>
      <c r="M149" s="3">
        <v>15</v>
      </c>
      <c r="N149" s="14">
        <v>3132.519209</v>
      </c>
      <c r="O149" s="7">
        <f t="shared" si="18"/>
        <v>3.6788374873539961E-2</v>
      </c>
      <c r="P149" s="14">
        <f t="shared" si="19"/>
        <v>130.52163370833333</v>
      </c>
      <c r="Q149" s="14">
        <f t="shared" si="20"/>
        <v>208.83461393333334</v>
      </c>
      <c r="R149" s="4">
        <f t="shared" si="21"/>
        <v>62.5</v>
      </c>
      <c r="S149" s="14">
        <f t="shared" si="22"/>
        <v>52.301925250029221</v>
      </c>
      <c r="T149" s="4">
        <f t="shared" si="23"/>
        <v>36.391366994696348</v>
      </c>
      <c r="U149" s="3">
        <f>LEN(A149) - LEN(SUBSTITUTE(A149,"&gt;","")) +1</f>
        <v>6</v>
      </c>
      <c r="V149" s="8">
        <f t="shared" si="24"/>
        <v>9.5803059566510319E-4</v>
      </c>
      <c r="W149" s="14">
        <f t="shared" si="25"/>
        <v>522.0865348333333</v>
      </c>
      <c r="X149" s="4">
        <f t="shared" si="26"/>
        <v>1.101002073502168E-2</v>
      </c>
    </row>
    <row r="150" spans="1:24" ht="14.25" customHeight="1" x14ac:dyDescent="0.2">
      <c r="A150" s="5" t="s">
        <v>1630</v>
      </c>
      <c r="B150" s="3" t="s">
        <v>14</v>
      </c>
      <c r="C150" s="3" t="s">
        <v>29</v>
      </c>
      <c r="D150" s="3" t="s">
        <v>2363</v>
      </c>
      <c r="E150" s="3" t="s">
        <v>2358</v>
      </c>
      <c r="F150" s="3" t="s">
        <v>250</v>
      </c>
      <c r="G150" s="3" t="s">
        <v>22</v>
      </c>
      <c r="H150" s="3" t="s">
        <v>19</v>
      </c>
      <c r="I150" s="3">
        <v>64577</v>
      </c>
      <c r="J150" s="3">
        <v>24</v>
      </c>
      <c r="K150" s="3">
        <v>37732</v>
      </c>
      <c r="L150" s="3">
        <v>60357</v>
      </c>
      <c r="M150" s="3">
        <v>11</v>
      </c>
      <c r="N150" s="14">
        <v>1801.3491309999999</v>
      </c>
      <c r="O150" s="7">
        <f t="shared" si="18"/>
        <v>3.7164934883937004E-2</v>
      </c>
      <c r="P150" s="14">
        <f t="shared" si="19"/>
        <v>75.056213791666664</v>
      </c>
      <c r="Q150" s="14">
        <f t="shared" si="20"/>
        <v>163.7590119090909</v>
      </c>
      <c r="R150" s="4">
        <f t="shared" si="21"/>
        <v>45.833333333333329</v>
      </c>
      <c r="S150" s="14">
        <f t="shared" si="22"/>
        <v>29.844908312209022</v>
      </c>
      <c r="T150" s="4">
        <f t="shared" si="23"/>
        <v>58.429471793362964</v>
      </c>
      <c r="U150" s="3">
        <f>LEN(A150) - LEN(SUBSTITUTE(A150,"&gt;","")) +1</f>
        <v>4</v>
      </c>
      <c r="V150" s="8">
        <f t="shared" si="24"/>
        <v>7.0974702035296361E-4</v>
      </c>
      <c r="W150" s="14">
        <f t="shared" si="25"/>
        <v>450.33728274999999</v>
      </c>
      <c r="X150" s="4">
        <f t="shared" si="26"/>
        <v>1.0401826616984799E-2</v>
      </c>
    </row>
    <row r="151" spans="1:24" ht="14.25" customHeight="1" x14ac:dyDescent="0.2">
      <c r="A151" s="5" t="s">
        <v>1631</v>
      </c>
      <c r="B151" s="3" t="s">
        <v>24</v>
      </c>
      <c r="C151" s="3" t="s">
        <v>29</v>
      </c>
      <c r="D151" s="3" t="s">
        <v>2349</v>
      </c>
      <c r="E151" s="3" t="s">
        <v>2350</v>
      </c>
      <c r="F151" s="3" t="s">
        <v>46</v>
      </c>
      <c r="G151" s="3" t="s">
        <v>27</v>
      </c>
      <c r="H151" s="3" t="s">
        <v>163</v>
      </c>
      <c r="I151" s="3">
        <v>50183</v>
      </c>
      <c r="J151" s="3">
        <v>24</v>
      </c>
      <c r="K151" s="3">
        <v>41506</v>
      </c>
      <c r="L151" s="3">
        <v>46163</v>
      </c>
      <c r="M151" s="3">
        <v>15</v>
      </c>
      <c r="N151" s="14">
        <v>1628.8828129999999</v>
      </c>
      <c r="O151" s="7">
        <f t="shared" si="18"/>
        <v>4.7824960644042805E-2</v>
      </c>
      <c r="P151" s="14">
        <f t="shared" si="19"/>
        <v>67.870117208333326</v>
      </c>
      <c r="Q151" s="14">
        <f t="shared" si="20"/>
        <v>108.59218753333333</v>
      </c>
      <c r="R151" s="4">
        <f t="shared" si="21"/>
        <v>62.5</v>
      </c>
      <c r="S151" s="14">
        <f t="shared" si="22"/>
        <v>35.285462664904792</v>
      </c>
      <c r="T151" s="4">
        <f t="shared" si="23"/>
        <v>82.709284020485029</v>
      </c>
      <c r="U151" s="3">
        <f>LEN(A151) - LEN(SUBSTITUTE(A151,"&gt;","")) +1</f>
        <v>4</v>
      </c>
      <c r="V151" s="8">
        <f t="shared" si="24"/>
        <v>1.2454416834386146E-3</v>
      </c>
      <c r="W151" s="14">
        <f t="shared" si="25"/>
        <v>407.22070324999999</v>
      </c>
      <c r="X151" s="4">
        <f t="shared" si="26"/>
        <v>2.7525553247881269E-2</v>
      </c>
    </row>
    <row r="152" spans="1:24" ht="14.25" customHeight="1" x14ac:dyDescent="0.2">
      <c r="A152" s="5" t="s">
        <v>1632</v>
      </c>
      <c r="B152" s="3" t="s">
        <v>24</v>
      </c>
      <c r="C152" s="3" t="s">
        <v>29</v>
      </c>
      <c r="D152" s="3" t="s">
        <v>2368</v>
      </c>
      <c r="E152" s="3" t="s">
        <v>2352</v>
      </c>
      <c r="F152" s="3" t="s">
        <v>119</v>
      </c>
      <c r="G152" s="3" t="s">
        <v>38</v>
      </c>
      <c r="H152" s="3" t="s">
        <v>19</v>
      </c>
      <c r="I152" s="3">
        <v>188170</v>
      </c>
      <c r="J152" s="3">
        <v>24</v>
      </c>
      <c r="K152" s="3">
        <v>155266</v>
      </c>
      <c r="L152" s="3">
        <v>176562</v>
      </c>
      <c r="M152" s="3">
        <v>6</v>
      </c>
      <c r="N152" s="14">
        <v>1599.7150690000001</v>
      </c>
      <c r="O152" s="7">
        <f t="shared" si="18"/>
        <v>1.2754424190891215E-2</v>
      </c>
      <c r="P152" s="14">
        <f t="shared" si="19"/>
        <v>66.654794541666675</v>
      </c>
      <c r="Q152" s="14">
        <f t="shared" si="20"/>
        <v>266.6191781666667</v>
      </c>
      <c r="R152" s="4">
        <f t="shared" si="21"/>
        <v>25</v>
      </c>
      <c r="S152" s="14">
        <f t="shared" si="22"/>
        <v>9.0603587918125097</v>
      </c>
      <c r="T152" s="4">
        <f t="shared" si="23"/>
        <v>82.513684434288152</v>
      </c>
      <c r="U152" s="3">
        <f>LEN(A152) - LEN(SUBSTITUTE(A152,"&gt;","")) +1</f>
        <v>4</v>
      </c>
      <c r="V152" s="8">
        <f t="shared" si="24"/>
        <v>1.3285858532178349E-4</v>
      </c>
      <c r="W152" s="14">
        <f t="shared" si="25"/>
        <v>399.92876725000002</v>
      </c>
      <c r="X152" s="4">
        <f t="shared" si="26"/>
        <v>1.195940243176944E-3</v>
      </c>
    </row>
    <row r="153" spans="1:24" ht="14.25" customHeight="1" x14ac:dyDescent="0.2">
      <c r="A153" s="5" t="s">
        <v>1633</v>
      </c>
      <c r="B153" s="3" t="s">
        <v>24</v>
      </c>
      <c r="C153" s="3" t="s">
        <v>35</v>
      </c>
      <c r="D153" s="3" t="s">
        <v>2349</v>
      </c>
      <c r="E153" s="3" t="s">
        <v>2350</v>
      </c>
      <c r="F153" s="3" t="s">
        <v>260</v>
      </c>
      <c r="G153" s="3" t="s">
        <v>22</v>
      </c>
      <c r="H153" s="3" t="s">
        <v>114</v>
      </c>
      <c r="I153" s="3">
        <v>99205</v>
      </c>
      <c r="J153" s="3">
        <v>23</v>
      </c>
      <c r="K153" s="3">
        <v>49240</v>
      </c>
      <c r="L153" s="3">
        <v>72687</v>
      </c>
      <c r="M153" s="3">
        <v>21</v>
      </c>
      <c r="N153" s="14">
        <v>6185.0024860000003</v>
      </c>
      <c r="O153" s="7">
        <f t="shared" si="18"/>
        <v>2.3184315306688172E-2</v>
      </c>
      <c r="P153" s="14">
        <f t="shared" si="19"/>
        <v>268.91315156521739</v>
      </c>
      <c r="Q153" s="14">
        <f t="shared" si="20"/>
        <v>294.52392790476193</v>
      </c>
      <c r="R153" s="4">
        <f t="shared" si="21"/>
        <v>91.304347826086953</v>
      </c>
      <c r="S153" s="14">
        <f t="shared" si="22"/>
        <v>85.090903270185862</v>
      </c>
      <c r="T153" s="4">
        <f t="shared" si="23"/>
        <v>49.634595030492413</v>
      </c>
      <c r="U153" s="3">
        <f>LEN(A153) - LEN(SUBSTITUTE(A153,"&gt;","")) +1</f>
        <v>6</v>
      </c>
      <c r="V153" s="8">
        <f t="shared" si="24"/>
        <v>9.2036034298762111E-4</v>
      </c>
      <c r="W153" s="14">
        <f t="shared" si="25"/>
        <v>1030.8337476666668</v>
      </c>
      <c r="X153" s="4">
        <f t="shared" si="26"/>
        <v>7.1872896845109032E-3</v>
      </c>
    </row>
    <row r="154" spans="1:24" ht="14.25" customHeight="1" x14ac:dyDescent="0.2">
      <c r="A154" s="5" t="s">
        <v>1634</v>
      </c>
      <c r="B154" s="3" t="s">
        <v>14</v>
      </c>
      <c r="C154" s="3" t="s">
        <v>15</v>
      </c>
      <c r="D154" s="3" t="s">
        <v>2353</v>
      </c>
      <c r="E154" s="3" t="s">
        <v>2354</v>
      </c>
      <c r="F154" s="3" t="s">
        <v>96</v>
      </c>
      <c r="G154" s="3" t="s">
        <v>33</v>
      </c>
      <c r="H154" s="3" t="s">
        <v>19</v>
      </c>
      <c r="I154" s="3">
        <v>47016</v>
      </c>
      <c r="J154" s="3">
        <v>23</v>
      </c>
      <c r="K154" s="3">
        <v>12210</v>
      </c>
      <c r="L154" s="3">
        <v>38039</v>
      </c>
      <c r="M154" s="3">
        <v>13</v>
      </c>
      <c r="N154" s="14">
        <v>5974.8750799999998</v>
      </c>
      <c r="O154" s="7">
        <f t="shared" si="18"/>
        <v>4.8919516760251837E-2</v>
      </c>
      <c r="P154" s="14">
        <f t="shared" si="19"/>
        <v>259.77717739130435</v>
      </c>
      <c r="Q154" s="14">
        <f t="shared" si="20"/>
        <v>459.60577538461536</v>
      </c>
      <c r="R154" s="4">
        <f t="shared" si="21"/>
        <v>56.521739130434781</v>
      </c>
      <c r="S154" s="14">
        <f t="shared" si="22"/>
        <v>157.0723489050711</v>
      </c>
      <c r="T154" s="4">
        <f t="shared" si="23"/>
        <v>25.969882593159777</v>
      </c>
      <c r="U154" s="3">
        <f>LEN(A154) - LEN(SUBSTITUTE(A154,"&gt;","")) +1</f>
        <v>5</v>
      </c>
      <c r="V154" s="8">
        <f t="shared" si="24"/>
        <v>1.2021809411782113E-3</v>
      </c>
      <c r="W154" s="14">
        <f t="shared" si="25"/>
        <v>1194.9750159999999</v>
      </c>
      <c r="X154" s="4">
        <f t="shared" si="26"/>
        <v>6.016060530127188E-3</v>
      </c>
    </row>
    <row r="155" spans="1:24" ht="14.25" customHeight="1" x14ac:dyDescent="0.2">
      <c r="A155" s="5" t="s">
        <v>1635</v>
      </c>
      <c r="B155" s="3" t="s">
        <v>14</v>
      </c>
      <c r="C155" s="3" t="s">
        <v>35</v>
      </c>
      <c r="D155" s="3" t="s">
        <v>2363</v>
      </c>
      <c r="E155" s="3" t="s">
        <v>2358</v>
      </c>
      <c r="F155" s="3" t="s">
        <v>263</v>
      </c>
      <c r="G155" s="3" t="s">
        <v>27</v>
      </c>
      <c r="H155" s="3" t="s">
        <v>19</v>
      </c>
      <c r="I155" s="3">
        <v>48947</v>
      </c>
      <c r="J155" s="3">
        <v>23</v>
      </c>
      <c r="K155" s="3">
        <v>32089</v>
      </c>
      <c r="L155" s="3">
        <v>45597</v>
      </c>
      <c r="M155" s="3">
        <v>21</v>
      </c>
      <c r="N155" s="14">
        <v>5702.2902649999996</v>
      </c>
      <c r="O155" s="7">
        <f t="shared" si="18"/>
        <v>4.6989600996996755E-2</v>
      </c>
      <c r="P155" s="14">
        <f t="shared" si="19"/>
        <v>247.92566369565216</v>
      </c>
      <c r="Q155" s="14">
        <f t="shared" si="20"/>
        <v>271.53763166666664</v>
      </c>
      <c r="R155" s="4">
        <f t="shared" si="21"/>
        <v>91.304347826086953</v>
      </c>
      <c r="S155" s="14">
        <f t="shared" si="22"/>
        <v>125.05845263942803</v>
      </c>
      <c r="T155" s="4">
        <f t="shared" si="23"/>
        <v>65.558665495331681</v>
      </c>
      <c r="U155" s="3">
        <f>LEN(A155) - LEN(SUBSTITUTE(A155,"&gt;","")) +1</f>
        <v>5</v>
      </c>
      <c r="V155" s="8">
        <f t="shared" si="24"/>
        <v>1.8653716841907973E-3</v>
      </c>
      <c r="W155" s="14">
        <f t="shared" si="25"/>
        <v>1140.4580529999998</v>
      </c>
      <c r="X155" s="4">
        <f t="shared" si="26"/>
        <v>1.5800222044013313E-2</v>
      </c>
    </row>
    <row r="156" spans="1:24" ht="14.25" customHeight="1" x14ac:dyDescent="0.2">
      <c r="A156" s="5" t="s">
        <v>1636</v>
      </c>
      <c r="B156" s="3" t="s">
        <v>24</v>
      </c>
      <c r="C156" s="3" t="s">
        <v>15</v>
      </c>
      <c r="D156" s="3" t="s">
        <v>2349</v>
      </c>
      <c r="E156" s="3" t="s">
        <v>2350</v>
      </c>
      <c r="F156" s="3" t="s">
        <v>79</v>
      </c>
      <c r="G156" s="3" t="s">
        <v>27</v>
      </c>
      <c r="H156" s="3" t="s">
        <v>19</v>
      </c>
      <c r="I156" s="3">
        <v>198163</v>
      </c>
      <c r="J156" s="3">
        <v>23</v>
      </c>
      <c r="K156" s="3">
        <v>76695</v>
      </c>
      <c r="L156" s="3">
        <v>183585</v>
      </c>
      <c r="M156" s="3">
        <v>31</v>
      </c>
      <c r="N156" s="14">
        <v>5204.313768</v>
      </c>
      <c r="O156" s="7">
        <f t="shared" si="18"/>
        <v>1.1606606682377637E-2</v>
      </c>
      <c r="P156" s="14">
        <f t="shared" si="19"/>
        <v>226.27451165217391</v>
      </c>
      <c r="Q156" s="14">
        <f t="shared" si="20"/>
        <v>167.88108929032259</v>
      </c>
      <c r="R156" s="4">
        <f t="shared" si="21"/>
        <v>134.78260869565219</v>
      </c>
      <c r="S156" s="14">
        <f t="shared" si="22"/>
        <v>28.348251589182119</v>
      </c>
      <c r="T156" s="4">
        <f t="shared" si="23"/>
        <v>38.702986934997959</v>
      </c>
      <c r="U156" s="3">
        <f>LEN(A156) - LEN(SUBSTITUTE(A156,"&gt;","")) +1</f>
        <v>5</v>
      </c>
      <c r="V156" s="8">
        <f t="shared" si="24"/>
        <v>6.8016031598054226E-4</v>
      </c>
      <c r="W156" s="14">
        <f t="shared" si="25"/>
        <v>1040.8627535999999</v>
      </c>
      <c r="X156" s="4">
        <f t="shared" si="26"/>
        <v>9.3183141315573061E-3</v>
      </c>
    </row>
    <row r="157" spans="1:24" ht="14.25" customHeight="1" x14ac:dyDescent="0.2">
      <c r="A157" s="5" t="s">
        <v>1637</v>
      </c>
      <c r="B157" s="3" t="s">
        <v>24</v>
      </c>
      <c r="C157" s="3" t="s">
        <v>32</v>
      </c>
      <c r="D157" s="3" t="s">
        <v>2368</v>
      </c>
      <c r="E157" s="3" t="s">
        <v>2352</v>
      </c>
      <c r="F157" s="3" t="s">
        <v>266</v>
      </c>
      <c r="G157" s="3" t="s">
        <v>41</v>
      </c>
      <c r="H157" s="3" t="s">
        <v>19</v>
      </c>
      <c r="I157" s="3">
        <v>121991</v>
      </c>
      <c r="J157" s="3">
        <v>23</v>
      </c>
      <c r="K157" s="3">
        <v>43079</v>
      </c>
      <c r="L157" s="3">
        <v>99312</v>
      </c>
      <c r="M157" s="3">
        <v>4</v>
      </c>
      <c r="N157" s="14">
        <v>3993.2145850000002</v>
      </c>
      <c r="O157" s="7">
        <f t="shared" si="18"/>
        <v>1.8853849874171043E-2</v>
      </c>
      <c r="P157" s="14">
        <f t="shared" si="19"/>
        <v>173.61802543478262</v>
      </c>
      <c r="Q157" s="14">
        <f t="shared" si="20"/>
        <v>998.30364625000004</v>
      </c>
      <c r="R157" s="4">
        <f t="shared" si="21"/>
        <v>17.391304347826086</v>
      </c>
      <c r="S157" s="14">
        <f t="shared" si="22"/>
        <v>40.208782272031577</v>
      </c>
      <c r="T157" s="4">
        <f t="shared" si="23"/>
        <v>35.313260814322369</v>
      </c>
      <c r="U157" s="3">
        <f>LEN(A157) - LEN(SUBSTITUTE(A157,"&gt;","")) +1</f>
        <v>5</v>
      </c>
      <c r="V157" s="8">
        <f t="shared" si="24"/>
        <v>1.4256219186518747E-4</v>
      </c>
      <c r="W157" s="14">
        <f t="shared" si="25"/>
        <v>798.64291700000001</v>
      </c>
      <c r="X157" s="4">
        <f t="shared" si="26"/>
        <v>3.2845020903371377E-4</v>
      </c>
    </row>
    <row r="158" spans="1:24" ht="14.25" customHeight="1" x14ac:dyDescent="0.2">
      <c r="A158" s="5" t="s">
        <v>1638</v>
      </c>
      <c r="B158" s="3" t="s">
        <v>14</v>
      </c>
      <c r="C158" s="3" t="s">
        <v>35</v>
      </c>
      <c r="D158" s="3" t="s">
        <v>2353</v>
      </c>
      <c r="E158" s="3" t="s">
        <v>2354</v>
      </c>
      <c r="F158" s="3" t="s">
        <v>79</v>
      </c>
      <c r="G158" s="3" t="s">
        <v>64</v>
      </c>
      <c r="H158" s="3" t="s">
        <v>19</v>
      </c>
      <c r="I158" s="3">
        <v>194833</v>
      </c>
      <c r="J158" s="3">
        <v>23</v>
      </c>
      <c r="K158" s="3">
        <v>29091</v>
      </c>
      <c r="L158" s="3">
        <v>143813</v>
      </c>
      <c r="M158" s="3">
        <v>4</v>
      </c>
      <c r="N158" s="14">
        <v>1586.314519</v>
      </c>
      <c r="O158" s="7">
        <f t="shared" si="18"/>
        <v>1.1804981702278361E-2</v>
      </c>
      <c r="P158" s="14">
        <f t="shared" si="19"/>
        <v>68.970196478260874</v>
      </c>
      <c r="Q158" s="14">
        <f t="shared" si="20"/>
        <v>396.57862975</v>
      </c>
      <c r="R158" s="4">
        <f t="shared" si="21"/>
        <v>17.391304347826086</v>
      </c>
      <c r="S158" s="14">
        <f t="shared" si="22"/>
        <v>11.03039724503348</v>
      </c>
      <c r="T158" s="4">
        <f t="shared" si="23"/>
        <v>14.931248813086079</v>
      </c>
      <c r="U158" s="3">
        <f>LEN(A158) - LEN(SUBSTITUTE(A158,"&gt;","")) +1</f>
        <v>3</v>
      </c>
      <c r="V158" s="8">
        <f t="shared" si="24"/>
        <v>8.9262621567322203E-5</v>
      </c>
      <c r="W158" s="14">
        <f t="shared" si="25"/>
        <v>528.77150633333338</v>
      </c>
      <c r="X158" s="4">
        <f t="shared" si="26"/>
        <v>5.1768808050565681E-4</v>
      </c>
    </row>
    <row r="159" spans="1:24" ht="14.25" customHeight="1" x14ac:dyDescent="0.2">
      <c r="A159" s="5" t="s">
        <v>1639</v>
      </c>
      <c r="B159" s="3" t="s">
        <v>24</v>
      </c>
      <c r="C159" s="3" t="s">
        <v>15</v>
      </c>
      <c r="D159" s="3" t="s">
        <v>2359</v>
      </c>
      <c r="E159" s="3" t="s">
        <v>2360</v>
      </c>
      <c r="F159" s="3" t="s">
        <v>269</v>
      </c>
      <c r="G159" s="3" t="s">
        <v>22</v>
      </c>
      <c r="H159" s="3" t="s">
        <v>19</v>
      </c>
      <c r="I159" s="3">
        <v>37355</v>
      </c>
      <c r="J159" s="3">
        <v>23</v>
      </c>
      <c r="K159" s="3">
        <v>17138</v>
      </c>
      <c r="L159" s="3">
        <v>35689</v>
      </c>
      <c r="M159" s="3">
        <v>3</v>
      </c>
      <c r="N159" s="14">
        <v>1577.366086</v>
      </c>
      <c r="O159" s="7">
        <f t="shared" si="18"/>
        <v>6.1571409449872848E-2</v>
      </c>
      <c r="P159" s="14">
        <f t="shared" si="19"/>
        <v>68.581134173913043</v>
      </c>
      <c r="Q159" s="14">
        <f t="shared" si="20"/>
        <v>525.78869533333329</v>
      </c>
      <c r="R159" s="4">
        <f t="shared" si="21"/>
        <v>13.043478260869565</v>
      </c>
      <c r="S159" s="14">
        <f t="shared" si="22"/>
        <v>44.197542267925691</v>
      </c>
      <c r="T159" s="4">
        <f t="shared" si="23"/>
        <v>45.878731093561768</v>
      </c>
      <c r="U159" s="3">
        <f>LEN(A159) - LEN(SUBSTITUTE(A159,"&gt;","")) +1</f>
        <v>3</v>
      </c>
      <c r="V159" s="8">
        <f t="shared" si="24"/>
        <v>3.4917623506544143E-4</v>
      </c>
      <c r="W159" s="14">
        <f t="shared" si="25"/>
        <v>525.78869533333329</v>
      </c>
      <c r="X159" s="4">
        <f t="shared" si="26"/>
        <v>1.5274298359369862E-3</v>
      </c>
    </row>
    <row r="160" spans="1:24" ht="14.25" customHeight="1" x14ac:dyDescent="0.2">
      <c r="A160" s="5" t="s">
        <v>270</v>
      </c>
      <c r="B160" s="3" t="s">
        <v>14</v>
      </c>
      <c r="C160" s="3" t="s">
        <v>35</v>
      </c>
      <c r="D160" s="3" t="s">
        <v>2368</v>
      </c>
      <c r="E160" s="3" t="s">
        <v>2352</v>
      </c>
      <c r="F160" s="3" t="s">
        <v>271</v>
      </c>
      <c r="G160" s="3" t="s">
        <v>27</v>
      </c>
      <c r="H160" s="3" t="s">
        <v>19</v>
      </c>
      <c r="I160" s="3">
        <v>9709</v>
      </c>
      <c r="J160" s="3">
        <v>22</v>
      </c>
      <c r="K160" s="3">
        <v>3339</v>
      </c>
      <c r="L160" s="3">
        <v>7891</v>
      </c>
      <c r="M160" s="3">
        <v>3</v>
      </c>
      <c r="N160" s="14">
        <v>6994.0853530000004</v>
      </c>
      <c r="O160" s="7">
        <f t="shared" si="18"/>
        <v>0.22659388196518693</v>
      </c>
      <c r="P160" s="14">
        <f t="shared" si="19"/>
        <v>317.91297059090908</v>
      </c>
      <c r="Q160" s="14">
        <f t="shared" si="20"/>
        <v>2331.3617843333336</v>
      </c>
      <c r="R160" s="4">
        <f t="shared" si="21"/>
        <v>13.636363636363635</v>
      </c>
      <c r="S160" s="14">
        <f t="shared" si="22"/>
        <v>886.33701089849205</v>
      </c>
      <c r="T160" s="4">
        <f t="shared" si="23"/>
        <v>34.39077144917087</v>
      </c>
      <c r="U160" s="3">
        <f>LEN(A160) - LEN(SUBSTITUTE(A160,"&gt;","")) +1</f>
        <v>4</v>
      </c>
      <c r="V160" s="8">
        <f t="shared" si="24"/>
        <v>1.4045075328420677E-3</v>
      </c>
      <c r="W160" s="14">
        <f t="shared" si="25"/>
        <v>1748.5213382500001</v>
      </c>
      <c r="X160" s="4">
        <f t="shared" si="26"/>
        <v>1.3253698302068239E-3</v>
      </c>
    </row>
    <row r="161" spans="1:24" ht="14.25" customHeight="1" x14ac:dyDescent="0.2">
      <c r="A161" s="5" t="s">
        <v>1640</v>
      </c>
      <c r="B161" s="3" t="s">
        <v>14</v>
      </c>
      <c r="C161" s="3" t="s">
        <v>32</v>
      </c>
      <c r="D161" s="3" t="s">
        <v>2382</v>
      </c>
      <c r="E161" s="3" t="s">
        <v>2356</v>
      </c>
      <c r="F161" s="3" t="s">
        <v>159</v>
      </c>
      <c r="G161" s="3" t="s">
        <v>27</v>
      </c>
      <c r="H161" s="3" t="s">
        <v>19</v>
      </c>
      <c r="I161" s="3">
        <v>111884</v>
      </c>
      <c r="J161" s="3">
        <v>22</v>
      </c>
      <c r="K161" s="3">
        <v>53017</v>
      </c>
      <c r="L161" s="3">
        <v>106432</v>
      </c>
      <c r="M161" s="3">
        <v>7</v>
      </c>
      <c r="N161" s="14">
        <v>1786.1051219999999</v>
      </c>
      <c r="O161" s="7">
        <f t="shared" si="18"/>
        <v>1.9663222623431412E-2</v>
      </c>
      <c r="P161" s="14">
        <f t="shared" si="19"/>
        <v>81.186596454545452</v>
      </c>
      <c r="Q161" s="14">
        <f t="shared" si="20"/>
        <v>255.15787457142855</v>
      </c>
      <c r="R161" s="4">
        <f t="shared" si="21"/>
        <v>31.818181818181817</v>
      </c>
      <c r="S161" s="14">
        <f t="shared" si="22"/>
        <v>16.781655160102222</v>
      </c>
      <c r="T161" s="4">
        <f t="shared" si="23"/>
        <v>47.385685173930142</v>
      </c>
      <c r="U161" s="3">
        <f>LEN(A161) - LEN(SUBSTITUTE(A161,"&gt;","")) +1</f>
        <v>3</v>
      </c>
      <c r="V161" s="8">
        <f t="shared" si="24"/>
        <v>2.8438545116533031E-4</v>
      </c>
      <c r="W161" s="14">
        <f t="shared" si="25"/>
        <v>595.36837400000002</v>
      </c>
      <c r="X161" s="4">
        <f t="shared" si="26"/>
        <v>2.4520034649707966E-3</v>
      </c>
    </row>
    <row r="162" spans="1:24" ht="14.25" customHeight="1" x14ac:dyDescent="0.2">
      <c r="A162" s="5" t="s">
        <v>1641</v>
      </c>
      <c r="B162" s="3" t="s">
        <v>24</v>
      </c>
      <c r="C162" s="3" t="s">
        <v>32</v>
      </c>
      <c r="D162" s="3" t="s">
        <v>2353</v>
      </c>
      <c r="E162" s="3" t="s">
        <v>2354</v>
      </c>
      <c r="F162" s="3" t="s">
        <v>111</v>
      </c>
      <c r="G162" s="3" t="s">
        <v>27</v>
      </c>
      <c r="H162" s="3" t="s">
        <v>114</v>
      </c>
      <c r="I162" s="3">
        <v>49250</v>
      </c>
      <c r="J162" s="3">
        <v>22</v>
      </c>
      <c r="K162" s="3">
        <v>9205</v>
      </c>
      <c r="L162" s="3">
        <v>43535</v>
      </c>
      <c r="M162" s="3">
        <v>15</v>
      </c>
      <c r="N162" s="14">
        <v>1694.4709769999999</v>
      </c>
      <c r="O162" s="7">
        <f t="shared" si="18"/>
        <v>4.4670050761421318E-2</v>
      </c>
      <c r="P162" s="14">
        <f t="shared" si="19"/>
        <v>77.02140804545455</v>
      </c>
      <c r="Q162" s="14">
        <f t="shared" si="20"/>
        <v>112.9647318</v>
      </c>
      <c r="R162" s="4">
        <f t="shared" si="21"/>
        <v>68.181818181818173</v>
      </c>
      <c r="S162" s="14">
        <f t="shared" si="22"/>
        <v>38.922039209831169</v>
      </c>
      <c r="T162" s="4">
        <f t="shared" si="23"/>
        <v>18.690355329949238</v>
      </c>
      <c r="U162" s="3">
        <f>LEN(A162) - LEN(SUBSTITUTE(A162,"&gt;","")) +1</f>
        <v>3</v>
      </c>
      <c r="V162" s="8">
        <f t="shared" si="24"/>
        <v>1.3844023996308259E-3</v>
      </c>
      <c r="W162" s="14">
        <f t="shared" si="25"/>
        <v>564.82365900000002</v>
      </c>
      <c r="X162" s="4">
        <f t="shared" si="26"/>
        <v>2.6961381934496983E-2</v>
      </c>
    </row>
    <row r="163" spans="1:24" ht="14.25" customHeight="1" x14ac:dyDescent="0.2">
      <c r="A163" s="5" t="s">
        <v>1498</v>
      </c>
      <c r="B163" s="3" t="s">
        <v>24</v>
      </c>
      <c r="C163" s="3" t="s">
        <v>29</v>
      </c>
      <c r="D163" s="3" t="s">
        <v>2351</v>
      </c>
      <c r="E163" s="3" t="s">
        <v>2352</v>
      </c>
      <c r="F163" s="3" t="s">
        <v>276</v>
      </c>
      <c r="G163" s="3" t="s">
        <v>81</v>
      </c>
      <c r="H163" s="3" t="s">
        <v>19</v>
      </c>
      <c r="I163" s="3">
        <v>35034</v>
      </c>
      <c r="J163" s="3">
        <v>21</v>
      </c>
      <c r="K163" s="3">
        <v>13904</v>
      </c>
      <c r="L163" s="3">
        <v>34123</v>
      </c>
      <c r="M163" s="3">
        <v>3</v>
      </c>
      <c r="N163" s="14">
        <v>2141.4693459999999</v>
      </c>
      <c r="O163" s="7">
        <f t="shared" si="18"/>
        <v>5.9941770851173144E-2</v>
      </c>
      <c r="P163" s="14">
        <f t="shared" si="19"/>
        <v>101.97473076190475</v>
      </c>
      <c r="Q163" s="14">
        <f t="shared" si="20"/>
        <v>713.82311533333325</v>
      </c>
      <c r="R163" s="4">
        <f t="shared" si="21"/>
        <v>14.285714285714285</v>
      </c>
      <c r="S163" s="14">
        <f t="shared" si="22"/>
        <v>62.757358555812786</v>
      </c>
      <c r="T163" s="4">
        <f t="shared" si="23"/>
        <v>39.687161043557687</v>
      </c>
      <c r="U163" s="3">
        <f>LEN(A163) - LEN(SUBSTITUTE(A163,"&gt;","")) +1</f>
        <v>2</v>
      </c>
      <c r="V163" s="8">
        <f t="shared" si="24"/>
        <v>4.0776714864743633E-4</v>
      </c>
      <c r="W163" s="14">
        <f t="shared" si="25"/>
        <v>1070.7346729999999</v>
      </c>
      <c r="X163" s="4">
        <f t="shared" si="26"/>
        <v>1.1996123321948542E-3</v>
      </c>
    </row>
    <row r="164" spans="1:24" ht="14.25" customHeight="1" x14ac:dyDescent="0.2">
      <c r="A164" s="5" t="s">
        <v>277</v>
      </c>
      <c r="B164" s="3" t="s">
        <v>24</v>
      </c>
      <c r="C164" s="3" t="s">
        <v>32</v>
      </c>
      <c r="D164" s="3" t="s">
        <v>2363</v>
      </c>
      <c r="E164" s="3" t="s">
        <v>2358</v>
      </c>
      <c r="F164" s="3" t="s">
        <v>46</v>
      </c>
      <c r="G164" s="3" t="s">
        <v>27</v>
      </c>
      <c r="H164" s="3" t="s">
        <v>19</v>
      </c>
      <c r="I164" s="3">
        <v>75531</v>
      </c>
      <c r="J164" s="3">
        <v>20</v>
      </c>
      <c r="K164" s="3">
        <v>63816</v>
      </c>
      <c r="L164" s="3">
        <v>70011</v>
      </c>
      <c r="M164" s="3">
        <v>7</v>
      </c>
      <c r="N164" s="14">
        <v>7261.8650399999997</v>
      </c>
      <c r="O164" s="7">
        <f t="shared" si="18"/>
        <v>2.6479193973335452E-2</v>
      </c>
      <c r="P164" s="14">
        <f t="shared" si="19"/>
        <v>363.09325200000001</v>
      </c>
      <c r="Q164" s="14">
        <f t="shared" si="20"/>
        <v>1037.4092914285714</v>
      </c>
      <c r="R164" s="4">
        <f t="shared" si="21"/>
        <v>35</v>
      </c>
      <c r="S164" s="14">
        <f t="shared" si="22"/>
        <v>103.72462955821229</v>
      </c>
      <c r="T164" s="4">
        <f t="shared" si="23"/>
        <v>84.489812130118764</v>
      </c>
      <c r="U164" s="3">
        <f>LEN(A164) - LEN(SUBSTITUTE(A164,"&gt;","")) +1</f>
        <v>4</v>
      </c>
      <c r="V164" s="8">
        <f t="shared" si="24"/>
        <v>4.6338589453337041E-4</v>
      </c>
      <c r="W164" s="14">
        <f t="shared" si="25"/>
        <v>1815.4662599999999</v>
      </c>
      <c r="X164" s="4">
        <f t="shared" si="26"/>
        <v>8.933521192879655E-4</v>
      </c>
    </row>
    <row r="165" spans="1:24" ht="14.25" customHeight="1" x14ac:dyDescent="0.2">
      <c r="A165" s="5" t="s">
        <v>278</v>
      </c>
      <c r="B165" s="3" t="s">
        <v>24</v>
      </c>
      <c r="C165" s="3" t="s">
        <v>32</v>
      </c>
      <c r="D165" s="3" t="s">
        <v>2353</v>
      </c>
      <c r="E165" s="3" t="s">
        <v>2354</v>
      </c>
      <c r="F165" s="3" t="s">
        <v>119</v>
      </c>
      <c r="G165" s="3" t="s">
        <v>27</v>
      </c>
      <c r="H165" s="3" t="s">
        <v>114</v>
      </c>
      <c r="I165" s="3">
        <v>113420</v>
      </c>
      <c r="J165" s="3">
        <v>20</v>
      </c>
      <c r="K165" s="3">
        <v>33557</v>
      </c>
      <c r="L165" s="3">
        <v>104929</v>
      </c>
      <c r="M165" s="3">
        <v>11</v>
      </c>
      <c r="N165" s="14">
        <v>5124.4359340000001</v>
      </c>
      <c r="O165" s="7">
        <f t="shared" si="18"/>
        <v>1.763357432551578E-2</v>
      </c>
      <c r="P165" s="14">
        <f t="shared" si="19"/>
        <v>256.22179670000003</v>
      </c>
      <c r="Q165" s="14">
        <f t="shared" si="20"/>
        <v>465.85781218181819</v>
      </c>
      <c r="R165" s="4">
        <f t="shared" si="21"/>
        <v>55.000000000000007</v>
      </c>
      <c r="S165" s="14">
        <f t="shared" si="22"/>
        <v>48.837174984989851</v>
      </c>
      <c r="T165" s="4">
        <f t="shared" si="23"/>
        <v>29.586492682066655</v>
      </c>
      <c r="U165" s="3">
        <f>LEN(A165) - LEN(SUBSTITUTE(A165,"&gt;","")) +1</f>
        <v>4</v>
      </c>
      <c r="V165" s="8">
        <f t="shared" si="24"/>
        <v>4.8492329395168407E-4</v>
      </c>
      <c r="W165" s="14">
        <f t="shared" si="25"/>
        <v>1281.1089835</v>
      </c>
      <c r="X165" s="4">
        <f t="shared" si="26"/>
        <v>2.0818510767505378E-3</v>
      </c>
    </row>
    <row r="166" spans="1:24" ht="14.25" customHeight="1" x14ac:dyDescent="0.2">
      <c r="A166" s="5" t="s">
        <v>1642</v>
      </c>
      <c r="B166" s="3" t="s">
        <v>24</v>
      </c>
      <c r="C166" s="3" t="s">
        <v>35</v>
      </c>
      <c r="D166" s="3" t="s">
        <v>2357</v>
      </c>
      <c r="E166" s="3" t="s">
        <v>2358</v>
      </c>
      <c r="F166" s="3" t="s">
        <v>166</v>
      </c>
      <c r="G166" s="3" t="s">
        <v>27</v>
      </c>
      <c r="H166" s="3" t="s">
        <v>114</v>
      </c>
      <c r="I166" s="3">
        <v>31625</v>
      </c>
      <c r="J166" s="3">
        <v>20</v>
      </c>
      <c r="K166" s="3">
        <v>23764</v>
      </c>
      <c r="L166" s="3">
        <v>29364</v>
      </c>
      <c r="M166" s="3">
        <v>1</v>
      </c>
      <c r="N166" s="14">
        <v>2360.5552440000001</v>
      </c>
      <c r="O166" s="7">
        <f t="shared" si="18"/>
        <v>6.3241106719367585E-2</v>
      </c>
      <c r="P166" s="14">
        <f t="shared" si="19"/>
        <v>118.02776220000001</v>
      </c>
      <c r="Q166" s="14">
        <f t="shared" si="20"/>
        <v>2360.5552440000001</v>
      </c>
      <c r="R166" s="4">
        <f t="shared" si="21"/>
        <v>5</v>
      </c>
      <c r="S166" s="14">
        <f t="shared" si="22"/>
        <v>80.389430731507971</v>
      </c>
      <c r="T166" s="4">
        <f t="shared" si="23"/>
        <v>75.143083003952569</v>
      </c>
      <c r="U166" s="3">
        <f>LEN(A166) - LEN(SUBSTITUTE(A166,"&gt;","")) +1</f>
        <v>4</v>
      </c>
      <c r="V166" s="8">
        <f t="shared" si="24"/>
        <v>1.5810276679841898E-4</v>
      </c>
      <c r="W166" s="14">
        <f t="shared" si="25"/>
        <v>590.13881100000003</v>
      </c>
      <c r="X166" s="4">
        <f t="shared" si="26"/>
        <v>1.3395387987659308E-4</v>
      </c>
    </row>
    <row r="167" spans="1:24" ht="14.25" customHeight="1" x14ac:dyDescent="0.2">
      <c r="A167" s="5" t="s">
        <v>1643</v>
      </c>
      <c r="B167" s="3" t="s">
        <v>24</v>
      </c>
      <c r="C167" s="3" t="s">
        <v>15</v>
      </c>
      <c r="D167" s="3" t="s">
        <v>2349</v>
      </c>
      <c r="E167" s="3" t="s">
        <v>2350</v>
      </c>
      <c r="F167" s="3" t="s">
        <v>149</v>
      </c>
      <c r="G167" s="3" t="s">
        <v>27</v>
      </c>
      <c r="H167" s="3" t="s">
        <v>19</v>
      </c>
      <c r="I167" s="3">
        <v>92806</v>
      </c>
      <c r="J167" s="3">
        <v>20</v>
      </c>
      <c r="K167" s="3">
        <v>67534</v>
      </c>
      <c r="L167" s="3">
        <v>85013</v>
      </c>
      <c r="M167" s="3">
        <v>11</v>
      </c>
      <c r="N167" s="14">
        <v>1579.379602</v>
      </c>
      <c r="O167" s="7">
        <f t="shared" si="18"/>
        <v>2.1550330797577743E-2</v>
      </c>
      <c r="P167" s="14">
        <f t="shared" si="19"/>
        <v>78.968980099999996</v>
      </c>
      <c r="Q167" s="14">
        <f t="shared" si="20"/>
        <v>143.57996381818182</v>
      </c>
      <c r="R167" s="4">
        <f t="shared" si="21"/>
        <v>55.000000000000007</v>
      </c>
      <c r="S167" s="14">
        <f t="shared" si="22"/>
        <v>18.578095138390601</v>
      </c>
      <c r="T167" s="4">
        <f t="shared" si="23"/>
        <v>72.769002004180763</v>
      </c>
      <c r="U167" s="3">
        <f>LEN(A167) - LEN(SUBSTITUTE(A167,"&gt;","")) +1</f>
        <v>3</v>
      </c>
      <c r="V167" s="8">
        <f t="shared" si="24"/>
        <v>5.9263409693338805E-4</v>
      </c>
      <c r="W167" s="14">
        <f t="shared" si="25"/>
        <v>526.45986733333336</v>
      </c>
      <c r="X167" s="4">
        <f t="shared" si="26"/>
        <v>8.2551085983536311E-3</v>
      </c>
    </row>
    <row r="168" spans="1:24" ht="14.25" customHeight="1" x14ac:dyDescent="0.2">
      <c r="A168" s="5" t="s">
        <v>1644</v>
      </c>
      <c r="B168" s="3" t="s">
        <v>14</v>
      </c>
      <c r="C168" s="3" t="s">
        <v>32</v>
      </c>
      <c r="D168" s="3" t="s">
        <v>2383</v>
      </c>
      <c r="E168" s="3" t="s">
        <v>2372</v>
      </c>
      <c r="F168" s="3" t="s">
        <v>79</v>
      </c>
      <c r="G168" s="3" t="s">
        <v>27</v>
      </c>
      <c r="H168" s="3" t="s">
        <v>19</v>
      </c>
      <c r="I168" s="3">
        <v>36543</v>
      </c>
      <c r="J168" s="3">
        <v>20</v>
      </c>
      <c r="K168" s="3">
        <v>18046</v>
      </c>
      <c r="L168" s="3">
        <v>27358</v>
      </c>
      <c r="M168" s="3">
        <v>1</v>
      </c>
      <c r="N168" s="14">
        <v>1513.0887279999999</v>
      </c>
      <c r="O168" s="7">
        <f t="shared" si="18"/>
        <v>5.4730044057685466E-2</v>
      </c>
      <c r="P168" s="14">
        <f t="shared" si="19"/>
        <v>75.654436399999994</v>
      </c>
      <c r="Q168" s="14">
        <f t="shared" si="20"/>
        <v>1513.0887279999999</v>
      </c>
      <c r="R168" s="4">
        <f t="shared" si="21"/>
        <v>5</v>
      </c>
      <c r="S168" s="14">
        <f t="shared" si="22"/>
        <v>55.306993493676437</v>
      </c>
      <c r="T168" s="4">
        <f t="shared" si="23"/>
        <v>49.382918753249591</v>
      </c>
      <c r="U168" s="3">
        <f>LEN(A168) - LEN(SUBSTITUTE(A168,"&gt;","")) +1</f>
        <v>3</v>
      </c>
      <c r="V168" s="8">
        <f t="shared" si="24"/>
        <v>1.3682511014421366E-4</v>
      </c>
      <c r="W168" s="14">
        <f t="shared" si="25"/>
        <v>504.36290933333333</v>
      </c>
      <c r="X168" s="4">
        <f t="shared" si="26"/>
        <v>1.8085536903717344E-4</v>
      </c>
    </row>
    <row r="169" spans="1:24" ht="14.25" customHeight="1" x14ac:dyDescent="0.2">
      <c r="A169" s="5" t="s">
        <v>1645</v>
      </c>
      <c r="B169" s="3" t="s">
        <v>14</v>
      </c>
      <c r="C169" s="3" t="s">
        <v>35</v>
      </c>
      <c r="D169" s="3" t="s">
        <v>2378</v>
      </c>
      <c r="E169" s="3" t="s">
        <v>2352</v>
      </c>
      <c r="F169" s="3" t="s">
        <v>149</v>
      </c>
      <c r="G169" s="3" t="s">
        <v>38</v>
      </c>
      <c r="H169" s="3" t="s">
        <v>19</v>
      </c>
      <c r="I169" s="3">
        <v>88819</v>
      </c>
      <c r="J169" s="3">
        <v>20</v>
      </c>
      <c r="K169" s="3">
        <v>65488</v>
      </c>
      <c r="L169" s="3">
        <v>80451</v>
      </c>
      <c r="M169" s="3">
        <v>6</v>
      </c>
      <c r="N169" s="14">
        <v>1442.2279900000001</v>
      </c>
      <c r="O169" s="7">
        <f t="shared" si="18"/>
        <v>2.2517704545198663E-2</v>
      </c>
      <c r="P169" s="14">
        <f t="shared" si="19"/>
        <v>72.111399500000005</v>
      </c>
      <c r="Q169" s="14">
        <f t="shared" si="20"/>
        <v>240.37133166666669</v>
      </c>
      <c r="R169" s="4">
        <f t="shared" si="21"/>
        <v>30</v>
      </c>
      <c r="S169" s="14">
        <f t="shared" si="22"/>
        <v>17.926787609849477</v>
      </c>
      <c r="T169" s="4">
        <f t="shared" si="23"/>
        <v>73.731971762798494</v>
      </c>
      <c r="U169" s="3">
        <f>LEN(A169) - LEN(SUBSTITUTE(A169,"&gt;","")) +1</f>
        <v>4</v>
      </c>
      <c r="V169" s="8">
        <f t="shared" si="24"/>
        <v>3.3776556817797994E-4</v>
      </c>
      <c r="W169" s="14">
        <f t="shared" si="25"/>
        <v>360.55699750000002</v>
      </c>
      <c r="X169" s="4">
        <f t="shared" si="26"/>
        <v>2.8103648287506606E-3</v>
      </c>
    </row>
    <row r="170" spans="1:24" ht="14.25" customHeight="1" x14ac:dyDescent="0.2">
      <c r="A170" s="5" t="s">
        <v>1646</v>
      </c>
      <c r="B170" s="3" t="s">
        <v>14</v>
      </c>
      <c r="C170" s="3" t="s">
        <v>29</v>
      </c>
      <c r="D170" s="3" t="s">
        <v>2382</v>
      </c>
      <c r="E170" s="3" t="s">
        <v>2356</v>
      </c>
      <c r="F170" s="3" t="s">
        <v>57</v>
      </c>
      <c r="G170" s="3" t="s">
        <v>22</v>
      </c>
      <c r="H170" s="3" t="s">
        <v>19</v>
      </c>
      <c r="I170" s="3">
        <v>507889</v>
      </c>
      <c r="J170" s="3">
        <v>20</v>
      </c>
      <c r="K170" s="3">
        <v>176329</v>
      </c>
      <c r="L170" s="3">
        <v>450103</v>
      </c>
      <c r="M170" s="3">
        <v>78</v>
      </c>
      <c r="N170" s="14">
        <v>1440.7453620000001</v>
      </c>
      <c r="O170" s="7">
        <f t="shared" si="18"/>
        <v>3.9378683137457201E-3</v>
      </c>
      <c r="P170" s="14">
        <f t="shared" si="19"/>
        <v>72.037268100000006</v>
      </c>
      <c r="Q170" s="14">
        <f t="shared" si="20"/>
        <v>18.471094384615387</v>
      </c>
      <c r="R170" s="4">
        <f t="shared" si="21"/>
        <v>390</v>
      </c>
      <c r="S170" s="14">
        <f t="shared" si="22"/>
        <v>3.2009237041299436</v>
      </c>
      <c r="T170" s="4">
        <f t="shared" si="23"/>
        <v>34.718019094723452</v>
      </c>
      <c r="U170" s="3">
        <f>LEN(A170) - LEN(SUBSTITUTE(A170,"&gt;","")) +1</f>
        <v>4</v>
      </c>
      <c r="V170" s="8">
        <f t="shared" si="24"/>
        <v>7.6788432118041542E-4</v>
      </c>
      <c r="W170" s="14">
        <f t="shared" si="25"/>
        <v>360.18634050000003</v>
      </c>
      <c r="X170" s="4">
        <f t="shared" si="26"/>
        <v>8.3144431530812579E-2</v>
      </c>
    </row>
    <row r="171" spans="1:24" ht="14.25" customHeight="1" x14ac:dyDescent="0.2">
      <c r="A171" s="5" t="s">
        <v>1647</v>
      </c>
      <c r="B171" s="3" t="s">
        <v>24</v>
      </c>
      <c r="C171" s="3" t="s">
        <v>35</v>
      </c>
      <c r="D171" s="3" t="s">
        <v>2367</v>
      </c>
      <c r="E171" s="3" t="s">
        <v>2352</v>
      </c>
      <c r="F171" s="3" t="s">
        <v>286</v>
      </c>
      <c r="G171" s="3" t="s">
        <v>287</v>
      </c>
      <c r="H171" s="3" t="s">
        <v>114</v>
      </c>
      <c r="I171" s="3">
        <v>15904</v>
      </c>
      <c r="J171" s="3">
        <v>19</v>
      </c>
      <c r="K171" s="3">
        <v>7523</v>
      </c>
      <c r="L171" s="3">
        <v>14815</v>
      </c>
      <c r="M171" s="3">
        <v>2</v>
      </c>
      <c r="N171" s="14">
        <v>1825.7257079999999</v>
      </c>
      <c r="O171" s="7">
        <f t="shared" si="18"/>
        <v>0.11946680080482898</v>
      </c>
      <c r="P171" s="14">
        <f t="shared" si="19"/>
        <v>96.090826736842104</v>
      </c>
      <c r="Q171" s="14">
        <f t="shared" si="20"/>
        <v>912.86285399999997</v>
      </c>
      <c r="R171" s="4">
        <f t="shared" si="21"/>
        <v>10.526315789473683</v>
      </c>
      <c r="S171" s="14">
        <f t="shared" si="22"/>
        <v>123.23494485318933</v>
      </c>
      <c r="T171" s="4">
        <f t="shared" si="23"/>
        <v>47.302565392354126</v>
      </c>
      <c r="U171" s="3">
        <f>LEN(A171) - LEN(SUBSTITUTE(A171,"&gt;","")) +1</f>
        <v>6</v>
      </c>
      <c r="V171" s="8">
        <f t="shared" si="24"/>
        <v>6.6186593243672558E-4</v>
      </c>
      <c r="W171" s="14">
        <f t="shared" si="25"/>
        <v>304.28761800000001</v>
      </c>
      <c r="X171" s="4">
        <f t="shared" si="26"/>
        <v>1.3775840106971628E-3</v>
      </c>
    </row>
    <row r="172" spans="1:24" ht="14.25" customHeight="1" x14ac:dyDescent="0.2">
      <c r="A172" s="5" t="s">
        <v>1648</v>
      </c>
      <c r="B172" s="3" t="s">
        <v>24</v>
      </c>
      <c r="C172" s="3" t="s">
        <v>32</v>
      </c>
      <c r="D172" s="3" t="s">
        <v>2351</v>
      </c>
      <c r="E172" s="3" t="s">
        <v>2352</v>
      </c>
      <c r="F172" s="3" t="s">
        <v>72</v>
      </c>
      <c r="G172" s="3" t="s">
        <v>41</v>
      </c>
      <c r="H172" s="3" t="s">
        <v>114</v>
      </c>
      <c r="I172" s="3">
        <v>61442</v>
      </c>
      <c r="J172" s="3">
        <v>19</v>
      </c>
      <c r="K172" s="3">
        <v>17048</v>
      </c>
      <c r="L172" s="3">
        <v>54166</v>
      </c>
      <c r="M172" s="3">
        <v>1</v>
      </c>
      <c r="N172" s="14">
        <v>1609.1499329999999</v>
      </c>
      <c r="O172" s="7">
        <f t="shared" si="18"/>
        <v>3.0923472543211487E-2</v>
      </c>
      <c r="P172" s="14">
        <f t="shared" si="19"/>
        <v>84.692101736842105</v>
      </c>
      <c r="Q172" s="14">
        <f t="shared" si="20"/>
        <v>1609.1499329999999</v>
      </c>
      <c r="R172" s="4">
        <f t="shared" si="21"/>
        <v>5.2631578947368416</v>
      </c>
      <c r="S172" s="14">
        <f t="shared" si="22"/>
        <v>29.707749012295533</v>
      </c>
      <c r="T172" s="4">
        <f t="shared" si="23"/>
        <v>27.746492627193124</v>
      </c>
      <c r="U172" s="3">
        <f>LEN(A172) - LEN(SUBSTITUTE(A172,"&gt;","")) +1</f>
        <v>4</v>
      </c>
      <c r="V172" s="8">
        <f t="shared" si="24"/>
        <v>8.5660588762358667E-5</v>
      </c>
      <c r="W172" s="14">
        <f t="shared" si="25"/>
        <v>402.28748324999998</v>
      </c>
      <c r="X172" s="4">
        <f t="shared" si="26"/>
        <v>1.0114353877829824E-4</v>
      </c>
    </row>
    <row r="173" spans="1:24" ht="14.25" customHeight="1" x14ac:dyDescent="0.2">
      <c r="A173" s="5" t="s">
        <v>1649</v>
      </c>
      <c r="B173" s="3" t="s">
        <v>14</v>
      </c>
      <c r="C173" s="3" t="s">
        <v>35</v>
      </c>
      <c r="D173" s="3" t="s">
        <v>2363</v>
      </c>
      <c r="E173" s="3" t="s">
        <v>2358</v>
      </c>
      <c r="F173" s="3" t="s">
        <v>149</v>
      </c>
      <c r="G173" s="3" t="s">
        <v>22</v>
      </c>
      <c r="H173" s="3" t="s">
        <v>19</v>
      </c>
      <c r="I173" s="3">
        <v>69136</v>
      </c>
      <c r="J173" s="3">
        <v>19</v>
      </c>
      <c r="K173" s="3">
        <v>40571</v>
      </c>
      <c r="L173" s="3">
        <v>63614</v>
      </c>
      <c r="M173" s="3">
        <v>3</v>
      </c>
      <c r="N173" s="14">
        <v>1507.9468509999999</v>
      </c>
      <c r="O173" s="7">
        <f t="shared" si="18"/>
        <v>2.7482064336959034E-2</v>
      </c>
      <c r="P173" s="14">
        <f t="shared" si="19"/>
        <v>79.365623736842096</v>
      </c>
      <c r="Q173" s="14">
        <f t="shared" si="20"/>
        <v>502.64895033333329</v>
      </c>
      <c r="R173" s="4">
        <f t="shared" si="21"/>
        <v>15.789473684210526</v>
      </c>
      <c r="S173" s="14">
        <f t="shared" si="22"/>
        <v>23.704638145691199</v>
      </c>
      <c r="T173" s="4">
        <f t="shared" si="23"/>
        <v>58.682885906040269</v>
      </c>
      <c r="U173" s="3">
        <f>LEN(A173) - LEN(SUBSTITUTE(A173,"&gt;","")) +1</f>
        <v>5</v>
      </c>
      <c r="V173" s="8">
        <f t="shared" si="24"/>
        <v>2.2838280612431331E-4</v>
      </c>
      <c r="W173" s="14">
        <f t="shared" si="25"/>
        <v>301.58937019999996</v>
      </c>
      <c r="X173" s="4">
        <f t="shared" si="26"/>
        <v>8.6328108583223924E-4</v>
      </c>
    </row>
    <row r="174" spans="1:24" ht="14.25" customHeight="1" x14ac:dyDescent="0.2">
      <c r="A174" s="5" t="s">
        <v>1650</v>
      </c>
      <c r="B174" s="3" t="s">
        <v>24</v>
      </c>
      <c r="C174" s="3" t="s">
        <v>35</v>
      </c>
      <c r="D174" s="3" t="s">
        <v>2376</v>
      </c>
      <c r="E174" s="3" t="s">
        <v>2377</v>
      </c>
      <c r="F174" s="3" t="s">
        <v>125</v>
      </c>
      <c r="G174" s="3" t="s">
        <v>41</v>
      </c>
      <c r="H174" s="3" t="s">
        <v>19</v>
      </c>
      <c r="I174" s="3">
        <v>39705</v>
      </c>
      <c r="J174" s="3">
        <v>19</v>
      </c>
      <c r="K174" s="3">
        <v>12950</v>
      </c>
      <c r="L174" s="3">
        <v>38030</v>
      </c>
      <c r="M174" s="3">
        <v>3</v>
      </c>
      <c r="N174" s="14">
        <v>1476.4195090000001</v>
      </c>
      <c r="O174" s="7">
        <f t="shared" si="18"/>
        <v>4.7852915249968521E-2</v>
      </c>
      <c r="P174" s="14">
        <f t="shared" si="19"/>
        <v>77.706289947368418</v>
      </c>
      <c r="Q174" s="14">
        <f t="shared" si="20"/>
        <v>492.13983633333334</v>
      </c>
      <c r="R174" s="4">
        <f t="shared" si="21"/>
        <v>15.789473684210526</v>
      </c>
      <c r="S174" s="14">
        <f t="shared" si="22"/>
        <v>38.822495635024985</v>
      </c>
      <c r="T174" s="4">
        <f t="shared" si="23"/>
        <v>32.615539604583802</v>
      </c>
      <c r="U174" s="3">
        <f>LEN(A174) - LEN(SUBSTITUTE(A174,"&gt;","")) +1</f>
        <v>3</v>
      </c>
      <c r="V174" s="8">
        <f t="shared" si="24"/>
        <v>3.9766965581691289E-4</v>
      </c>
      <c r="W174" s="14">
        <f t="shared" si="25"/>
        <v>492.13983633333334</v>
      </c>
      <c r="X174" s="4">
        <f t="shared" si="26"/>
        <v>1.5352797929984571E-3</v>
      </c>
    </row>
    <row r="175" spans="1:24" ht="14.25" customHeight="1" x14ac:dyDescent="0.2">
      <c r="A175" s="5" t="s">
        <v>291</v>
      </c>
      <c r="B175" s="3" t="s">
        <v>68</v>
      </c>
      <c r="C175" s="3" t="s">
        <v>15</v>
      </c>
      <c r="D175" s="3" t="s">
        <v>2349</v>
      </c>
      <c r="E175" s="3" t="s">
        <v>2350</v>
      </c>
      <c r="F175" s="3" t="s">
        <v>48</v>
      </c>
      <c r="G175" s="3" t="s">
        <v>27</v>
      </c>
      <c r="H175" s="3" t="s">
        <v>19</v>
      </c>
      <c r="I175" s="3">
        <v>184622</v>
      </c>
      <c r="J175" s="3">
        <v>18</v>
      </c>
      <c r="K175" s="3">
        <v>98938</v>
      </c>
      <c r="L175" s="3">
        <v>161848</v>
      </c>
      <c r="M175" s="3">
        <v>13</v>
      </c>
      <c r="N175" s="14">
        <v>7149.8160749999997</v>
      </c>
      <c r="O175" s="7">
        <f t="shared" si="18"/>
        <v>9.7496506375188211E-3</v>
      </c>
      <c r="P175" s="14">
        <f t="shared" si="19"/>
        <v>397.21200416666665</v>
      </c>
      <c r="Q175" s="14">
        <f t="shared" si="20"/>
        <v>549.98585192307689</v>
      </c>
      <c r="R175" s="4">
        <f t="shared" si="21"/>
        <v>72.222222222222214</v>
      </c>
      <c r="S175" s="14">
        <f t="shared" si="22"/>
        <v>44.176116325194002</v>
      </c>
      <c r="T175" s="4">
        <f t="shared" si="23"/>
        <v>53.589496376379842</v>
      </c>
      <c r="U175" s="3">
        <f>LEN(A175) - LEN(SUBSTITUTE(A175,"&gt;","")) +1</f>
        <v>4</v>
      </c>
      <c r="V175" s="8">
        <f t="shared" si="24"/>
        <v>3.9118968607328603E-4</v>
      </c>
      <c r="W175" s="14">
        <f t="shared" si="25"/>
        <v>1787.4540187499999</v>
      </c>
      <c r="X175" s="4">
        <f t="shared" si="26"/>
        <v>1.2802900883173967E-3</v>
      </c>
    </row>
    <row r="176" spans="1:24" ht="14.25" customHeight="1" x14ac:dyDescent="0.2">
      <c r="A176" s="5" t="s">
        <v>292</v>
      </c>
      <c r="B176" s="3" t="s">
        <v>24</v>
      </c>
      <c r="C176" s="3" t="s">
        <v>35</v>
      </c>
      <c r="D176" s="3" t="s">
        <v>2349</v>
      </c>
      <c r="E176" s="3" t="s">
        <v>2350</v>
      </c>
      <c r="F176" s="3" t="s">
        <v>250</v>
      </c>
      <c r="G176" s="3" t="s">
        <v>22</v>
      </c>
      <c r="H176" s="3" t="s">
        <v>114</v>
      </c>
      <c r="I176" s="3">
        <v>109372</v>
      </c>
      <c r="J176" s="3">
        <v>18</v>
      </c>
      <c r="K176" s="3">
        <v>58336</v>
      </c>
      <c r="L176" s="3">
        <v>103569</v>
      </c>
      <c r="M176" s="3">
        <v>21</v>
      </c>
      <c r="N176" s="14">
        <v>6928.0062019999996</v>
      </c>
      <c r="O176" s="7">
        <f t="shared" si="18"/>
        <v>1.6457594265442708E-2</v>
      </c>
      <c r="P176" s="14">
        <f t="shared" si="19"/>
        <v>384.88923344444441</v>
      </c>
      <c r="Q176" s="14">
        <f t="shared" si="20"/>
        <v>329.9050572380952</v>
      </c>
      <c r="R176" s="4">
        <f t="shared" si="21"/>
        <v>116.66666666666667</v>
      </c>
      <c r="S176" s="14">
        <f t="shared" si="22"/>
        <v>66.892662881750326</v>
      </c>
      <c r="T176" s="4">
        <f t="shared" si="23"/>
        <v>53.33723439271477</v>
      </c>
      <c r="U176" s="3">
        <f>LEN(A176) - LEN(SUBSTITUTE(A176,"&gt;","")) +1</f>
        <v>4</v>
      </c>
      <c r="V176" s="8">
        <f t="shared" si="24"/>
        <v>1.0666959246120274E-3</v>
      </c>
      <c r="W176" s="14">
        <f t="shared" si="25"/>
        <v>1732.0015504999999</v>
      </c>
      <c r="X176" s="4">
        <f t="shared" si="26"/>
        <v>5.8200158566103204E-3</v>
      </c>
    </row>
    <row r="177" spans="1:24" ht="14.25" customHeight="1" x14ac:dyDescent="0.2">
      <c r="A177" s="5" t="s">
        <v>293</v>
      </c>
      <c r="B177" s="3" t="s">
        <v>14</v>
      </c>
      <c r="C177" s="3" t="s">
        <v>15</v>
      </c>
      <c r="D177" s="3" t="s">
        <v>2369</v>
      </c>
      <c r="E177" s="3" t="s">
        <v>2365</v>
      </c>
      <c r="F177" s="3" t="s">
        <v>161</v>
      </c>
      <c r="G177" s="3" t="s">
        <v>18</v>
      </c>
      <c r="H177" s="3" t="s">
        <v>19</v>
      </c>
      <c r="I177" s="3">
        <v>41513</v>
      </c>
      <c r="J177" s="3">
        <v>18</v>
      </c>
      <c r="K177" s="3">
        <v>20872</v>
      </c>
      <c r="L177" s="3">
        <v>39250</v>
      </c>
      <c r="M177" s="3">
        <v>1</v>
      </c>
      <c r="N177" s="14">
        <v>6789.5334009999997</v>
      </c>
      <c r="O177" s="7">
        <f t="shared" si="18"/>
        <v>4.3359911353070123E-2</v>
      </c>
      <c r="P177" s="14">
        <f t="shared" si="19"/>
        <v>377.19630005555553</v>
      </c>
      <c r="Q177" s="14">
        <f t="shared" si="20"/>
        <v>6789.5334009999997</v>
      </c>
      <c r="R177" s="4">
        <f t="shared" si="21"/>
        <v>5.5555555555555554</v>
      </c>
      <c r="S177" s="14">
        <f t="shared" si="22"/>
        <v>172.98174270063694</v>
      </c>
      <c r="T177" s="4">
        <f t="shared" si="23"/>
        <v>50.278226097848865</v>
      </c>
      <c r="U177" s="3">
        <f>LEN(A177) - LEN(SUBSTITUTE(A177,"&gt;","")) +1</f>
        <v>4</v>
      </c>
      <c r="V177" s="8">
        <f t="shared" si="24"/>
        <v>1.3382688689219174E-4</v>
      </c>
      <c r="W177" s="14">
        <f t="shared" si="25"/>
        <v>1697.3833502499999</v>
      </c>
      <c r="X177" s="4">
        <f t="shared" si="26"/>
        <v>3.5479374233649952E-5</v>
      </c>
    </row>
    <row r="178" spans="1:24" ht="14.25" customHeight="1" x14ac:dyDescent="0.2">
      <c r="A178" s="5" t="s">
        <v>1651</v>
      </c>
      <c r="B178" s="3" t="s">
        <v>14</v>
      </c>
      <c r="C178" s="3" t="s">
        <v>29</v>
      </c>
      <c r="D178" s="3" t="s">
        <v>2353</v>
      </c>
      <c r="E178" s="3" t="s">
        <v>2354</v>
      </c>
      <c r="F178" s="3" t="s">
        <v>119</v>
      </c>
      <c r="G178" s="3" t="s">
        <v>64</v>
      </c>
      <c r="H178" s="3" t="s">
        <v>19</v>
      </c>
      <c r="I178" s="3">
        <v>106151</v>
      </c>
      <c r="J178" s="3">
        <v>18</v>
      </c>
      <c r="K178" s="3">
        <v>75304</v>
      </c>
      <c r="L178" s="3">
        <v>99311</v>
      </c>
      <c r="M178" s="3">
        <v>9</v>
      </c>
      <c r="N178" s="14">
        <v>6616.8806599999998</v>
      </c>
      <c r="O178" s="7">
        <f t="shared" si="18"/>
        <v>1.6956976382700117E-2</v>
      </c>
      <c r="P178" s="14">
        <f t="shared" si="19"/>
        <v>367.60448111111111</v>
      </c>
      <c r="Q178" s="14">
        <f t="shared" si="20"/>
        <v>735.20896222222223</v>
      </c>
      <c r="R178" s="4">
        <f t="shared" si="21"/>
        <v>50</v>
      </c>
      <c r="S178" s="14">
        <f t="shared" si="22"/>
        <v>66.627872642506873</v>
      </c>
      <c r="T178" s="4">
        <f t="shared" si="23"/>
        <v>70.940452751269419</v>
      </c>
      <c r="U178" s="3">
        <f>LEN(A178) - LEN(SUBSTITUTE(A178,"&gt;","")) +1</f>
        <v>5</v>
      </c>
      <c r="V178" s="8">
        <f t="shared" si="24"/>
        <v>4.7102712174166986E-4</v>
      </c>
      <c r="W178" s="14">
        <f t="shared" si="25"/>
        <v>1323.3761319999999</v>
      </c>
      <c r="X178" s="4">
        <f t="shared" si="26"/>
        <v>1.1532079486250026E-3</v>
      </c>
    </row>
    <row r="179" spans="1:24" ht="14.25" customHeight="1" x14ac:dyDescent="0.2">
      <c r="A179" s="5" t="s">
        <v>1652</v>
      </c>
      <c r="B179" s="3" t="s">
        <v>14</v>
      </c>
      <c r="C179" s="3" t="s">
        <v>15</v>
      </c>
      <c r="D179" s="3" t="s">
        <v>2353</v>
      </c>
      <c r="E179" s="3" t="s">
        <v>2354</v>
      </c>
      <c r="F179" s="3" t="s">
        <v>40</v>
      </c>
      <c r="G179" s="3" t="s">
        <v>41</v>
      </c>
      <c r="H179" s="3" t="s">
        <v>19</v>
      </c>
      <c r="I179" s="3">
        <v>192201</v>
      </c>
      <c r="J179" s="3">
        <v>18</v>
      </c>
      <c r="K179" s="3">
        <v>113707</v>
      </c>
      <c r="L179" s="3">
        <v>157940</v>
      </c>
      <c r="M179" s="3">
        <v>3</v>
      </c>
      <c r="N179" s="14">
        <v>6176.0041540000002</v>
      </c>
      <c r="O179" s="7">
        <f t="shared" si="18"/>
        <v>9.3651958106357406E-3</v>
      </c>
      <c r="P179" s="14">
        <f t="shared" si="19"/>
        <v>343.11134188888889</v>
      </c>
      <c r="Q179" s="14">
        <f t="shared" si="20"/>
        <v>2058.6680513333336</v>
      </c>
      <c r="R179" s="4">
        <f t="shared" si="21"/>
        <v>16.666666666666664</v>
      </c>
      <c r="S179" s="14">
        <f t="shared" si="22"/>
        <v>39.103483310117767</v>
      </c>
      <c r="T179" s="4">
        <f t="shared" si="23"/>
        <v>59.160462224442121</v>
      </c>
      <c r="U179" s="3">
        <f>LEN(A179) - LEN(SUBSTITUTE(A179,"&gt;","")) +1</f>
        <v>6</v>
      </c>
      <c r="V179" s="8">
        <f t="shared" si="24"/>
        <v>8.6714776024404997E-5</v>
      </c>
      <c r="W179" s="14">
        <f t="shared" si="25"/>
        <v>1029.3340256666668</v>
      </c>
      <c r="X179" s="4">
        <f t="shared" si="26"/>
        <v>7.5819215605370024E-5</v>
      </c>
    </row>
    <row r="180" spans="1:24" ht="14.25" customHeight="1" x14ac:dyDescent="0.2">
      <c r="A180" s="5" t="s">
        <v>1653</v>
      </c>
      <c r="B180" s="3" t="s">
        <v>24</v>
      </c>
      <c r="C180" s="3" t="s">
        <v>35</v>
      </c>
      <c r="D180" s="3" t="s">
        <v>2363</v>
      </c>
      <c r="E180" s="3" t="s">
        <v>2358</v>
      </c>
      <c r="F180" s="3" t="s">
        <v>40</v>
      </c>
      <c r="G180" s="3" t="s">
        <v>81</v>
      </c>
      <c r="H180" s="3" t="s">
        <v>19</v>
      </c>
      <c r="I180" s="3">
        <v>335461</v>
      </c>
      <c r="J180" s="3">
        <v>18</v>
      </c>
      <c r="K180" s="3">
        <v>171464</v>
      </c>
      <c r="L180" s="3">
        <v>247450</v>
      </c>
      <c r="M180" s="3">
        <v>5</v>
      </c>
      <c r="N180" s="14">
        <v>4445.8746289999999</v>
      </c>
      <c r="O180" s="7">
        <f t="shared" si="18"/>
        <v>5.365750415100414E-3</v>
      </c>
      <c r="P180" s="14">
        <f t="shared" si="19"/>
        <v>246.99303494444445</v>
      </c>
      <c r="Q180" s="14">
        <f t="shared" si="20"/>
        <v>889.17492579999998</v>
      </c>
      <c r="R180" s="4">
        <f t="shared" si="21"/>
        <v>27.777777777777779</v>
      </c>
      <c r="S180" s="14">
        <f t="shared" si="22"/>
        <v>17.966759462517679</v>
      </c>
      <c r="T180" s="4">
        <f t="shared" si="23"/>
        <v>51.112946065265405</v>
      </c>
      <c r="U180" s="3">
        <f>LEN(A180) - LEN(SUBSTITUTE(A180,"&gt;","")) +1</f>
        <v>5</v>
      </c>
      <c r="V180" s="8">
        <f t="shared" si="24"/>
        <v>8.2804790356487873E-5</v>
      </c>
      <c r="W180" s="14">
        <f t="shared" si="25"/>
        <v>889.17492579999998</v>
      </c>
      <c r="X180" s="4">
        <f t="shared" si="26"/>
        <v>1.6762575992297304E-4</v>
      </c>
    </row>
    <row r="181" spans="1:24" ht="14.25" customHeight="1" x14ac:dyDescent="0.2">
      <c r="A181" s="5" t="s">
        <v>297</v>
      </c>
      <c r="B181" s="3" t="s">
        <v>24</v>
      </c>
      <c r="C181" s="3" t="s">
        <v>32</v>
      </c>
      <c r="D181" s="3" t="s">
        <v>2357</v>
      </c>
      <c r="E181" s="3" t="s">
        <v>2358</v>
      </c>
      <c r="F181" s="3" t="s">
        <v>79</v>
      </c>
      <c r="G181" s="3" t="s">
        <v>38</v>
      </c>
      <c r="H181" s="3" t="s">
        <v>19</v>
      </c>
      <c r="I181" s="3">
        <v>1109184</v>
      </c>
      <c r="J181" s="3">
        <v>17</v>
      </c>
      <c r="K181" s="3">
        <v>83035</v>
      </c>
      <c r="L181" s="3">
        <v>782482</v>
      </c>
      <c r="M181" s="3">
        <v>25</v>
      </c>
      <c r="N181" s="14">
        <v>7490.8607789999996</v>
      </c>
      <c r="O181" s="7">
        <f t="shared" si="18"/>
        <v>1.5326582424557153E-3</v>
      </c>
      <c r="P181" s="14">
        <f t="shared" si="19"/>
        <v>440.63886935294113</v>
      </c>
      <c r="Q181" s="14">
        <f t="shared" si="20"/>
        <v>299.63443115999996</v>
      </c>
      <c r="R181" s="4">
        <f t="shared" si="21"/>
        <v>147.05882352941177</v>
      </c>
      <c r="S181" s="14">
        <f t="shared" si="22"/>
        <v>9.5732052353919954</v>
      </c>
      <c r="T181" s="4">
        <f t="shared" si="23"/>
        <v>7.4861339507241356</v>
      </c>
      <c r="U181" s="3">
        <f>LEN(A181) - LEN(SUBSTITUTE(A181,"&gt;","")) +1</f>
        <v>4</v>
      </c>
      <c r="V181" s="8">
        <f t="shared" si="24"/>
        <v>1.3258289294599613E-4</v>
      </c>
      <c r="W181" s="14">
        <f t="shared" si="25"/>
        <v>1872.7151947499999</v>
      </c>
      <c r="X181" s="4">
        <f t="shared" si="26"/>
        <v>7.522196869552629E-4</v>
      </c>
    </row>
    <row r="182" spans="1:24" ht="14.25" customHeight="1" x14ac:dyDescent="0.2">
      <c r="A182" s="5" t="s">
        <v>1654</v>
      </c>
      <c r="B182" s="3" t="s">
        <v>14</v>
      </c>
      <c r="C182" s="3" t="s">
        <v>15</v>
      </c>
      <c r="D182" s="3" t="s">
        <v>2349</v>
      </c>
      <c r="E182" s="3" t="s">
        <v>2350</v>
      </c>
      <c r="F182" s="3" t="s">
        <v>263</v>
      </c>
      <c r="G182" s="3" t="s">
        <v>38</v>
      </c>
      <c r="H182" s="3" t="s">
        <v>19</v>
      </c>
      <c r="I182" s="3">
        <v>96728</v>
      </c>
      <c r="J182" s="3">
        <v>17</v>
      </c>
      <c r="K182" s="3">
        <v>69700</v>
      </c>
      <c r="L182" s="3">
        <v>91910</v>
      </c>
      <c r="M182" s="3">
        <v>9</v>
      </c>
      <c r="N182" s="14">
        <v>6587.2433309999997</v>
      </c>
      <c r="O182" s="7">
        <f t="shared" si="18"/>
        <v>1.7575055826647919E-2</v>
      </c>
      <c r="P182" s="14">
        <f t="shared" si="19"/>
        <v>387.48490182352941</v>
      </c>
      <c r="Q182" s="14">
        <f t="shared" si="20"/>
        <v>731.91592566666668</v>
      </c>
      <c r="R182" s="4">
        <f t="shared" si="21"/>
        <v>52.941176470588239</v>
      </c>
      <c r="S182" s="14">
        <f t="shared" si="22"/>
        <v>71.670583516483518</v>
      </c>
      <c r="T182" s="4">
        <f t="shared" si="23"/>
        <v>72.057728889256467</v>
      </c>
      <c r="U182" s="3">
        <f>LEN(A182) - LEN(SUBSTITUTE(A182,"&gt;","")) +1</f>
        <v>5</v>
      </c>
      <c r="V182" s="8">
        <f t="shared" si="24"/>
        <v>5.4732007764647509E-4</v>
      </c>
      <c r="W182" s="14">
        <f t="shared" si="25"/>
        <v>1317.4486661999999</v>
      </c>
      <c r="X182" s="4">
        <f t="shared" si="26"/>
        <v>1.2712445505971347E-3</v>
      </c>
    </row>
    <row r="183" spans="1:24" ht="14.25" customHeight="1" x14ac:dyDescent="0.2">
      <c r="A183" s="5" t="s">
        <v>299</v>
      </c>
      <c r="B183" s="3" t="s">
        <v>24</v>
      </c>
      <c r="C183" s="3" t="s">
        <v>35</v>
      </c>
      <c r="D183" s="3" t="s">
        <v>2353</v>
      </c>
      <c r="E183" s="3" t="s">
        <v>2354</v>
      </c>
      <c r="F183" s="3" t="s">
        <v>46</v>
      </c>
      <c r="G183" s="3" t="s">
        <v>76</v>
      </c>
      <c r="H183" s="3" t="s">
        <v>163</v>
      </c>
      <c r="I183" s="3">
        <v>42755</v>
      </c>
      <c r="J183" s="3">
        <v>17</v>
      </c>
      <c r="K183" s="3">
        <v>36503</v>
      </c>
      <c r="L183" s="3">
        <v>40051</v>
      </c>
      <c r="M183" s="3">
        <v>12</v>
      </c>
      <c r="N183" s="14">
        <v>6550.3029699999997</v>
      </c>
      <c r="O183" s="7">
        <f t="shared" si="18"/>
        <v>3.9761431411530816E-2</v>
      </c>
      <c r="P183" s="14">
        <f t="shared" si="19"/>
        <v>385.31193941176468</v>
      </c>
      <c r="Q183" s="14">
        <f t="shared" si="20"/>
        <v>545.85858083333335</v>
      </c>
      <c r="R183" s="4">
        <f t="shared" si="21"/>
        <v>70.588235294117652</v>
      </c>
      <c r="S183" s="14">
        <f t="shared" si="22"/>
        <v>163.54904921225437</v>
      </c>
      <c r="T183" s="4">
        <f t="shared" si="23"/>
        <v>85.377148871477019</v>
      </c>
      <c r="U183" s="3">
        <f>LEN(A183) - LEN(SUBSTITUTE(A183,"&gt;","")) +1</f>
        <v>4</v>
      </c>
      <c r="V183" s="8">
        <f t="shared" si="24"/>
        <v>1.6509936918282693E-3</v>
      </c>
      <c r="W183" s="14">
        <f t="shared" si="25"/>
        <v>1637.5757424999999</v>
      </c>
      <c r="X183" s="4">
        <f t="shared" si="26"/>
        <v>5.1417883214792265E-3</v>
      </c>
    </row>
    <row r="184" spans="1:24" ht="14.25" customHeight="1" x14ac:dyDescent="0.2">
      <c r="A184" s="5" t="s">
        <v>1655</v>
      </c>
      <c r="B184" s="3" t="s">
        <v>24</v>
      </c>
      <c r="C184" s="3" t="s">
        <v>32</v>
      </c>
      <c r="D184" s="3" t="s">
        <v>2369</v>
      </c>
      <c r="E184" s="3" t="s">
        <v>2365</v>
      </c>
      <c r="F184" s="3" t="s">
        <v>301</v>
      </c>
      <c r="G184" s="3" t="s">
        <v>27</v>
      </c>
      <c r="H184" s="3" t="s">
        <v>19</v>
      </c>
      <c r="I184" s="3">
        <v>22444</v>
      </c>
      <c r="J184" s="3">
        <v>17</v>
      </c>
      <c r="K184" s="3">
        <v>12672</v>
      </c>
      <c r="L184" s="3">
        <v>21345</v>
      </c>
      <c r="M184" s="3">
        <v>3</v>
      </c>
      <c r="N184" s="14">
        <v>2539.2005629999999</v>
      </c>
      <c r="O184" s="7">
        <f t="shared" si="18"/>
        <v>7.5744074140081982E-2</v>
      </c>
      <c r="P184" s="14">
        <f t="shared" si="19"/>
        <v>149.36473899999999</v>
      </c>
      <c r="Q184" s="14">
        <f t="shared" si="20"/>
        <v>846.40018766666662</v>
      </c>
      <c r="R184" s="4">
        <f t="shared" si="21"/>
        <v>17.647058823529413</v>
      </c>
      <c r="S184" s="14">
        <f t="shared" si="22"/>
        <v>118.95997015694542</v>
      </c>
      <c r="T184" s="4">
        <f t="shared" si="23"/>
        <v>56.460523970771703</v>
      </c>
      <c r="U184" s="3">
        <f>LEN(A184) - LEN(SUBSTITUTE(A184,"&gt;","")) +1</f>
        <v>6</v>
      </c>
      <c r="V184" s="8">
        <f t="shared" si="24"/>
        <v>7.862706658139999E-4</v>
      </c>
      <c r="W184" s="14">
        <f t="shared" si="25"/>
        <v>423.20009383333331</v>
      </c>
      <c r="X184" s="4">
        <f t="shared" si="26"/>
        <v>1.5792294843041904E-3</v>
      </c>
    </row>
    <row r="185" spans="1:24" ht="14.25" customHeight="1" x14ac:dyDescent="0.2">
      <c r="A185" s="5" t="s">
        <v>1656</v>
      </c>
      <c r="B185" s="3" t="s">
        <v>24</v>
      </c>
      <c r="C185" s="3" t="s">
        <v>35</v>
      </c>
      <c r="D185" s="3" t="s">
        <v>2349</v>
      </c>
      <c r="E185" s="3" t="s">
        <v>2350</v>
      </c>
      <c r="F185" s="3" t="s">
        <v>17</v>
      </c>
      <c r="G185" s="3" t="s">
        <v>27</v>
      </c>
      <c r="H185" s="3" t="s">
        <v>114</v>
      </c>
      <c r="I185" s="3">
        <v>65983</v>
      </c>
      <c r="J185" s="3">
        <v>17</v>
      </c>
      <c r="K185" s="3">
        <v>8536</v>
      </c>
      <c r="L185" s="3">
        <v>57434</v>
      </c>
      <c r="M185" s="3">
        <v>1</v>
      </c>
      <c r="N185" s="14">
        <v>1599.076249</v>
      </c>
      <c r="O185" s="7">
        <f t="shared" si="18"/>
        <v>2.5764211993998452E-2</v>
      </c>
      <c r="P185" s="14">
        <f t="shared" si="19"/>
        <v>94.06330876470588</v>
      </c>
      <c r="Q185" s="14">
        <f t="shared" si="20"/>
        <v>1599.076249</v>
      </c>
      <c r="R185" s="4">
        <f t="shared" si="21"/>
        <v>5.8823529411764701</v>
      </c>
      <c r="S185" s="14">
        <f t="shared" si="22"/>
        <v>27.841979472089704</v>
      </c>
      <c r="T185" s="4">
        <f t="shared" si="23"/>
        <v>12.936665504751224</v>
      </c>
      <c r="U185" s="3">
        <f>LEN(A185) - LEN(SUBSTITUTE(A185,"&gt;","")) +1</f>
        <v>5</v>
      </c>
      <c r="V185" s="8">
        <f t="shared" si="24"/>
        <v>8.914952247058288E-5</v>
      </c>
      <c r="W185" s="14">
        <f t="shared" si="25"/>
        <v>319.8152498</v>
      </c>
      <c r="X185" s="4">
        <f t="shared" si="26"/>
        <v>9.4776086065168544E-5</v>
      </c>
    </row>
    <row r="186" spans="1:24" ht="14.25" customHeight="1" x14ac:dyDescent="0.2">
      <c r="A186" s="5" t="s">
        <v>1657</v>
      </c>
      <c r="B186" s="3" t="s">
        <v>24</v>
      </c>
      <c r="C186" s="3" t="s">
        <v>32</v>
      </c>
      <c r="D186" s="3" t="s">
        <v>2384</v>
      </c>
      <c r="E186" s="3" t="s">
        <v>2385</v>
      </c>
      <c r="F186" s="3" t="s">
        <v>79</v>
      </c>
      <c r="G186" s="3" t="s">
        <v>64</v>
      </c>
      <c r="H186" s="3" t="s">
        <v>19</v>
      </c>
      <c r="I186" s="3">
        <v>197192</v>
      </c>
      <c r="J186" s="3">
        <v>17</v>
      </c>
      <c r="K186" s="3">
        <v>80623</v>
      </c>
      <c r="L186" s="3">
        <v>181763</v>
      </c>
      <c r="M186" s="3">
        <v>5</v>
      </c>
      <c r="N186" s="14">
        <v>1584.731757</v>
      </c>
      <c r="O186" s="7">
        <f t="shared" si="18"/>
        <v>8.6210393930788269E-3</v>
      </c>
      <c r="P186" s="14">
        <f t="shared" si="19"/>
        <v>93.219515117647063</v>
      </c>
      <c r="Q186" s="14">
        <f t="shared" si="20"/>
        <v>316.94635140000003</v>
      </c>
      <c r="R186" s="4">
        <f t="shared" si="21"/>
        <v>29.411764705882355</v>
      </c>
      <c r="S186" s="14">
        <f t="shared" si="22"/>
        <v>8.7186707800817551</v>
      </c>
      <c r="T186" s="4">
        <f t="shared" si="23"/>
        <v>40.885532881658484</v>
      </c>
      <c r="U186" s="3">
        <f>LEN(A186) - LEN(SUBSTITUTE(A186,"&gt;","")) +1</f>
        <v>4</v>
      </c>
      <c r="V186" s="8">
        <f t="shared" si="24"/>
        <v>1.4915293067610427E-4</v>
      </c>
      <c r="W186" s="14">
        <f t="shared" si="25"/>
        <v>396.18293925</v>
      </c>
      <c r="X186" s="4">
        <f t="shared" si="26"/>
        <v>8.0000915306128139E-4</v>
      </c>
    </row>
    <row r="187" spans="1:24" ht="14.25" customHeight="1" x14ac:dyDescent="0.2">
      <c r="A187" s="5" t="s">
        <v>1499</v>
      </c>
      <c r="B187" s="3" t="s">
        <v>14</v>
      </c>
      <c r="C187" s="3" t="s">
        <v>15</v>
      </c>
      <c r="D187" s="3" t="s">
        <v>2349</v>
      </c>
      <c r="E187" s="3" t="s">
        <v>2350</v>
      </c>
      <c r="F187" s="3" t="s">
        <v>98</v>
      </c>
      <c r="G187" s="3" t="s">
        <v>64</v>
      </c>
      <c r="H187" s="3" t="s">
        <v>19</v>
      </c>
      <c r="I187" s="3">
        <v>10677</v>
      </c>
      <c r="J187" s="3">
        <v>17</v>
      </c>
      <c r="K187" s="3">
        <v>7247</v>
      </c>
      <c r="L187" s="3">
        <v>10338</v>
      </c>
      <c r="M187" s="3">
        <v>1</v>
      </c>
      <c r="N187" s="14">
        <v>1483.452706</v>
      </c>
      <c r="O187" s="7">
        <f t="shared" si="18"/>
        <v>0.15922075489369672</v>
      </c>
      <c r="P187" s="14">
        <f t="shared" si="19"/>
        <v>87.261923882352946</v>
      </c>
      <c r="Q187" s="14">
        <f t="shared" si="20"/>
        <v>1483.452706</v>
      </c>
      <c r="R187" s="4">
        <f t="shared" si="21"/>
        <v>5.8823529411764701</v>
      </c>
      <c r="S187" s="14">
        <f t="shared" si="22"/>
        <v>143.49513503579027</v>
      </c>
      <c r="T187" s="4">
        <f t="shared" si="23"/>
        <v>67.874871218507067</v>
      </c>
      <c r="U187" s="3">
        <f>LEN(A187) - LEN(SUBSTITUTE(A187,"&gt;","")) +1</f>
        <v>2</v>
      </c>
      <c r="V187" s="8">
        <f t="shared" si="24"/>
        <v>5.5093686814427925E-4</v>
      </c>
      <c r="W187" s="14">
        <f t="shared" si="25"/>
        <v>741.72635300000002</v>
      </c>
      <c r="X187" s="4">
        <f t="shared" si="26"/>
        <v>6.3135998340703068E-4</v>
      </c>
    </row>
    <row r="188" spans="1:24" ht="14.25" customHeight="1" x14ac:dyDescent="0.2">
      <c r="A188" s="5" t="s">
        <v>306</v>
      </c>
      <c r="B188" s="3" t="s">
        <v>68</v>
      </c>
      <c r="C188" s="3" t="s">
        <v>35</v>
      </c>
      <c r="D188" s="3" t="s">
        <v>2353</v>
      </c>
      <c r="E188" s="3" t="s">
        <v>2354</v>
      </c>
      <c r="F188" s="3" t="s">
        <v>79</v>
      </c>
      <c r="G188" s="3" t="s">
        <v>22</v>
      </c>
      <c r="H188" s="3" t="s">
        <v>19</v>
      </c>
      <c r="I188" s="3">
        <v>40929</v>
      </c>
      <c r="J188" s="3">
        <v>16</v>
      </c>
      <c r="K188" s="3">
        <v>9249</v>
      </c>
      <c r="L188" s="3">
        <v>31564</v>
      </c>
      <c r="M188" s="3">
        <v>1</v>
      </c>
      <c r="N188" s="14">
        <v>6764.5206369999996</v>
      </c>
      <c r="O188" s="7">
        <f t="shared" si="18"/>
        <v>3.9092086295780502E-2</v>
      </c>
      <c r="P188" s="14">
        <f t="shared" si="19"/>
        <v>422.78253981249998</v>
      </c>
      <c r="Q188" s="14">
        <f t="shared" si="20"/>
        <v>6764.5206369999996</v>
      </c>
      <c r="R188" s="4">
        <f t="shared" si="21"/>
        <v>6.25</v>
      </c>
      <c r="S188" s="14">
        <f t="shared" si="22"/>
        <v>214.31126083512862</v>
      </c>
      <c r="T188" s="4">
        <f t="shared" si="23"/>
        <v>22.597669134354614</v>
      </c>
      <c r="U188" s="3">
        <f>LEN(A188) - LEN(SUBSTITUTE(A188,"&gt;","")) +1</f>
        <v>4</v>
      </c>
      <c r="V188" s="8">
        <f t="shared" si="24"/>
        <v>1.5270346209289256E-4</v>
      </c>
      <c r="W188" s="14">
        <f t="shared" si="25"/>
        <v>1691.1301592499999</v>
      </c>
      <c r="X188" s="4">
        <f t="shared" si="26"/>
        <v>3.6118677502768943E-5</v>
      </c>
    </row>
    <row r="189" spans="1:24" ht="14.25" customHeight="1" x14ac:dyDescent="0.2">
      <c r="A189" s="5" t="s">
        <v>1658</v>
      </c>
      <c r="B189" s="3" t="s">
        <v>24</v>
      </c>
      <c r="C189" s="3" t="s">
        <v>15</v>
      </c>
      <c r="D189" s="3" t="s">
        <v>2359</v>
      </c>
      <c r="E189" s="3" t="s">
        <v>2360</v>
      </c>
      <c r="F189" s="3" t="s">
        <v>159</v>
      </c>
      <c r="G189" s="3" t="s">
        <v>27</v>
      </c>
      <c r="H189" s="3" t="s">
        <v>114</v>
      </c>
      <c r="I189" s="3">
        <v>69239</v>
      </c>
      <c r="J189" s="3">
        <v>16</v>
      </c>
      <c r="K189" s="3">
        <v>23112</v>
      </c>
      <c r="L189" s="3">
        <v>65390</v>
      </c>
      <c r="M189" s="3">
        <v>1</v>
      </c>
      <c r="N189" s="14">
        <v>4514.9527239999998</v>
      </c>
      <c r="O189" s="7">
        <f t="shared" si="18"/>
        <v>2.3108363783416859E-2</v>
      </c>
      <c r="P189" s="14">
        <f t="shared" si="19"/>
        <v>282.18454524999999</v>
      </c>
      <c r="Q189" s="14">
        <f t="shared" si="20"/>
        <v>4514.9527239999998</v>
      </c>
      <c r="R189" s="4">
        <f t="shared" si="21"/>
        <v>6.25</v>
      </c>
      <c r="S189" s="14">
        <f t="shared" si="22"/>
        <v>69.04653194678086</v>
      </c>
      <c r="T189" s="4">
        <f t="shared" si="23"/>
        <v>33.380031485145658</v>
      </c>
      <c r="U189" s="3">
        <f>LEN(A189) - LEN(SUBSTITUTE(A189,"&gt;","")) +1</f>
        <v>5</v>
      </c>
      <c r="V189" s="8">
        <f t="shared" si="24"/>
        <v>9.0267046028972105E-5</v>
      </c>
      <c r="W189" s="14">
        <f t="shared" si="25"/>
        <v>902.99054479999995</v>
      </c>
      <c r="X189" s="4">
        <f t="shared" si="26"/>
        <v>3.1988656908549149E-5</v>
      </c>
    </row>
    <row r="190" spans="1:24" ht="14.25" customHeight="1" x14ac:dyDescent="0.2">
      <c r="A190" s="5" t="s">
        <v>1659</v>
      </c>
      <c r="B190" s="3" t="s">
        <v>24</v>
      </c>
      <c r="C190" s="3" t="s">
        <v>15</v>
      </c>
      <c r="D190" s="3" t="s">
        <v>2361</v>
      </c>
      <c r="E190" s="3" t="s">
        <v>2360</v>
      </c>
      <c r="F190" s="3" t="s">
        <v>250</v>
      </c>
      <c r="G190" s="3" t="s">
        <v>41</v>
      </c>
      <c r="H190" s="3" t="s">
        <v>163</v>
      </c>
      <c r="I190" s="3">
        <v>65043</v>
      </c>
      <c r="J190" s="3">
        <v>16</v>
      </c>
      <c r="K190" s="3">
        <v>25871</v>
      </c>
      <c r="L190" s="3">
        <v>53969</v>
      </c>
      <c r="M190" s="3">
        <v>2</v>
      </c>
      <c r="N190" s="14">
        <v>2347.9185309999998</v>
      </c>
      <c r="O190" s="7">
        <f t="shared" si="18"/>
        <v>2.4599111357102226E-2</v>
      </c>
      <c r="P190" s="14">
        <f t="shared" si="19"/>
        <v>146.74490818749999</v>
      </c>
      <c r="Q190" s="14">
        <f t="shared" si="20"/>
        <v>1173.9592654999999</v>
      </c>
      <c r="R190" s="4">
        <f t="shared" si="21"/>
        <v>12.5</v>
      </c>
      <c r="S190" s="14">
        <f t="shared" si="22"/>
        <v>43.504947858956058</v>
      </c>
      <c r="T190" s="4">
        <f t="shared" si="23"/>
        <v>39.775225619974478</v>
      </c>
      <c r="U190" s="3">
        <f>LEN(A190) - LEN(SUBSTITUTE(A190,"&gt;","")) +1</f>
        <v>6</v>
      </c>
      <c r="V190" s="8">
        <f t="shared" si="24"/>
        <v>1.9218055747736114E-4</v>
      </c>
      <c r="W190" s="14">
        <f t="shared" si="25"/>
        <v>391.31975516666665</v>
      </c>
      <c r="X190" s="4">
        <f t="shared" si="26"/>
        <v>2.6192466893884558E-4</v>
      </c>
    </row>
    <row r="191" spans="1:24" ht="14.25" customHeight="1" x14ac:dyDescent="0.2">
      <c r="A191" s="5" t="s">
        <v>1660</v>
      </c>
      <c r="B191" s="3" t="s">
        <v>14</v>
      </c>
      <c r="C191" s="3" t="s">
        <v>32</v>
      </c>
      <c r="D191" s="3" t="s">
        <v>2353</v>
      </c>
      <c r="E191" s="3" t="s">
        <v>2354</v>
      </c>
      <c r="F191" s="3" t="s">
        <v>40</v>
      </c>
      <c r="G191" s="3" t="s">
        <v>27</v>
      </c>
      <c r="H191" s="3" t="s">
        <v>19</v>
      </c>
      <c r="I191" s="3">
        <v>297347</v>
      </c>
      <c r="J191" s="3">
        <v>16</v>
      </c>
      <c r="K191" s="3">
        <v>166412</v>
      </c>
      <c r="L191" s="3">
        <v>251319</v>
      </c>
      <c r="M191" s="3">
        <v>4</v>
      </c>
      <c r="N191" s="14">
        <v>2255.5224090000002</v>
      </c>
      <c r="O191" s="7">
        <f t="shared" si="18"/>
        <v>5.3809185900648062E-3</v>
      </c>
      <c r="P191" s="14">
        <f t="shared" si="19"/>
        <v>140.97015056250001</v>
      </c>
      <c r="Q191" s="14">
        <f t="shared" si="20"/>
        <v>563.88060225000004</v>
      </c>
      <c r="R191" s="4">
        <f t="shared" si="21"/>
        <v>25</v>
      </c>
      <c r="S191" s="14">
        <f t="shared" si="22"/>
        <v>8.9747389134924145</v>
      </c>
      <c r="T191" s="4">
        <f t="shared" si="23"/>
        <v>55.965589025616538</v>
      </c>
      <c r="U191" s="3">
        <f>LEN(A191) - LEN(SUBSTITUTE(A191,"&gt;","")) +1</f>
        <v>4</v>
      </c>
      <c r="V191" s="8">
        <f t="shared" si="24"/>
        <v>8.4076852969762597E-5</v>
      </c>
      <c r="W191" s="14">
        <f t="shared" si="25"/>
        <v>563.88060225000004</v>
      </c>
      <c r="X191" s="4">
        <f t="shared" si="26"/>
        <v>2.3856639901221241E-4</v>
      </c>
    </row>
    <row r="192" spans="1:24" ht="14.25" customHeight="1" x14ac:dyDescent="0.2">
      <c r="A192" s="5" t="s">
        <v>1661</v>
      </c>
      <c r="B192" s="3" t="s">
        <v>14</v>
      </c>
      <c r="C192" s="3" t="s">
        <v>15</v>
      </c>
      <c r="D192" s="3" t="s">
        <v>2362</v>
      </c>
      <c r="E192" s="3" t="s">
        <v>2352</v>
      </c>
      <c r="F192" s="3" t="s">
        <v>250</v>
      </c>
      <c r="G192" s="3" t="s">
        <v>27</v>
      </c>
      <c r="H192" s="3" t="s">
        <v>19</v>
      </c>
      <c r="I192" s="3">
        <v>104814</v>
      </c>
      <c r="J192" s="3">
        <v>16</v>
      </c>
      <c r="K192" s="3">
        <v>55984</v>
      </c>
      <c r="L192" s="3">
        <v>99432</v>
      </c>
      <c r="M192" s="3">
        <v>5</v>
      </c>
      <c r="N192" s="14">
        <v>1942.8475129999999</v>
      </c>
      <c r="O192" s="7">
        <f t="shared" si="18"/>
        <v>1.5265136336748909E-2</v>
      </c>
      <c r="P192" s="14">
        <f t="shared" si="19"/>
        <v>121.4279695625</v>
      </c>
      <c r="Q192" s="14">
        <f t="shared" si="20"/>
        <v>388.56950259999996</v>
      </c>
      <c r="R192" s="4">
        <f t="shared" si="21"/>
        <v>31.25</v>
      </c>
      <c r="S192" s="14">
        <f t="shared" si="22"/>
        <v>19.539459258588785</v>
      </c>
      <c r="T192" s="4">
        <f t="shared" si="23"/>
        <v>53.412712042284426</v>
      </c>
      <c r="U192" s="3">
        <f>LEN(A192) - LEN(SUBSTITUTE(A192,"&gt;","")) +1</f>
        <v>4</v>
      </c>
      <c r="V192" s="8">
        <f t="shared" si="24"/>
        <v>2.9814719407712711E-4</v>
      </c>
      <c r="W192" s="14">
        <f t="shared" si="25"/>
        <v>485.71187824999998</v>
      </c>
      <c r="X192" s="4">
        <f t="shared" si="26"/>
        <v>1.227671001793653E-3</v>
      </c>
    </row>
    <row r="193" spans="1:24" ht="14.25" customHeight="1" x14ac:dyDescent="0.2">
      <c r="A193" s="5" t="s">
        <v>1662</v>
      </c>
      <c r="B193" s="3" t="s">
        <v>24</v>
      </c>
      <c r="C193" s="3" t="s">
        <v>35</v>
      </c>
      <c r="D193" s="3" t="s">
        <v>2386</v>
      </c>
      <c r="E193" s="3" t="s">
        <v>2387</v>
      </c>
      <c r="F193" s="3" t="s">
        <v>40</v>
      </c>
      <c r="G193" s="3" t="s">
        <v>27</v>
      </c>
      <c r="H193" s="3" t="s">
        <v>19</v>
      </c>
      <c r="I193" s="3">
        <v>311753</v>
      </c>
      <c r="J193" s="3">
        <v>16</v>
      </c>
      <c r="K193" s="3">
        <v>170122</v>
      </c>
      <c r="L193" s="3">
        <v>256841</v>
      </c>
      <c r="M193" s="3">
        <v>6</v>
      </c>
      <c r="N193" s="14">
        <v>1543.6126549999999</v>
      </c>
      <c r="O193" s="7">
        <f t="shared" si="18"/>
        <v>5.1322681738427542E-3</v>
      </c>
      <c r="P193" s="14">
        <f t="shared" si="19"/>
        <v>96.475790937499994</v>
      </c>
      <c r="Q193" s="14">
        <f t="shared" si="20"/>
        <v>257.26877583333334</v>
      </c>
      <c r="R193" s="4">
        <f t="shared" si="21"/>
        <v>37.5</v>
      </c>
      <c r="S193" s="14">
        <f t="shared" si="22"/>
        <v>6.0099931669787923</v>
      </c>
      <c r="T193" s="4">
        <f t="shared" si="23"/>
        <v>54.569482891904805</v>
      </c>
      <c r="U193" s="3">
        <f>LEN(A193) - LEN(SUBSTITUTE(A193,"&gt;","")) +1</f>
        <v>3</v>
      </c>
      <c r="V193" s="8">
        <f t="shared" si="24"/>
        <v>1.2028753532443954E-4</v>
      </c>
      <c r="W193" s="14">
        <f t="shared" si="25"/>
        <v>514.53755166666667</v>
      </c>
      <c r="X193" s="4">
        <f t="shared" si="26"/>
        <v>7.4808944807116758E-4</v>
      </c>
    </row>
    <row r="194" spans="1:24" ht="14.25" customHeight="1" x14ac:dyDescent="0.2">
      <c r="A194" s="5" t="s">
        <v>1663</v>
      </c>
      <c r="B194" s="3" t="s">
        <v>68</v>
      </c>
      <c r="C194" s="3" t="s">
        <v>15</v>
      </c>
      <c r="D194" s="3" t="s">
        <v>2363</v>
      </c>
      <c r="E194" s="3" t="s">
        <v>2358</v>
      </c>
      <c r="F194" s="3" t="s">
        <v>79</v>
      </c>
      <c r="G194" s="3" t="s">
        <v>27</v>
      </c>
      <c r="H194" s="3" t="s">
        <v>19</v>
      </c>
      <c r="I194" s="3">
        <v>257862</v>
      </c>
      <c r="J194" s="3">
        <v>15</v>
      </c>
      <c r="K194" s="3">
        <v>105048</v>
      </c>
      <c r="L194" s="3">
        <v>238629</v>
      </c>
      <c r="M194" s="3">
        <v>21</v>
      </c>
      <c r="N194" s="14">
        <v>5899.4294829999999</v>
      </c>
      <c r="O194" s="7">
        <f t="shared" si="18"/>
        <v>5.8170649417130091E-3</v>
      </c>
      <c r="P194" s="14">
        <f t="shared" si="19"/>
        <v>393.29529886666666</v>
      </c>
      <c r="Q194" s="14">
        <f t="shared" si="20"/>
        <v>280.92521347619049</v>
      </c>
      <c r="R194" s="4">
        <f t="shared" si="21"/>
        <v>140</v>
      </c>
      <c r="S194" s="14">
        <f t="shared" si="22"/>
        <v>24.722181641795423</v>
      </c>
      <c r="T194" s="4">
        <f t="shared" si="23"/>
        <v>40.738069199804542</v>
      </c>
      <c r="U194" s="3">
        <f>LEN(A194) - LEN(SUBSTITUTE(A194,"&gt;","")) +1</f>
        <v>5</v>
      </c>
      <c r="V194" s="8">
        <f t="shared" si="24"/>
        <v>5.4292606122654749E-4</v>
      </c>
      <c r="W194" s="14">
        <f t="shared" si="25"/>
        <v>1179.8858966</v>
      </c>
      <c r="X194" s="4">
        <f t="shared" si="26"/>
        <v>2.8989533611544051E-3</v>
      </c>
    </row>
    <row r="195" spans="1:24" ht="14.25" customHeight="1" x14ac:dyDescent="0.2">
      <c r="A195" s="5" t="s">
        <v>1664</v>
      </c>
      <c r="B195" s="3" t="s">
        <v>14</v>
      </c>
      <c r="C195" s="3" t="s">
        <v>35</v>
      </c>
      <c r="D195" s="3" t="s">
        <v>2362</v>
      </c>
      <c r="E195" s="3" t="s">
        <v>2352</v>
      </c>
      <c r="F195" s="3" t="s">
        <v>315</v>
      </c>
      <c r="G195" s="3" t="s">
        <v>38</v>
      </c>
      <c r="H195" s="3" t="s">
        <v>19</v>
      </c>
      <c r="I195" s="3">
        <v>23941</v>
      </c>
      <c r="J195" s="3">
        <v>15</v>
      </c>
      <c r="K195" s="3">
        <v>13054</v>
      </c>
      <c r="L195" s="3">
        <v>22276</v>
      </c>
      <c r="M195" s="3">
        <v>1</v>
      </c>
      <c r="N195" s="14">
        <v>2856.1654250000001</v>
      </c>
      <c r="O195" s="7">
        <f t="shared" ref="O195:O258" si="27">IFERROR((J195/I195)*100, 0)</f>
        <v>6.265402447683889E-2</v>
      </c>
      <c r="P195" s="14">
        <f t="shared" ref="P195:P258" si="28">IFERROR(N195/J195, 0)</f>
        <v>190.41102833333335</v>
      </c>
      <c r="Q195" s="14">
        <f t="shared" ref="Q195:Q258" si="29">IFERROR(N195/M195, 0)</f>
        <v>2856.1654250000001</v>
      </c>
      <c r="R195" s="4">
        <f t="shared" ref="R195:R258" si="30">IFERROR((M195/J195)*100, 0)</f>
        <v>6.666666666666667</v>
      </c>
      <c r="S195" s="14">
        <f t="shared" ref="S195:S258" si="31">IFERROR((N195/L195)*1000, 0)</f>
        <v>128.21715860118513</v>
      </c>
      <c r="T195" s="4">
        <f t="shared" ref="T195:T258" si="32">(K195/I195)*100</f>
        <v>54.525709034710331</v>
      </c>
      <c r="U195" s="3">
        <f>LEN(A195) - LEN(SUBSTITUTE(A195,"&gt;","")) +1</f>
        <v>5</v>
      </c>
      <c r="V195" s="8">
        <f t="shared" ref="V195:V258" si="33">R195/I195</f>
        <v>2.784623310081729E-4</v>
      </c>
      <c r="W195" s="14">
        <f t="shared" ref="W195:W258" si="34">N195/U195</f>
        <v>571.23308500000007</v>
      </c>
      <c r="X195" s="4">
        <f t="shared" ref="X195:X258" si="35">(O195*R195/Q195)</f>
        <v>1.4624275360810351E-4</v>
      </c>
    </row>
    <row r="196" spans="1:24" ht="14.25" customHeight="1" x14ac:dyDescent="0.2">
      <c r="A196" s="5" t="s">
        <v>1665</v>
      </c>
      <c r="B196" s="3" t="s">
        <v>24</v>
      </c>
      <c r="C196" s="3" t="s">
        <v>15</v>
      </c>
      <c r="D196" s="3" t="s">
        <v>2353</v>
      </c>
      <c r="E196" s="3" t="s">
        <v>2354</v>
      </c>
      <c r="F196" s="3" t="s">
        <v>79</v>
      </c>
      <c r="G196" s="3" t="s">
        <v>38</v>
      </c>
      <c r="H196" s="3" t="s">
        <v>19</v>
      </c>
      <c r="I196" s="3">
        <v>564387</v>
      </c>
      <c r="J196" s="3">
        <v>15</v>
      </c>
      <c r="K196" s="3">
        <v>78234</v>
      </c>
      <c r="L196" s="3">
        <v>438695</v>
      </c>
      <c r="M196" s="3">
        <v>6</v>
      </c>
      <c r="N196" s="14">
        <v>2712.3796779999998</v>
      </c>
      <c r="O196" s="7">
        <f t="shared" si="27"/>
        <v>2.657750798654115E-3</v>
      </c>
      <c r="P196" s="14">
        <f t="shared" si="28"/>
        <v>180.82531186666665</v>
      </c>
      <c r="Q196" s="14">
        <f t="shared" si="29"/>
        <v>452.06327966666663</v>
      </c>
      <c r="R196" s="4">
        <f t="shared" si="30"/>
        <v>40</v>
      </c>
      <c r="S196" s="14">
        <f t="shared" si="31"/>
        <v>6.1828370006496538</v>
      </c>
      <c r="T196" s="4">
        <f t="shared" si="32"/>
        <v>13.861765065460402</v>
      </c>
      <c r="U196" s="3">
        <f>LEN(A196) - LEN(SUBSTITUTE(A196,"&gt;","")) +1</f>
        <v>6</v>
      </c>
      <c r="V196" s="8">
        <f t="shared" si="33"/>
        <v>7.0873354630776402E-5</v>
      </c>
      <c r="W196" s="14">
        <f t="shared" si="34"/>
        <v>452.06327966666663</v>
      </c>
      <c r="X196" s="4">
        <f t="shared" si="35"/>
        <v>2.3516626261826302E-4</v>
      </c>
    </row>
    <row r="197" spans="1:24" ht="14.25" customHeight="1" x14ac:dyDescent="0.2">
      <c r="A197" s="5" t="s">
        <v>1666</v>
      </c>
      <c r="B197" s="3" t="s">
        <v>14</v>
      </c>
      <c r="C197" s="3" t="s">
        <v>15</v>
      </c>
      <c r="D197" s="3" t="s">
        <v>2368</v>
      </c>
      <c r="E197" s="3" t="s">
        <v>2352</v>
      </c>
      <c r="F197" s="3" t="s">
        <v>318</v>
      </c>
      <c r="G197" s="3" t="s">
        <v>22</v>
      </c>
      <c r="H197" s="3" t="s">
        <v>19</v>
      </c>
      <c r="I197" s="3">
        <v>13466</v>
      </c>
      <c r="J197" s="3">
        <v>15</v>
      </c>
      <c r="K197" s="3">
        <v>8684</v>
      </c>
      <c r="L197" s="3">
        <v>11766</v>
      </c>
      <c r="M197" s="3">
        <v>1</v>
      </c>
      <c r="N197" s="14">
        <v>1527.1762739999999</v>
      </c>
      <c r="O197" s="7">
        <f t="shared" si="27"/>
        <v>0.11139165305213131</v>
      </c>
      <c r="P197" s="14">
        <f t="shared" si="28"/>
        <v>101.81175159999999</v>
      </c>
      <c r="Q197" s="14">
        <f t="shared" si="29"/>
        <v>1527.1762739999999</v>
      </c>
      <c r="R197" s="4">
        <f t="shared" si="30"/>
        <v>6.666666666666667</v>
      </c>
      <c r="S197" s="14">
        <f t="shared" si="31"/>
        <v>129.79570576236614</v>
      </c>
      <c r="T197" s="4">
        <f t="shared" si="32"/>
        <v>64.488341006980548</v>
      </c>
      <c r="U197" s="3">
        <f>LEN(A197) - LEN(SUBSTITUTE(A197,"&gt;","")) +1</f>
        <v>3</v>
      </c>
      <c r="V197" s="8">
        <f t="shared" si="33"/>
        <v>4.9507401356502798E-4</v>
      </c>
      <c r="W197" s="14">
        <f t="shared" si="34"/>
        <v>509.05875799999995</v>
      </c>
      <c r="X197" s="4">
        <f t="shared" si="35"/>
        <v>4.8626411566916612E-4</v>
      </c>
    </row>
    <row r="198" spans="1:24" ht="14.25" customHeight="1" x14ac:dyDescent="0.2">
      <c r="A198" s="5" t="s">
        <v>1667</v>
      </c>
      <c r="B198" s="3" t="s">
        <v>14</v>
      </c>
      <c r="C198" s="3" t="s">
        <v>29</v>
      </c>
      <c r="D198" s="3" t="s">
        <v>2349</v>
      </c>
      <c r="E198" s="3" t="s">
        <v>2350</v>
      </c>
      <c r="F198" s="3" t="s">
        <v>320</v>
      </c>
      <c r="G198" s="3" t="s">
        <v>33</v>
      </c>
      <c r="H198" s="3" t="s">
        <v>19</v>
      </c>
      <c r="I198" s="3">
        <v>25532</v>
      </c>
      <c r="J198" s="3">
        <v>14</v>
      </c>
      <c r="K198" s="3">
        <v>15219</v>
      </c>
      <c r="L198" s="3">
        <v>21497</v>
      </c>
      <c r="M198" s="3">
        <v>9</v>
      </c>
      <c r="N198" s="14">
        <v>6047.1741089999996</v>
      </c>
      <c r="O198" s="7">
        <f t="shared" si="27"/>
        <v>5.4833150556164806E-2</v>
      </c>
      <c r="P198" s="14">
        <f t="shared" si="28"/>
        <v>431.94100778571425</v>
      </c>
      <c r="Q198" s="14">
        <f t="shared" si="29"/>
        <v>671.90823433333333</v>
      </c>
      <c r="R198" s="4">
        <f t="shared" si="30"/>
        <v>64.285714285714292</v>
      </c>
      <c r="S198" s="14">
        <f t="shared" si="31"/>
        <v>281.30316365074191</v>
      </c>
      <c r="T198" s="4">
        <f t="shared" si="32"/>
        <v>59.607551308162307</v>
      </c>
      <c r="U198" s="3">
        <f>LEN(A198) - LEN(SUBSTITUTE(A198,"&gt;","")) +1</f>
        <v>6</v>
      </c>
      <c r="V198" s="8">
        <f t="shared" si="33"/>
        <v>2.5178487500279764E-3</v>
      </c>
      <c r="W198" s="14">
        <f t="shared" si="34"/>
        <v>1007.8623514999999</v>
      </c>
      <c r="X198" s="4">
        <f t="shared" si="35"/>
        <v>5.2462346343123125E-3</v>
      </c>
    </row>
    <row r="199" spans="1:24" ht="14.25" customHeight="1" x14ac:dyDescent="0.2">
      <c r="A199" s="5" t="s">
        <v>321</v>
      </c>
      <c r="B199" s="3" t="s">
        <v>14</v>
      </c>
      <c r="C199" s="3" t="s">
        <v>15</v>
      </c>
      <c r="D199" s="3" t="s">
        <v>2355</v>
      </c>
      <c r="E199" s="3" t="s">
        <v>2356</v>
      </c>
      <c r="F199" s="3" t="s">
        <v>157</v>
      </c>
      <c r="G199" s="3" t="s">
        <v>27</v>
      </c>
      <c r="H199" s="3" t="s">
        <v>19</v>
      </c>
      <c r="I199" s="3">
        <v>18412</v>
      </c>
      <c r="J199" s="3">
        <v>14</v>
      </c>
      <c r="K199" s="3">
        <v>5668</v>
      </c>
      <c r="L199" s="3">
        <v>16711</v>
      </c>
      <c r="M199" s="3">
        <v>2</v>
      </c>
      <c r="N199" s="14">
        <v>5244.3417399999998</v>
      </c>
      <c r="O199" s="7">
        <f t="shared" si="27"/>
        <v>7.6037366934607858E-2</v>
      </c>
      <c r="P199" s="14">
        <f t="shared" si="28"/>
        <v>374.59583857142854</v>
      </c>
      <c r="Q199" s="14">
        <f t="shared" si="29"/>
        <v>2622.1708699999999</v>
      </c>
      <c r="R199" s="4">
        <f t="shared" si="30"/>
        <v>14.285714285714285</v>
      </c>
      <c r="S199" s="14">
        <f t="shared" si="31"/>
        <v>313.82572796361677</v>
      </c>
      <c r="T199" s="4">
        <f t="shared" si="32"/>
        <v>30.784271127525525</v>
      </c>
      <c r="U199" s="3">
        <f>LEN(A199) - LEN(SUBSTITUTE(A199,"&gt;","")) +1</f>
        <v>4</v>
      </c>
      <c r="V199" s="8">
        <f t="shared" si="33"/>
        <v>7.7589149933273327E-4</v>
      </c>
      <c r="W199" s="14">
        <f t="shared" si="34"/>
        <v>1311.085435</v>
      </c>
      <c r="X199" s="4">
        <f t="shared" si="35"/>
        <v>4.1425526898093663E-4</v>
      </c>
    </row>
    <row r="200" spans="1:24" ht="14.25" customHeight="1" x14ac:dyDescent="0.2">
      <c r="A200" s="5" t="s">
        <v>1668</v>
      </c>
      <c r="B200" s="3" t="s">
        <v>14</v>
      </c>
      <c r="C200" s="3" t="s">
        <v>32</v>
      </c>
      <c r="D200" s="3" t="s">
        <v>2368</v>
      </c>
      <c r="E200" s="3" t="s">
        <v>2352</v>
      </c>
      <c r="F200" s="3" t="s">
        <v>166</v>
      </c>
      <c r="G200" s="3" t="s">
        <v>323</v>
      </c>
      <c r="H200" s="3" t="s">
        <v>19</v>
      </c>
      <c r="I200" s="3">
        <v>22175</v>
      </c>
      <c r="J200" s="3">
        <v>14</v>
      </c>
      <c r="K200" s="3">
        <v>14910</v>
      </c>
      <c r="L200" s="3">
        <v>20074</v>
      </c>
      <c r="M200" s="3">
        <v>2</v>
      </c>
      <c r="N200" s="14">
        <v>1909.2774830000001</v>
      </c>
      <c r="O200" s="7">
        <f t="shared" si="27"/>
        <v>6.3134160090191654E-2</v>
      </c>
      <c r="P200" s="14">
        <f t="shared" si="28"/>
        <v>136.37696307142858</v>
      </c>
      <c r="Q200" s="14">
        <f t="shared" si="29"/>
        <v>954.63874150000004</v>
      </c>
      <c r="R200" s="4">
        <f t="shared" si="30"/>
        <v>14.285714285714285</v>
      </c>
      <c r="S200" s="14">
        <f t="shared" si="31"/>
        <v>95.111959898376014</v>
      </c>
      <c r="T200" s="4">
        <f t="shared" si="32"/>
        <v>67.237880496054117</v>
      </c>
      <c r="U200" s="3">
        <f>LEN(A200) - LEN(SUBSTITUTE(A200,"&gt;","")) +1</f>
        <v>5</v>
      </c>
      <c r="V200" s="8">
        <f t="shared" si="33"/>
        <v>6.4422612336930253E-4</v>
      </c>
      <c r="W200" s="14">
        <f t="shared" si="34"/>
        <v>381.85549660000004</v>
      </c>
      <c r="X200" s="4">
        <f t="shared" si="35"/>
        <v>9.4477264907546544E-4</v>
      </c>
    </row>
    <row r="201" spans="1:24" ht="14.25" customHeight="1" x14ac:dyDescent="0.2">
      <c r="A201" s="5" t="s">
        <v>1669</v>
      </c>
      <c r="B201" s="3" t="s">
        <v>24</v>
      </c>
      <c r="C201" s="3" t="s">
        <v>15</v>
      </c>
      <c r="D201" s="3" t="s">
        <v>2353</v>
      </c>
      <c r="E201" s="3" t="s">
        <v>2354</v>
      </c>
      <c r="F201" s="3" t="s">
        <v>79</v>
      </c>
      <c r="G201" s="3" t="s">
        <v>41</v>
      </c>
      <c r="H201" s="3" t="s">
        <v>19</v>
      </c>
      <c r="I201" s="3">
        <v>180353</v>
      </c>
      <c r="J201" s="3">
        <v>14</v>
      </c>
      <c r="K201" s="3">
        <v>67637</v>
      </c>
      <c r="L201" s="3">
        <v>145416</v>
      </c>
      <c r="M201" s="3">
        <v>8</v>
      </c>
      <c r="N201" s="14">
        <v>1720.881985</v>
      </c>
      <c r="O201" s="7">
        <f t="shared" si="27"/>
        <v>7.7625545458073894E-3</v>
      </c>
      <c r="P201" s="14">
        <f t="shared" si="28"/>
        <v>122.92014178571428</v>
      </c>
      <c r="Q201" s="14">
        <f t="shared" si="29"/>
        <v>215.110248125</v>
      </c>
      <c r="R201" s="4">
        <f t="shared" si="30"/>
        <v>57.142857142857139</v>
      </c>
      <c r="S201" s="14">
        <f t="shared" si="31"/>
        <v>11.834199709798098</v>
      </c>
      <c r="T201" s="4">
        <f t="shared" si="32"/>
        <v>37.502564415341027</v>
      </c>
      <c r="U201" s="3">
        <f>LEN(A201) - LEN(SUBSTITUTE(A201,"&gt;","")) +1</f>
        <v>4</v>
      </c>
      <c r="V201" s="8">
        <f t="shared" si="33"/>
        <v>3.1683896105336276E-4</v>
      </c>
      <c r="W201" s="14">
        <f t="shared" si="34"/>
        <v>430.22049625</v>
      </c>
      <c r="X201" s="4">
        <f t="shared" si="35"/>
        <v>2.062080023342021E-3</v>
      </c>
    </row>
    <row r="202" spans="1:24" ht="14.25" customHeight="1" x14ac:dyDescent="0.2">
      <c r="A202" s="5" t="s">
        <v>1670</v>
      </c>
      <c r="B202" s="3" t="s">
        <v>14</v>
      </c>
      <c r="C202" s="3" t="s">
        <v>29</v>
      </c>
      <c r="D202" s="3" t="s">
        <v>2362</v>
      </c>
      <c r="E202" s="3" t="s">
        <v>2352</v>
      </c>
      <c r="F202" s="3" t="s">
        <v>326</v>
      </c>
      <c r="G202" s="3" t="s">
        <v>22</v>
      </c>
      <c r="H202" s="3" t="s">
        <v>19</v>
      </c>
      <c r="I202" s="3">
        <v>82916</v>
      </c>
      <c r="J202" s="3">
        <v>14</v>
      </c>
      <c r="K202" s="3">
        <v>24951</v>
      </c>
      <c r="L202" s="3">
        <v>77333</v>
      </c>
      <c r="M202" s="3">
        <v>17</v>
      </c>
      <c r="N202" s="14">
        <v>1584.8212470000001</v>
      </c>
      <c r="O202" s="7">
        <f t="shared" si="27"/>
        <v>1.6884557865791884E-2</v>
      </c>
      <c r="P202" s="14">
        <f t="shared" si="28"/>
        <v>113.20151764285716</v>
      </c>
      <c r="Q202" s="14">
        <f t="shared" si="29"/>
        <v>93.224779235294122</v>
      </c>
      <c r="R202" s="4">
        <f t="shared" si="30"/>
        <v>121.42857142857142</v>
      </c>
      <c r="S202" s="14">
        <f t="shared" si="31"/>
        <v>20.493466527872965</v>
      </c>
      <c r="T202" s="4">
        <f t="shared" si="32"/>
        <v>30.091900236383811</v>
      </c>
      <c r="U202" s="3">
        <f>LEN(A202) - LEN(SUBSTITUTE(A202,"&gt;","")) +1</f>
        <v>4</v>
      </c>
      <c r="V202" s="8">
        <f t="shared" si="33"/>
        <v>1.4644769577472553E-3</v>
      </c>
      <c r="W202" s="14">
        <f t="shared" si="34"/>
        <v>396.20531175000002</v>
      </c>
      <c r="X202" s="4">
        <f t="shared" si="35"/>
        <v>2.1992733666565154E-2</v>
      </c>
    </row>
    <row r="203" spans="1:24" ht="14.25" customHeight="1" x14ac:dyDescent="0.2">
      <c r="A203" s="5" t="s">
        <v>1500</v>
      </c>
      <c r="B203" s="3" t="s">
        <v>24</v>
      </c>
      <c r="C203" s="3" t="s">
        <v>29</v>
      </c>
      <c r="D203" s="3" t="s">
        <v>2361</v>
      </c>
      <c r="E203" s="3" t="s">
        <v>2360</v>
      </c>
      <c r="F203" s="3" t="s">
        <v>142</v>
      </c>
      <c r="G203" s="3" t="s">
        <v>287</v>
      </c>
      <c r="H203" s="3" t="s">
        <v>114</v>
      </c>
      <c r="I203" s="3">
        <v>35043</v>
      </c>
      <c r="J203" s="3">
        <v>14</v>
      </c>
      <c r="K203" s="3">
        <v>20942</v>
      </c>
      <c r="L203" s="3">
        <v>33479</v>
      </c>
      <c r="M203" s="3">
        <v>24</v>
      </c>
      <c r="N203" s="14">
        <v>1527.9762800000001</v>
      </c>
      <c r="O203" s="7">
        <f t="shared" si="27"/>
        <v>3.9950917444282738E-2</v>
      </c>
      <c r="P203" s="14">
        <f t="shared" si="28"/>
        <v>109.14116285714286</v>
      </c>
      <c r="Q203" s="14">
        <f t="shared" si="29"/>
        <v>63.665678333333339</v>
      </c>
      <c r="R203" s="4">
        <f t="shared" si="30"/>
        <v>171.42857142857142</v>
      </c>
      <c r="S203" s="14">
        <f t="shared" si="31"/>
        <v>45.639842289196217</v>
      </c>
      <c r="T203" s="4">
        <f t="shared" si="32"/>
        <v>59.760865222726366</v>
      </c>
      <c r="U203" s="3">
        <f>LEN(A203) - LEN(SUBSTITUTE(A203,"&gt;","")) +1</f>
        <v>2</v>
      </c>
      <c r="V203" s="8">
        <f t="shared" si="33"/>
        <v>4.8919490748101308E-3</v>
      </c>
      <c r="W203" s="14">
        <f t="shared" si="34"/>
        <v>763.98814000000004</v>
      </c>
      <c r="X203" s="4">
        <f t="shared" si="35"/>
        <v>0.10757332496916797</v>
      </c>
    </row>
    <row r="204" spans="1:24" ht="14.25" customHeight="1" x14ac:dyDescent="0.2">
      <c r="A204" s="5" t="s">
        <v>328</v>
      </c>
      <c r="B204" s="3" t="s">
        <v>14</v>
      </c>
      <c r="C204" s="3" t="s">
        <v>32</v>
      </c>
      <c r="D204" s="3" t="s">
        <v>2359</v>
      </c>
      <c r="E204" s="3" t="s">
        <v>2360</v>
      </c>
      <c r="F204" s="3" t="s">
        <v>329</v>
      </c>
      <c r="G204" s="3" t="s">
        <v>27</v>
      </c>
      <c r="H204" s="3" t="s">
        <v>19</v>
      </c>
      <c r="I204" s="3">
        <v>18633</v>
      </c>
      <c r="J204" s="3">
        <v>13</v>
      </c>
      <c r="K204" s="3">
        <v>9424</v>
      </c>
      <c r="L204" s="3">
        <v>18087</v>
      </c>
      <c r="M204" s="3">
        <v>21</v>
      </c>
      <c r="N204" s="14">
        <v>6785.0632930000002</v>
      </c>
      <c r="O204" s="7">
        <f t="shared" si="27"/>
        <v>6.9768689958675467E-2</v>
      </c>
      <c r="P204" s="14">
        <f t="shared" si="28"/>
        <v>521.9279456153846</v>
      </c>
      <c r="Q204" s="14">
        <f t="shared" si="29"/>
        <v>323.09825204761904</v>
      </c>
      <c r="R204" s="4">
        <f t="shared" si="30"/>
        <v>161.53846153846155</v>
      </c>
      <c r="S204" s="14">
        <f t="shared" si="31"/>
        <v>375.13480914468954</v>
      </c>
      <c r="T204" s="4">
        <f t="shared" si="32"/>
        <v>50.576933397735203</v>
      </c>
      <c r="U204" s="3">
        <f>LEN(A204) - LEN(SUBSTITUTE(A204,"&gt;","")) +1</f>
        <v>4</v>
      </c>
      <c r="V204" s="8">
        <f t="shared" si="33"/>
        <v>8.6694821842141119E-3</v>
      </c>
      <c r="W204" s="14">
        <f t="shared" si="34"/>
        <v>1696.26582325</v>
      </c>
      <c r="X204" s="4">
        <f t="shared" si="35"/>
        <v>3.4882042128217071E-2</v>
      </c>
    </row>
    <row r="205" spans="1:24" ht="14.25" customHeight="1" x14ac:dyDescent="0.2">
      <c r="A205" s="5" t="s">
        <v>1671</v>
      </c>
      <c r="B205" s="3" t="s">
        <v>24</v>
      </c>
      <c r="C205" s="3" t="s">
        <v>15</v>
      </c>
      <c r="D205" s="3" t="s">
        <v>2349</v>
      </c>
      <c r="E205" s="3" t="s">
        <v>2350</v>
      </c>
      <c r="F205" s="3" t="s">
        <v>149</v>
      </c>
      <c r="G205" s="3" t="s">
        <v>27</v>
      </c>
      <c r="H205" s="3" t="s">
        <v>114</v>
      </c>
      <c r="I205" s="3">
        <v>83854</v>
      </c>
      <c r="J205" s="3">
        <v>13</v>
      </c>
      <c r="K205" s="3">
        <v>60626</v>
      </c>
      <c r="L205" s="3">
        <v>76071</v>
      </c>
      <c r="M205" s="3">
        <v>21</v>
      </c>
      <c r="N205" s="14">
        <v>5783.843758</v>
      </c>
      <c r="O205" s="7">
        <f t="shared" si="27"/>
        <v>1.5503136403749373E-2</v>
      </c>
      <c r="P205" s="14">
        <f t="shared" si="28"/>
        <v>444.91105830769231</v>
      </c>
      <c r="Q205" s="14">
        <f t="shared" si="29"/>
        <v>275.42113133333334</v>
      </c>
      <c r="R205" s="4">
        <f t="shared" si="30"/>
        <v>161.53846153846155</v>
      </c>
      <c r="S205" s="14">
        <f t="shared" si="31"/>
        <v>76.032177281749952</v>
      </c>
      <c r="T205" s="4">
        <f t="shared" si="32"/>
        <v>72.299472893362264</v>
      </c>
      <c r="U205" s="3">
        <f>LEN(A205) - LEN(SUBSTITUTE(A205,"&gt;","")) +1</f>
        <v>5</v>
      </c>
      <c r="V205" s="8">
        <f t="shared" si="33"/>
        <v>1.9264252336019933E-3</v>
      </c>
      <c r="W205" s="14">
        <f t="shared" si="34"/>
        <v>1156.7687516000001</v>
      </c>
      <c r="X205" s="4">
        <f t="shared" si="35"/>
        <v>9.0928128555671835E-3</v>
      </c>
    </row>
    <row r="206" spans="1:24" ht="14.25" customHeight="1" x14ac:dyDescent="0.2">
      <c r="A206" s="5" t="s">
        <v>331</v>
      </c>
      <c r="B206" s="3" t="s">
        <v>24</v>
      </c>
      <c r="C206" s="3" t="s">
        <v>15</v>
      </c>
      <c r="D206" s="3" t="s">
        <v>2366</v>
      </c>
      <c r="E206" s="3" t="s">
        <v>2352</v>
      </c>
      <c r="F206" s="3" t="s">
        <v>79</v>
      </c>
      <c r="G206" s="3" t="s">
        <v>27</v>
      </c>
      <c r="H206" s="3" t="s">
        <v>163</v>
      </c>
      <c r="I206" s="3">
        <v>45668</v>
      </c>
      <c r="J206" s="3">
        <v>13</v>
      </c>
      <c r="K206" s="3">
        <v>16872</v>
      </c>
      <c r="L206" s="3">
        <v>32085</v>
      </c>
      <c r="M206" s="3">
        <v>9</v>
      </c>
      <c r="N206" s="14">
        <v>3444.2029459999999</v>
      </c>
      <c r="O206" s="7">
        <f t="shared" si="27"/>
        <v>2.8466322151178069E-2</v>
      </c>
      <c r="P206" s="14">
        <f t="shared" si="28"/>
        <v>264.93868815384616</v>
      </c>
      <c r="Q206" s="14">
        <f t="shared" si="29"/>
        <v>382.68921622222223</v>
      </c>
      <c r="R206" s="4">
        <f t="shared" si="30"/>
        <v>69.230769230769226</v>
      </c>
      <c r="S206" s="14">
        <f t="shared" si="31"/>
        <v>107.34620370889823</v>
      </c>
      <c r="T206" s="4">
        <f t="shared" si="32"/>
        <v>36.944906718052032</v>
      </c>
      <c r="U206" s="3">
        <f>LEN(A206) - LEN(SUBSTITUTE(A206,"&gt;","")) +1</f>
        <v>4</v>
      </c>
      <c r="V206" s="8">
        <f t="shared" si="33"/>
        <v>1.5159579843822639E-3</v>
      </c>
      <c r="W206" s="14">
        <f t="shared" si="34"/>
        <v>861.05073649999997</v>
      </c>
      <c r="X206" s="4">
        <f t="shared" si="35"/>
        <v>5.1497280199099185E-3</v>
      </c>
    </row>
    <row r="207" spans="1:24" ht="14.25" customHeight="1" x14ac:dyDescent="0.2">
      <c r="A207" s="5" t="s">
        <v>1672</v>
      </c>
      <c r="B207" s="3" t="s">
        <v>14</v>
      </c>
      <c r="C207" s="3" t="s">
        <v>32</v>
      </c>
      <c r="D207" s="3" t="s">
        <v>2349</v>
      </c>
      <c r="E207" s="3" t="s">
        <v>2350</v>
      </c>
      <c r="F207" s="3" t="s">
        <v>333</v>
      </c>
      <c r="G207" s="3" t="s">
        <v>33</v>
      </c>
      <c r="H207" s="3" t="s">
        <v>19</v>
      </c>
      <c r="I207" s="3">
        <v>20885</v>
      </c>
      <c r="J207" s="3">
        <v>13</v>
      </c>
      <c r="K207" s="3">
        <v>9901</v>
      </c>
      <c r="L207" s="3">
        <v>16266</v>
      </c>
      <c r="M207" s="3">
        <v>15</v>
      </c>
      <c r="N207" s="14">
        <v>2496.7854360000001</v>
      </c>
      <c r="O207" s="7">
        <f t="shared" si="27"/>
        <v>6.2245630835527886E-2</v>
      </c>
      <c r="P207" s="14">
        <f t="shared" si="28"/>
        <v>192.06041815384617</v>
      </c>
      <c r="Q207" s="14">
        <f t="shared" si="29"/>
        <v>166.4523624</v>
      </c>
      <c r="R207" s="4">
        <f t="shared" si="30"/>
        <v>115.38461538461537</v>
      </c>
      <c r="S207" s="14">
        <f t="shared" si="31"/>
        <v>153.49719881962375</v>
      </c>
      <c r="T207" s="4">
        <f t="shared" si="32"/>
        <v>47.407230069427818</v>
      </c>
      <c r="U207" s="3">
        <f>LEN(A207) - LEN(SUBSTITUTE(A207,"&gt;","")) +1</f>
        <v>4</v>
      </c>
      <c r="V207" s="8">
        <f t="shared" si="33"/>
        <v>5.5247601333308777E-3</v>
      </c>
      <c r="W207" s="14">
        <f t="shared" si="34"/>
        <v>624.19635900000003</v>
      </c>
      <c r="X207" s="4">
        <f t="shared" si="35"/>
        <v>4.3148610628130919E-2</v>
      </c>
    </row>
    <row r="208" spans="1:24" ht="14.25" customHeight="1" x14ac:dyDescent="0.2">
      <c r="A208" s="5" t="s">
        <v>1673</v>
      </c>
      <c r="B208" s="3" t="s">
        <v>14</v>
      </c>
      <c r="C208" s="3" t="s">
        <v>15</v>
      </c>
      <c r="D208" s="3" t="s">
        <v>2353</v>
      </c>
      <c r="E208" s="3" t="s">
        <v>2354</v>
      </c>
      <c r="F208" s="3" t="s">
        <v>326</v>
      </c>
      <c r="G208" s="3" t="s">
        <v>27</v>
      </c>
      <c r="H208" s="3" t="s">
        <v>19</v>
      </c>
      <c r="I208" s="3">
        <v>80408</v>
      </c>
      <c r="J208" s="3">
        <v>13</v>
      </c>
      <c r="K208" s="3">
        <v>13127</v>
      </c>
      <c r="L208" s="3">
        <v>67027</v>
      </c>
      <c r="M208" s="3">
        <v>9</v>
      </c>
      <c r="N208" s="14">
        <v>1788.1116179999999</v>
      </c>
      <c r="O208" s="7">
        <f t="shared" si="27"/>
        <v>1.6167545517858921E-2</v>
      </c>
      <c r="P208" s="14">
        <f t="shared" si="28"/>
        <v>137.54704753846153</v>
      </c>
      <c r="Q208" s="14">
        <f t="shared" si="29"/>
        <v>198.67906866666667</v>
      </c>
      <c r="R208" s="4">
        <f t="shared" si="30"/>
        <v>69.230769230769226</v>
      </c>
      <c r="S208" s="14">
        <f t="shared" si="31"/>
        <v>26.677482477210678</v>
      </c>
      <c r="T208" s="4">
        <f t="shared" si="32"/>
        <v>16.325490000994929</v>
      </c>
      <c r="U208" s="3">
        <f>LEN(A208) - LEN(SUBSTITUTE(A208,"&gt;","")) +1</f>
        <v>3</v>
      </c>
      <c r="V208" s="8">
        <f t="shared" si="33"/>
        <v>8.6099354828834474E-4</v>
      </c>
      <c r="W208" s="14">
        <f t="shared" si="34"/>
        <v>596.03720599999997</v>
      </c>
      <c r="X208" s="4">
        <f t="shared" si="35"/>
        <v>5.6336664968605074E-3</v>
      </c>
    </row>
    <row r="209" spans="1:24" ht="14.25" customHeight="1" x14ac:dyDescent="0.2">
      <c r="A209" s="5" t="s">
        <v>1674</v>
      </c>
      <c r="B209" s="3" t="s">
        <v>24</v>
      </c>
      <c r="C209" s="3" t="s">
        <v>29</v>
      </c>
      <c r="D209" s="3" t="s">
        <v>2382</v>
      </c>
      <c r="E209" s="3" t="s">
        <v>2356</v>
      </c>
      <c r="F209" s="3" t="s">
        <v>57</v>
      </c>
      <c r="G209" s="3" t="s">
        <v>22</v>
      </c>
      <c r="H209" s="3" t="s">
        <v>114</v>
      </c>
      <c r="I209" s="3">
        <v>307888</v>
      </c>
      <c r="J209" s="3">
        <v>13</v>
      </c>
      <c r="K209" s="3">
        <v>134959</v>
      </c>
      <c r="L209" s="3">
        <v>274790</v>
      </c>
      <c r="M209" s="3">
        <v>11</v>
      </c>
      <c r="N209" s="14">
        <v>1559.643865</v>
      </c>
      <c r="O209" s="7">
        <f t="shared" si="27"/>
        <v>4.22231460790937E-3</v>
      </c>
      <c r="P209" s="14">
        <f t="shared" si="28"/>
        <v>119.972605</v>
      </c>
      <c r="Q209" s="14">
        <f t="shared" si="29"/>
        <v>141.7858059090909</v>
      </c>
      <c r="R209" s="4">
        <f t="shared" si="30"/>
        <v>84.615384615384613</v>
      </c>
      <c r="S209" s="14">
        <f t="shared" si="31"/>
        <v>5.6757664580224905</v>
      </c>
      <c r="T209" s="4">
        <f t="shared" si="32"/>
        <v>43.833796705295427</v>
      </c>
      <c r="U209" s="3">
        <f>LEN(A209) - LEN(SUBSTITUTE(A209,"&gt;","")) +1</f>
        <v>4</v>
      </c>
      <c r="V209" s="8">
        <f t="shared" si="33"/>
        <v>2.7482521116569861E-4</v>
      </c>
      <c r="W209" s="14">
        <f t="shared" si="34"/>
        <v>389.91096625</v>
      </c>
      <c r="X209" s="4">
        <f t="shared" si="35"/>
        <v>2.5198063531442741E-3</v>
      </c>
    </row>
    <row r="210" spans="1:24" ht="14.25" customHeight="1" x14ac:dyDescent="0.2">
      <c r="A210" s="5" t="s">
        <v>336</v>
      </c>
      <c r="B210" s="3" t="s">
        <v>24</v>
      </c>
      <c r="C210" s="3" t="s">
        <v>32</v>
      </c>
      <c r="D210" s="3" t="s">
        <v>2349</v>
      </c>
      <c r="E210" s="3" t="s">
        <v>2350</v>
      </c>
      <c r="F210" s="3" t="s">
        <v>72</v>
      </c>
      <c r="G210" s="3" t="s">
        <v>27</v>
      </c>
      <c r="H210" s="3" t="s">
        <v>19</v>
      </c>
      <c r="I210" s="3">
        <v>325152</v>
      </c>
      <c r="J210" s="3">
        <v>12</v>
      </c>
      <c r="K210" s="3">
        <v>138319</v>
      </c>
      <c r="L210" s="3">
        <v>300133</v>
      </c>
      <c r="M210" s="3">
        <v>55</v>
      </c>
      <c r="N210" s="14">
        <v>7887.6126619999995</v>
      </c>
      <c r="O210" s="7">
        <f t="shared" si="27"/>
        <v>3.6905816356657809E-3</v>
      </c>
      <c r="P210" s="14">
        <f t="shared" si="28"/>
        <v>657.30105516666663</v>
      </c>
      <c r="Q210" s="14">
        <f t="shared" si="29"/>
        <v>143.41113930909091</v>
      </c>
      <c r="R210" s="4">
        <f t="shared" si="30"/>
        <v>458.33333333333331</v>
      </c>
      <c r="S210" s="14">
        <f t="shared" si="31"/>
        <v>26.280391233219937</v>
      </c>
      <c r="T210" s="4">
        <f t="shared" si="32"/>
        <v>42.539796771971261</v>
      </c>
      <c r="U210" s="3">
        <f>LEN(A210) - LEN(SUBSTITUTE(A210,"&gt;","")) +1</f>
        <v>4</v>
      </c>
      <c r="V210" s="8">
        <f t="shared" si="33"/>
        <v>1.4095971525112357E-3</v>
      </c>
      <c r="W210" s="14">
        <f t="shared" si="34"/>
        <v>1971.9031654999999</v>
      </c>
      <c r="X210" s="4">
        <f t="shared" si="35"/>
        <v>1.1794875845507327E-2</v>
      </c>
    </row>
    <row r="211" spans="1:24" ht="14.25" customHeight="1" x14ac:dyDescent="0.2">
      <c r="A211" s="5" t="s">
        <v>1675</v>
      </c>
      <c r="B211" s="3" t="s">
        <v>24</v>
      </c>
      <c r="C211" s="3" t="s">
        <v>15</v>
      </c>
      <c r="D211" s="3" t="s">
        <v>2349</v>
      </c>
      <c r="E211" s="3" t="s">
        <v>2350</v>
      </c>
      <c r="F211" s="3" t="s">
        <v>63</v>
      </c>
      <c r="G211" s="3" t="s">
        <v>27</v>
      </c>
      <c r="H211" s="3" t="s">
        <v>19</v>
      </c>
      <c r="I211" s="3">
        <v>106392</v>
      </c>
      <c r="J211" s="3">
        <v>12</v>
      </c>
      <c r="K211" s="3">
        <v>39599</v>
      </c>
      <c r="L211" s="3">
        <v>94941</v>
      </c>
      <c r="M211" s="3">
        <v>3</v>
      </c>
      <c r="N211" s="14">
        <v>6542.6124280000004</v>
      </c>
      <c r="O211" s="7">
        <f t="shared" si="27"/>
        <v>1.1279043537108053E-2</v>
      </c>
      <c r="P211" s="14">
        <f t="shared" si="28"/>
        <v>545.21770233333336</v>
      </c>
      <c r="Q211" s="14">
        <f t="shared" si="29"/>
        <v>2180.8708093333335</v>
      </c>
      <c r="R211" s="4">
        <f t="shared" si="30"/>
        <v>25</v>
      </c>
      <c r="S211" s="14">
        <f t="shared" si="31"/>
        <v>68.912402734329746</v>
      </c>
      <c r="T211" s="4">
        <f t="shared" si="32"/>
        <v>37.219903752161812</v>
      </c>
      <c r="U211" s="3">
        <f>LEN(A211) - LEN(SUBSTITUTE(A211,"&gt;","")) +1</f>
        <v>5</v>
      </c>
      <c r="V211" s="8">
        <f t="shared" si="33"/>
        <v>2.3498007368975111E-4</v>
      </c>
      <c r="W211" s="14">
        <f t="shared" si="34"/>
        <v>1308.5224856</v>
      </c>
      <c r="X211" s="4">
        <f t="shared" si="35"/>
        <v>1.2929518209925424E-4</v>
      </c>
    </row>
    <row r="212" spans="1:24" ht="14.25" customHeight="1" x14ac:dyDescent="0.2">
      <c r="A212" s="5" t="s">
        <v>1676</v>
      </c>
      <c r="B212" s="3" t="s">
        <v>14</v>
      </c>
      <c r="C212" s="3" t="s">
        <v>32</v>
      </c>
      <c r="D212" s="3" t="s">
        <v>2376</v>
      </c>
      <c r="E212" s="3" t="s">
        <v>2377</v>
      </c>
      <c r="F212" s="3" t="s">
        <v>339</v>
      </c>
      <c r="G212" s="3" t="s">
        <v>22</v>
      </c>
      <c r="H212" s="3" t="s">
        <v>19</v>
      </c>
      <c r="I212" s="3">
        <v>21962</v>
      </c>
      <c r="J212" s="3">
        <v>12</v>
      </c>
      <c r="K212" s="3">
        <v>10702</v>
      </c>
      <c r="L212" s="3">
        <v>21034</v>
      </c>
      <c r="M212" s="3">
        <v>11</v>
      </c>
      <c r="N212" s="14">
        <v>6404.0031280000003</v>
      </c>
      <c r="O212" s="7">
        <f t="shared" si="27"/>
        <v>5.4639832437847188E-2</v>
      </c>
      <c r="P212" s="14">
        <f t="shared" si="28"/>
        <v>533.66692733333332</v>
      </c>
      <c r="Q212" s="14">
        <f t="shared" si="29"/>
        <v>582.18210254545454</v>
      </c>
      <c r="R212" s="4">
        <f t="shared" si="30"/>
        <v>91.666666666666657</v>
      </c>
      <c r="S212" s="14">
        <f t="shared" si="31"/>
        <v>304.45959532185987</v>
      </c>
      <c r="T212" s="4">
        <f t="shared" si="32"/>
        <v>48.729623895820055</v>
      </c>
      <c r="U212" s="3">
        <f>LEN(A212) - LEN(SUBSTITUTE(A212,"&gt;","")) +1</f>
        <v>5</v>
      </c>
      <c r="V212" s="8">
        <f t="shared" si="33"/>
        <v>4.1738760890022153E-3</v>
      </c>
      <c r="W212" s="14">
        <f t="shared" si="34"/>
        <v>1280.8006256000001</v>
      </c>
      <c r="X212" s="4">
        <f t="shared" si="35"/>
        <v>8.6032382048563619E-3</v>
      </c>
    </row>
    <row r="213" spans="1:24" ht="14.25" customHeight="1" x14ac:dyDescent="0.2">
      <c r="A213" s="5" t="s">
        <v>1677</v>
      </c>
      <c r="B213" s="3" t="s">
        <v>24</v>
      </c>
      <c r="C213" s="3" t="s">
        <v>35</v>
      </c>
      <c r="D213" s="3" t="s">
        <v>2357</v>
      </c>
      <c r="E213" s="3" t="s">
        <v>2358</v>
      </c>
      <c r="F213" s="3" t="s">
        <v>341</v>
      </c>
      <c r="G213" s="3" t="s">
        <v>22</v>
      </c>
      <c r="H213" s="3" t="s">
        <v>114</v>
      </c>
      <c r="I213" s="3">
        <v>65243</v>
      </c>
      <c r="J213" s="3">
        <v>12</v>
      </c>
      <c r="K213" s="3">
        <v>39543</v>
      </c>
      <c r="L213" s="3">
        <v>54290</v>
      </c>
      <c r="M213" s="3">
        <v>1</v>
      </c>
      <c r="N213" s="14">
        <v>3754.6852469999999</v>
      </c>
      <c r="O213" s="7">
        <f t="shared" si="27"/>
        <v>1.8392777769262604E-2</v>
      </c>
      <c r="P213" s="14">
        <f t="shared" si="28"/>
        <v>312.89043724999999</v>
      </c>
      <c r="Q213" s="14">
        <f t="shared" si="29"/>
        <v>3754.6852469999999</v>
      </c>
      <c r="R213" s="4">
        <f t="shared" si="30"/>
        <v>8.3333333333333321</v>
      </c>
      <c r="S213" s="14">
        <f t="shared" si="31"/>
        <v>69.159794566218451</v>
      </c>
      <c r="T213" s="4">
        <f t="shared" si="32"/>
        <v>60.608800944162589</v>
      </c>
      <c r="U213" s="3">
        <f>LEN(A213) - LEN(SUBSTITUTE(A213,"&gt;","")) +1</f>
        <v>6</v>
      </c>
      <c r="V213" s="8">
        <f t="shared" si="33"/>
        <v>1.2772762339765693E-4</v>
      </c>
      <c r="W213" s="14">
        <f t="shared" si="34"/>
        <v>625.78087449999998</v>
      </c>
      <c r="X213" s="4">
        <f t="shared" si="35"/>
        <v>4.0821836717113334E-5</v>
      </c>
    </row>
    <row r="214" spans="1:24" ht="14.25" customHeight="1" x14ac:dyDescent="0.2">
      <c r="A214" s="5" t="s">
        <v>342</v>
      </c>
      <c r="B214" s="3" t="s">
        <v>14</v>
      </c>
      <c r="C214" s="3" t="s">
        <v>35</v>
      </c>
      <c r="D214" s="3" t="s">
        <v>2388</v>
      </c>
      <c r="E214" s="3" t="s">
        <v>2356</v>
      </c>
      <c r="F214" s="3" t="s">
        <v>79</v>
      </c>
      <c r="G214" s="3" t="s">
        <v>41</v>
      </c>
      <c r="H214" s="3" t="s">
        <v>19</v>
      </c>
      <c r="I214" s="3">
        <v>239164</v>
      </c>
      <c r="J214" s="3">
        <v>12</v>
      </c>
      <c r="K214" s="3">
        <v>86250</v>
      </c>
      <c r="L214" s="3">
        <v>198209</v>
      </c>
      <c r="M214" s="3">
        <v>41</v>
      </c>
      <c r="N214" s="14">
        <v>2819.935266</v>
      </c>
      <c r="O214" s="7">
        <f t="shared" si="27"/>
        <v>5.017477546787978E-3</v>
      </c>
      <c r="P214" s="14">
        <f t="shared" si="28"/>
        <v>234.99460550000001</v>
      </c>
      <c r="Q214" s="14">
        <f t="shared" si="29"/>
        <v>68.778908926829274</v>
      </c>
      <c r="R214" s="4">
        <f t="shared" si="30"/>
        <v>341.66666666666663</v>
      </c>
      <c r="S214" s="14">
        <f t="shared" si="31"/>
        <v>14.227079829876544</v>
      </c>
      <c r="T214" s="4">
        <f t="shared" si="32"/>
        <v>36.063119867538589</v>
      </c>
      <c r="U214" s="3">
        <f>LEN(A214) - LEN(SUBSTITUTE(A214,"&gt;","")) +1</f>
        <v>1</v>
      </c>
      <c r="V214" s="8">
        <f t="shared" si="33"/>
        <v>1.428587357071577E-3</v>
      </c>
      <c r="W214" s="14">
        <f t="shared" si="34"/>
        <v>2819.935266</v>
      </c>
      <c r="X214" s="4">
        <f t="shared" si="35"/>
        <v>2.492486221771361E-2</v>
      </c>
    </row>
    <row r="215" spans="1:24" ht="14.25" customHeight="1" x14ac:dyDescent="0.2">
      <c r="A215" s="5" t="s">
        <v>1678</v>
      </c>
      <c r="B215" s="3" t="s">
        <v>14</v>
      </c>
      <c r="C215" s="3" t="s">
        <v>29</v>
      </c>
      <c r="D215" s="3" t="s">
        <v>2369</v>
      </c>
      <c r="E215" s="3" t="s">
        <v>2365</v>
      </c>
      <c r="F215" s="3" t="s">
        <v>46</v>
      </c>
      <c r="G215" s="3" t="s">
        <v>27</v>
      </c>
      <c r="H215" s="3" t="s">
        <v>19</v>
      </c>
      <c r="I215" s="3">
        <v>42833</v>
      </c>
      <c r="J215" s="3">
        <v>12</v>
      </c>
      <c r="K215" s="3">
        <v>37438</v>
      </c>
      <c r="L215" s="3">
        <v>40447</v>
      </c>
      <c r="M215" s="3">
        <v>9</v>
      </c>
      <c r="N215" s="14">
        <v>2040.9348190000001</v>
      </c>
      <c r="O215" s="7">
        <f t="shared" si="27"/>
        <v>2.8015782223986176E-2</v>
      </c>
      <c r="P215" s="14">
        <f t="shared" si="28"/>
        <v>170.07790158333333</v>
      </c>
      <c r="Q215" s="14">
        <f t="shared" si="29"/>
        <v>226.77053544444445</v>
      </c>
      <c r="R215" s="4">
        <f t="shared" si="30"/>
        <v>75</v>
      </c>
      <c r="S215" s="14">
        <f t="shared" si="31"/>
        <v>50.459485722056023</v>
      </c>
      <c r="T215" s="4">
        <f t="shared" si="32"/>
        <v>87.404571241799545</v>
      </c>
      <c r="U215" s="3">
        <f>LEN(A215) - LEN(SUBSTITUTE(A215,"&gt;","")) +1</f>
        <v>3</v>
      </c>
      <c r="V215" s="8">
        <f t="shared" si="33"/>
        <v>1.7509863889991362E-3</v>
      </c>
      <c r="W215" s="14">
        <f t="shared" si="34"/>
        <v>680.31160633333332</v>
      </c>
      <c r="X215" s="4">
        <f t="shared" si="35"/>
        <v>9.2656819929488737E-3</v>
      </c>
    </row>
    <row r="216" spans="1:24" ht="14.25" customHeight="1" x14ac:dyDescent="0.2">
      <c r="A216" s="5" t="s">
        <v>1679</v>
      </c>
      <c r="B216" s="3" t="s">
        <v>24</v>
      </c>
      <c r="C216" s="3" t="s">
        <v>15</v>
      </c>
      <c r="D216" s="3" t="s">
        <v>2357</v>
      </c>
      <c r="E216" s="3" t="s">
        <v>2358</v>
      </c>
      <c r="F216" s="3" t="s">
        <v>149</v>
      </c>
      <c r="G216" s="3" t="s">
        <v>22</v>
      </c>
      <c r="H216" s="3" t="s">
        <v>19</v>
      </c>
      <c r="I216" s="3">
        <v>136733</v>
      </c>
      <c r="J216" s="3">
        <v>12</v>
      </c>
      <c r="K216" s="3">
        <v>102728</v>
      </c>
      <c r="L216" s="3">
        <v>127130</v>
      </c>
      <c r="M216" s="3">
        <v>4</v>
      </c>
      <c r="N216" s="14">
        <v>1946.0504470000001</v>
      </c>
      <c r="O216" s="7">
        <f t="shared" si="27"/>
        <v>8.7762281234230223E-3</v>
      </c>
      <c r="P216" s="14">
        <f t="shared" si="28"/>
        <v>162.17087058333334</v>
      </c>
      <c r="Q216" s="14">
        <f t="shared" si="29"/>
        <v>486.51261175000002</v>
      </c>
      <c r="R216" s="4">
        <f t="shared" si="30"/>
        <v>33.333333333333329</v>
      </c>
      <c r="S216" s="14">
        <f t="shared" si="31"/>
        <v>15.3075627074648</v>
      </c>
      <c r="T216" s="4">
        <f t="shared" si="32"/>
        <v>75.130363555250014</v>
      </c>
      <c r="U216" s="3">
        <f>LEN(A216) - LEN(SUBSTITUTE(A216,"&gt;","")) +1</f>
        <v>4</v>
      </c>
      <c r="V216" s="8">
        <f t="shared" si="33"/>
        <v>2.4378411453952834E-4</v>
      </c>
      <c r="W216" s="14">
        <f t="shared" si="34"/>
        <v>486.51261175000002</v>
      </c>
      <c r="X216" s="4">
        <f t="shared" si="35"/>
        <v>6.0130185812687516E-4</v>
      </c>
    </row>
    <row r="217" spans="1:24" ht="14.25" customHeight="1" x14ac:dyDescent="0.2">
      <c r="A217" s="5" t="s">
        <v>1680</v>
      </c>
      <c r="B217" s="3" t="s">
        <v>14</v>
      </c>
      <c r="C217" s="3" t="s">
        <v>15</v>
      </c>
      <c r="D217" s="3" t="s">
        <v>2381</v>
      </c>
      <c r="E217" s="3" t="s">
        <v>2365</v>
      </c>
      <c r="F217" s="3" t="s">
        <v>347</v>
      </c>
      <c r="G217" s="3" t="s">
        <v>41</v>
      </c>
      <c r="H217" s="3" t="s">
        <v>19</v>
      </c>
      <c r="I217" s="3">
        <v>24100</v>
      </c>
      <c r="J217" s="3">
        <v>11</v>
      </c>
      <c r="K217" s="3">
        <v>11355</v>
      </c>
      <c r="L217" s="3">
        <v>21740</v>
      </c>
      <c r="M217" s="3">
        <v>1</v>
      </c>
      <c r="N217" s="14">
        <v>5912.2609750000001</v>
      </c>
      <c r="O217" s="7">
        <f t="shared" si="27"/>
        <v>4.5643153526970959E-2</v>
      </c>
      <c r="P217" s="14">
        <f t="shared" si="28"/>
        <v>537.47827045454551</v>
      </c>
      <c r="Q217" s="14">
        <f t="shared" si="29"/>
        <v>5912.2609750000001</v>
      </c>
      <c r="R217" s="4">
        <f t="shared" si="30"/>
        <v>9.0909090909090917</v>
      </c>
      <c r="S217" s="14">
        <f t="shared" si="31"/>
        <v>271.953126724931</v>
      </c>
      <c r="T217" s="4">
        <f t="shared" si="32"/>
        <v>47.116182572614107</v>
      </c>
      <c r="U217" s="3">
        <f>LEN(A217) - LEN(SUBSTITUTE(A217,"&gt;","")) +1</f>
        <v>5</v>
      </c>
      <c r="V217" s="8">
        <f t="shared" si="33"/>
        <v>3.7721614485099967E-4</v>
      </c>
      <c r="W217" s="14">
        <f t="shared" si="34"/>
        <v>1182.4521950000001</v>
      </c>
      <c r="X217" s="4">
        <f t="shared" si="35"/>
        <v>7.0182585154928757E-5</v>
      </c>
    </row>
    <row r="218" spans="1:24" ht="14.25" customHeight="1" x14ac:dyDescent="0.2">
      <c r="A218" s="5" t="s">
        <v>348</v>
      </c>
      <c r="B218" s="3" t="s">
        <v>14</v>
      </c>
      <c r="C218" s="3" t="s">
        <v>35</v>
      </c>
      <c r="D218" s="3" t="s">
        <v>2353</v>
      </c>
      <c r="E218" s="3" t="s">
        <v>2354</v>
      </c>
      <c r="F218" s="3" t="s">
        <v>349</v>
      </c>
      <c r="G218" s="3" t="s">
        <v>41</v>
      </c>
      <c r="H218" s="3" t="s">
        <v>19</v>
      </c>
      <c r="I218" s="3">
        <v>27032</v>
      </c>
      <c r="J218" s="3">
        <v>11</v>
      </c>
      <c r="K218" s="3">
        <v>21893</v>
      </c>
      <c r="L218" s="3">
        <v>26127</v>
      </c>
      <c r="M218" s="3">
        <v>1</v>
      </c>
      <c r="N218" s="14">
        <v>5292.8969129999996</v>
      </c>
      <c r="O218" s="7">
        <f t="shared" si="27"/>
        <v>4.0692512577685705E-2</v>
      </c>
      <c r="P218" s="14">
        <f t="shared" si="28"/>
        <v>481.17244663636359</v>
      </c>
      <c r="Q218" s="14">
        <f t="shared" si="29"/>
        <v>5292.8969129999996</v>
      </c>
      <c r="R218" s="4">
        <f t="shared" si="30"/>
        <v>9.0909090909090917</v>
      </c>
      <c r="S218" s="14">
        <f t="shared" si="31"/>
        <v>202.58341612125386</v>
      </c>
      <c r="T218" s="4">
        <f t="shared" si="32"/>
        <v>80.989197987570279</v>
      </c>
      <c r="U218" s="3">
        <f>LEN(A218) - LEN(SUBSTITUTE(A218,"&gt;","")) +1</f>
        <v>4</v>
      </c>
      <c r="V218" s="8">
        <f t="shared" si="33"/>
        <v>3.3630175684037775E-4</v>
      </c>
      <c r="W218" s="14">
        <f t="shared" si="34"/>
        <v>1323.2242282499999</v>
      </c>
      <c r="X218" s="4">
        <f t="shared" si="35"/>
        <v>6.9892147647126405E-5</v>
      </c>
    </row>
    <row r="219" spans="1:24" ht="14.25" customHeight="1" x14ac:dyDescent="0.2">
      <c r="A219" s="5" t="s">
        <v>350</v>
      </c>
      <c r="B219" s="3" t="s">
        <v>14</v>
      </c>
      <c r="C219" s="3" t="s">
        <v>15</v>
      </c>
      <c r="D219" s="3" t="s">
        <v>2374</v>
      </c>
      <c r="E219" s="3" t="s">
        <v>2375</v>
      </c>
      <c r="F219" s="3" t="s">
        <v>119</v>
      </c>
      <c r="G219" s="3" t="s">
        <v>50</v>
      </c>
      <c r="H219" s="3" t="s">
        <v>19</v>
      </c>
      <c r="I219" s="3">
        <v>43367</v>
      </c>
      <c r="J219" s="3">
        <v>11</v>
      </c>
      <c r="K219" s="3">
        <v>14306</v>
      </c>
      <c r="L219" s="3">
        <v>39750</v>
      </c>
      <c r="M219" s="3">
        <v>1</v>
      </c>
      <c r="N219" s="14">
        <v>5214.2986929999997</v>
      </c>
      <c r="O219" s="7">
        <f t="shared" si="27"/>
        <v>2.5364908801623356E-2</v>
      </c>
      <c r="P219" s="14">
        <f t="shared" si="28"/>
        <v>474.02715390909088</v>
      </c>
      <c r="Q219" s="14">
        <f t="shared" si="29"/>
        <v>5214.2986929999997</v>
      </c>
      <c r="R219" s="4">
        <f t="shared" si="30"/>
        <v>9.0909090909090917</v>
      </c>
      <c r="S219" s="14">
        <f t="shared" si="31"/>
        <v>131.17732561006287</v>
      </c>
      <c r="T219" s="4">
        <f t="shared" si="32"/>
        <v>32.988216846911243</v>
      </c>
      <c r="U219" s="3">
        <f>LEN(A219) - LEN(SUBSTITUTE(A219,"&gt;","")) +1</f>
        <v>4</v>
      </c>
      <c r="V219" s="8">
        <f t="shared" si="33"/>
        <v>2.0962734546796163E-4</v>
      </c>
      <c r="W219" s="14">
        <f t="shared" si="34"/>
        <v>1303.5746732499999</v>
      </c>
      <c r="X219" s="4">
        <f t="shared" si="35"/>
        <v>4.4222644998131068E-5</v>
      </c>
    </row>
    <row r="220" spans="1:24" ht="14.25" customHeight="1" x14ac:dyDescent="0.2">
      <c r="A220" s="5" t="s">
        <v>1681</v>
      </c>
      <c r="B220" s="3" t="s">
        <v>24</v>
      </c>
      <c r="C220" s="3" t="s">
        <v>35</v>
      </c>
      <c r="D220" s="3" t="s">
        <v>2362</v>
      </c>
      <c r="E220" s="3" t="s">
        <v>2352</v>
      </c>
      <c r="F220" s="3" t="s">
        <v>119</v>
      </c>
      <c r="G220" s="3" t="s">
        <v>27</v>
      </c>
      <c r="H220" s="3" t="s">
        <v>114</v>
      </c>
      <c r="I220" s="3">
        <v>88293</v>
      </c>
      <c r="J220" s="3">
        <v>11</v>
      </c>
      <c r="K220" s="3">
        <v>24101</v>
      </c>
      <c r="L220" s="3">
        <v>75557</v>
      </c>
      <c r="M220" s="3">
        <v>21</v>
      </c>
      <c r="N220" s="14">
        <v>5054.481581</v>
      </c>
      <c r="O220" s="7">
        <f t="shared" si="27"/>
        <v>1.245851879537449E-2</v>
      </c>
      <c r="P220" s="14">
        <f t="shared" si="28"/>
        <v>459.49832554545452</v>
      </c>
      <c r="Q220" s="14">
        <f t="shared" si="29"/>
        <v>240.68959909523809</v>
      </c>
      <c r="R220" s="4">
        <f t="shared" si="30"/>
        <v>190.90909090909091</v>
      </c>
      <c r="S220" s="14">
        <f t="shared" si="31"/>
        <v>66.896271437457813</v>
      </c>
      <c r="T220" s="4">
        <f t="shared" si="32"/>
        <v>27.29661468066551</v>
      </c>
      <c r="U220" s="3">
        <f>LEN(A220) - LEN(SUBSTITUTE(A220,"&gt;","")) +1</f>
        <v>5</v>
      </c>
      <c r="V220" s="8">
        <f t="shared" si="33"/>
        <v>2.162222270271606E-3</v>
      </c>
      <c r="W220" s="14">
        <f t="shared" si="34"/>
        <v>1010.8963162</v>
      </c>
      <c r="X220" s="4">
        <f t="shared" si="35"/>
        <v>9.8817917610043594E-3</v>
      </c>
    </row>
    <row r="221" spans="1:24" ht="14.25" customHeight="1" x14ac:dyDescent="0.2">
      <c r="A221" s="5" t="s">
        <v>1682</v>
      </c>
      <c r="B221" s="3" t="s">
        <v>24</v>
      </c>
      <c r="C221" s="3" t="s">
        <v>35</v>
      </c>
      <c r="D221" s="3" t="s">
        <v>2353</v>
      </c>
      <c r="E221" s="3" t="s">
        <v>2354</v>
      </c>
      <c r="F221" s="3" t="s">
        <v>149</v>
      </c>
      <c r="G221" s="3" t="s">
        <v>64</v>
      </c>
      <c r="H221" s="3" t="s">
        <v>114</v>
      </c>
      <c r="I221" s="3">
        <v>25889</v>
      </c>
      <c r="J221" s="3">
        <v>11</v>
      </c>
      <c r="K221" s="3">
        <v>18382</v>
      </c>
      <c r="L221" s="3">
        <v>23328</v>
      </c>
      <c r="M221" s="3">
        <v>15</v>
      </c>
      <c r="N221" s="14">
        <v>4977.7847940000001</v>
      </c>
      <c r="O221" s="7">
        <f t="shared" si="27"/>
        <v>4.2489088029665112E-2</v>
      </c>
      <c r="P221" s="14">
        <f t="shared" si="28"/>
        <v>452.52589036363639</v>
      </c>
      <c r="Q221" s="14">
        <f t="shared" si="29"/>
        <v>331.85231959999999</v>
      </c>
      <c r="R221" s="4">
        <f t="shared" si="30"/>
        <v>136.36363636363635</v>
      </c>
      <c r="S221" s="14">
        <f t="shared" si="31"/>
        <v>213.38240715020575</v>
      </c>
      <c r="T221" s="4">
        <f t="shared" si="32"/>
        <v>71.003128741936735</v>
      </c>
      <c r="U221" s="3">
        <f>LEN(A221) - LEN(SUBSTITUTE(A221,"&gt;","")) +1</f>
        <v>6</v>
      </c>
      <c r="V221" s="8">
        <f t="shared" si="33"/>
        <v>5.2672423177270791E-3</v>
      </c>
      <c r="W221" s="14">
        <f t="shared" si="34"/>
        <v>829.63079900000002</v>
      </c>
      <c r="X221" s="4">
        <f t="shared" si="35"/>
        <v>1.7459472805504497E-2</v>
      </c>
    </row>
    <row r="222" spans="1:24" ht="14.25" customHeight="1" x14ac:dyDescent="0.2">
      <c r="A222" s="5" t="s">
        <v>1683</v>
      </c>
      <c r="B222" s="3" t="s">
        <v>68</v>
      </c>
      <c r="C222" s="3" t="s">
        <v>15</v>
      </c>
      <c r="D222" s="3" t="s">
        <v>2363</v>
      </c>
      <c r="E222" s="3" t="s">
        <v>2358</v>
      </c>
      <c r="F222" s="3" t="s">
        <v>354</v>
      </c>
      <c r="G222" s="3" t="s">
        <v>41</v>
      </c>
      <c r="H222" s="3" t="s">
        <v>19</v>
      </c>
      <c r="I222" s="3">
        <v>15475</v>
      </c>
      <c r="J222" s="3">
        <v>11</v>
      </c>
      <c r="K222" s="3">
        <v>6019</v>
      </c>
      <c r="L222" s="3">
        <v>10952</v>
      </c>
      <c r="M222" s="3">
        <v>9</v>
      </c>
      <c r="N222" s="14">
        <v>4156.7133830000002</v>
      </c>
      <c r="O222" s="7">
        <f t="shared" si="27"/>
        <v>7.1082390953150235E-2</v>
      </c>
      <c r="P222" s="14">
        <f t="shared" si="28"/>
        <v>377.88303481818184</v>
      </c>
      <c r="Q222" s="14">
        <f t="shared" si="29"/>
        <v>461.85704255555561</v>
      </c>
      <c r="R222" s="4">
        <f t="shared" si="30"/>
        <v>81.818181818181827</v>
      </c>
      <c r="S222" s="14">
        <f t="shared" si="31"/>
        <v>379.53920589846609</v>
      </c>
      <c r="T222" s="4">
        <f t="shared" si="32"/>
        <v>38.894991922455574</v>
      </c>
      <c r="U222" s="3">
        <f>LEN(A222) - LEN(SUBSTITUTE(A222,"&gt;","")) +1</f>
        <v>6</v>
      </c>
      <c r="V222" s="8">
        <f t="shared" si="33"/>
        <v>5.2871199882508447E-3</v>
      </c>
      <c r="W222" s="14">
        <f t="shared" si="34"/>
        <v>692.78556383333341</v>
      </c>
      <c r="X222" s="4">
        <f t="shared" si="35"/>
        <v>1.2592277374175488E-2</v>
      </c>
    </row>
    <row r="223" spans="1:24" ht="14.25" customHeight="1" x14ac:dyDescent="0.2">
      <c r="A223" s="5" t="s">
        <v>1684</v>
      </c>
      <c r="B223" s="3" t="s">
        <v>24</v>
      </c>
      <c r="C223" s="3" t="s">
        <v>32</v>
      </c>
      <c r="D223" s="3" t="s">
        <v>2349</v>
      </c>
      <c r="E223" s="3" t="s">
        <v>2350</v>
      </c>
      <c r="F223" s="3" t="s">
        <v>250</v>
      </c>
      <c r="G223" s="3" t="s">
        <v>287</v>
      </c>
      <c r="H223" s="3" t="s">
        <v>19</v>
      </c>
      <c r="I223" s="3">
        <v>114267</v>
      </c>
      <c r="J223" s="3">
        <v>11</v>
      </c>
      <c r="K223" s="3">
        <v>60964</v>
      </c>
      <c r="L223" s="3">
        <v>108301</v>
      </c>
      <c r="M223" s="3">
        <v>5</v>
      </c>
      <c r="N223" s="14">
        <v>2679.1540679999998</v>
      </c>
      <c r="O223" s="7">
        <f t="shared" si="27"/>
        <v>9.6265763518776203E-3</v>
      </c>
      <c r="P223" s="14">
        <f t="shared" si="28"/>
        <v>243.55946072727272</v>
      </c>
      <c r="Q223" s="14">
        <f t="shared" si="29"/>
        <v>535.83081359999994</v>
      </c>
      <c r="R223" s="4">
        <f t="shared" si="30"/>
        <v>45.454545454545453</v>
      </c>
      <c r="S223" s="14">
        <f t="shared" si="31"/>
        <v>24.738036287753573</v>
      </c>
      <c r="T223" s="4">
        <f t="shared" si="32"/>
        <v>53.352236428715202</v>
      </c>
      <c r="U223" s="3">
        <f>LEN(A223) - LEN(SUBSTITUTE(A223,"&gt;","")) +1</f>
        <v>6</v>
      </c>
      <c r="V223" s="8">
        <f t="shared" si="33"/>
        <v>3.9779241123461239E-4</v>
      </c>
      <c r="W223" s="14">
        <f t="shared" si="34"/>
        <v>446.52567799999997</v>
      </c>
      <c r="X223" s="4">
        <f t="shared" si="35"/>
        <v>8.166227869917216E-4</v>
      </c>
    </row>
    <row r="224" spans="1:24" ht="14.25" customHeight="1" x14ac:dyDescent="0.2">
      <c r="A224" s="5" t="s">
        <v>1685</v>
      </c>
      <c r="B224" s="3" t="s">
        <v>24</v>
      </c>
      <c r="C224" s="3" t="s">
        <v>32</v>
      </c>
      <c r="D224" s="3" t="s">
        <v>2349</v>
      </c>
      <c r="E224" s="3" t="s">
        <v>2350</v>
      </c>
      <c r="F224" s="3" t="s">
        <v>357</v>
      </c>
      <c r="G224" s="3" t="s">
        <v>50</v>
      </c>
      <c r="H224" s="3" t="s">
        <v>163</v>
      </c>
      <c r="I224" s="3">
        <v>11668</v>
      </c>
      <c r="J224" s="3">
        <v>11</v>
      </c>
      <c r="K224" s="3">
        <v>7860</v>
      </c>
      <c r="L224" s="3">
        <v>11009</v>
      </c>
      <c r="M224" s="3">
        <v>1</v>
      </c>
      <c r="N224" s="14">
        <v>2653.9815789999998</v>
      </c>
      <c r="O224" s="7">
        <f t="shared" si="27"/>
        <v>9.427494000685635E-2</v>
      </c>
      <c r="P224" s="14">
        <f t="shared" si="28"/>
        <v>241.27105263636361</v>
      </c>
      <c r="Q224" s="14">
        <f t="shared" si="29"/>
        <v>2653.9815789999998</v>
      </c>
      <c r="R224" s="4">
        <f t="shared" si="30"/>
        <v>9.0909090909090917</v>
      </c>
      <c r="S224" s="14">
        <f t="shared" si="31"/>
        <v>241.07381042783175</v>
      </c>
      <c r="T224" s="4">
        <f t="shared" si="32"/>
        <v>67.363729859444632</v>
      </c>
      <c r="U224" s="3">
        <f>LEN(A224) - LEN(SUBSTITUTE(A224,"&gt;","")) +1</f>
        <v>4</v>
      </c>
      <c r="V224" s="8">
        <f t="shared" si="33"/>
        <v>7.7913173559385424E-4</v>
      </c>
      <c r="W224" s="14">
        <f t="shared" si="34"/>
        <v>663.49539474999995</v>
      </c>
      <c r="X224" s="4">
        <f t="shared" si="35"/>
        <v>3.2292797958159442E-4</v>
      </c>
    </row>
    <row r="225" spans="1:24" ht="14.25" customHeight="1" x14ac:dyDescent="0.2">
      <c r="A225" s="5" t="s">
        <v>1686</v>
      </c>
      <c r="B225" s="3" t="s">
        <v>24</v>
      </c>
      <c r="C225" s="3" t="s">
        <v>29</v>
      </c>
      <c r="D225" s="3" t="s">
        <v>2353</v>
      </c>
      <c r="E225" s="3" t="s">
        <v>2354</v>
      </c>
      <c r="F225" s="3" t="s">
        <v>359</v>
      </c>
      <c r="G225" s="3" t="s">
        <v>58</v>
      </c>
      <c r="H225" s="3" t="s">
        <v>19</v>
      </c>
      <c r="I225" s="3">
        <v>117713</v>
      </c>
      <c r="J225" s="3">
        <v>11</v>
      </c>
      <c r="K225" s="3">
        <v>16357</v>
      </c>
      <c r="L225" s="3">
        <v>100222</v>
      </c>
      <c r="M225" s="3">
        <v>5</v>
      </c>
      <c r="N225" s="14">
        <v>2505.4035429999999</v>
      </c>
      <c r="O225" s="7">
        <f t="shared" si="27"/>
        <v>9.3447622607528476E-3</v>
      </c>
      <c r="P225" s="14">
        <f t="shared" si="28"/>
        <v>227.76395845454545</v>
      </c>
      <c r="Q225" s="14">
        <f t="shared" si="29"/>
        <v>501.08070859999998</v>
      </c>
      <c r="R225" s="4">
        <f t="shared" si="30"/>
        <v>45.454545454545453</v>
      </c>
      <c r="S225" s="14">
        <f t="shared" si="31"/>
        <v>24.998538674143401</v>
      </c>
      <c r="T225" s="4">
        <f t="shared" si="32"/>
        <v>13.895661481739484</v>
      </c>
      <c r="U225" s="3">
        <f>LEN(A225) - LEN(SUBSTITUTE(A225,"&gt;","")) +1</f>
        <v>3</v>
      </c>
      <c r="V225" s="8">
        <f t="shared" si="33"/>
        <v>3.8614720085755567E-4</v>
      </c>
      <c r="W225" s="14">
        <f t="shared" si="34"/>
        <v>835.1345143333333</v>
      </c>
      <c r="X225" s="4">
        <f t="shared" si="35"/>
        <v>8.4769162662454026E-4</v>
      </c>
    </row>
    <row r="226" spans="1:24" ht="14.25" customHeight="1" x14ac:dyDescent="0.2">
      <c r="A226" s="5" t="s">
        <v>1687</v>
      </c>
      <c r="B226" s="3" t="s">
        <v>24</v>
      </c>
      <c r="C226" s="3" t="s">
        <v>29</v>
      </c>
      <c r="D226" s="3" t="s">
        <v>2357</v>
      </c>
      <c r="E226" s="3" t="s">
        <v>2358</v>
      </c>
      <c r="F226" s="3" t="s">
        <v>119</v>
      </c>
      <c r="G226" s="3" t="s">
        <v>27</v>
      </c>
      <c r="H226" s="3" t="s">
        <v>19</v>
      </c>
      <c r="I226" s="3">
        <v>130796</v>
      </c>
      <c r="J226" s="3">
        <v>11</v>
      </c>
      <c r="K226" s="3">
        <v>109118</v>
      </c>
      <c r="L226" s="3">
        <v>122937</v>
      </c>
      <c r="M226" s="3">
        <v>6</v>
      </c>
      <c r="N226" s="14">
        <v>2196.6612319999999</v>
      </c>
      <c r="O226" s="7">
        <f t="shared" si="27"/>
        <v>8.410043120584727E-3</v>
      </c>
      <c r="P226" s="14">
        <f t="shared" si="28"/>
        <v>199.69647563636363</v>
      </c>
      <c r="Q226" s="14">
        <f t="shared" si="29"/>
        <v>366.11020533333334</v>
      </c>
      <c r="R226" s="4">
        <f t="shared" si="30"/>
        <v>54.54545454545454</v>
      </c>
      <c r="S226" s="14">
        <f t="shared" si="31"/>
        <v>17.868186404418523</v>
      </c>
      <c r="T226" s="4">
        <f t="shared" si="32"/>
        <v>83.426098657451291</v>
      </c>
      <c r="U226" s="3">
        <f>LEN(A226) - LEN(SUBSTITUTE(A226,"&gt;","")) +1</f>
        <v>6</v>
      </c>
      <c r="V226" s="8">
        <f t="shared" si="33"/>
        <v>4.1702693159924266E-4</v>
      </c>
      <c r="W226" s="14">
        <f t="shared" si="34"/>
        <v>366.11020533333334</v>
      </c>
      <c r="X226" s="4">
        <f t="shared" si="35"/>
        <v>1.2529823481470725E-3</v>
      </c>
    </row>
    <row r="227" spans="1:24" ht="14.25" customHeight="1" x14ac:dyDescent="0.2">
      <c r="A227" s="5" t="s">
        <v>1688</v>
      </c>
      <c r="B227" s="3" t="s">
        <v>24</v>
      </c>
      <c r="C227" s="3" t="s">
        <v>32</v>
      </c>
      <c r="D227" s="3" t="s">
        <v>2353</v>
      </c>
      <c r="E227" s="3" t="s">
        <v>2354</v>
      </c>
      <c r="F227" s="3" t="s">
        <v>250</v>
      </c>
      <c r="G227" s="3" t="s">
        <v>27</v>
      </c>
      <c r="H227" s="3" t="s">
        <v>163</v>
      </c>
      <c r="I227" s="3">
        <v>48892</v>
      </c>
      <c r="J227" s="3">
        <v>11</v>
      </c>
      <c r="K227" s="3">
        <v>32060</v>
      </c>
      <c r="L227" s="3">
        <v>45251</v>
      </c>
      <c r="M227" s="3">
        <v>9</v>
      </c>
      <c r="N227" s="14">
        <v>1978.609661</v>
      </c>
      <c r="O227" s="7">
        <f t="shared" si="27"/>
        <v>2.2498568272928086E-2</v>
      </c>
      <c r="P227" s="14">
        <f t="shared" si="28"/>
        <v>179.87360554545455</v>
      </c>
      <c r="Q227" s="14">
        <f t="shared" si="29"/>
        <v>219.84551788888888</v>
      </c>
      <c r="R227" s="4">
        <f t="shared" si="30"/>
        <v>81.818181818181827</v>
      </c>
      <c r="S227" s="14">
        <f t="shared" si="31"/>
        <v>43.725214050518218</v>
      </c>
      <c r="T227" s="4">
        <f t="shared" si="32"/>
        <v>65.573099893643132</v>
      </c>
      <c r="U227" s="3">
        <f>LEN(A227) - LEN(SUBSTITUTE(A227,"&gt;","")) +1</f>
        <v>2</v>
      </c>
      <c r="V227" s="8">
        <f t="shared" si="33"/>
        <v>1.6734472269120065E-3</v>
      </c>
      <c r="W227" s="14">
        <f t="shared" si="34"/>
        <v>989.30483049999998</v>
      </c>
      <c r="X227" s="4">
        <f t="shared" si="35"/>
        <v>8.3731156644892505E-3</v>
      </c>
    </row>
    <row r="228" spans="1:24" ht="14.25" customHeight="1" x14ac:dyDescent="0.2">
      <c r="A228" s="5" t="s">
        <v>1689</v>
      </c>
      <c r="B228" s="3" t="s">
        <v>24</v>
      </c>
      <c r="C228" s="3" t="s">
        <v>32</v>
      </c>
      <c r="D228" s="3" t="s">
        <v>2353</v>
      </c>
      <c r="E228" s="3" t="s">
        <v>2354</v>
      </c>
      <c r="F228" s="3" t="s">
        <v>57</v>
      </c>
      <c r="G228" s="3" t="s">
        <v>27</v>
      </c>
      <c r="H228" s="3" t="s">
        <v>163</v>
      </c>
      <c r="I228" s="3">
        <v>598460</v>
      </c>
      <c r="J228" s="3">
        <v>11</v>
      </c>
      <c r="K228" s="3">
        <v>201153</v>
      </c>
      <c r="L228" s="3">
        <v>557263</v>
      </c>
      <c r="M228" s="3">
        <v>13</v>
      </c>
      <c r="N228" s="14">
        <v>1689.7445070000001</v>
      </c>
      <c r="O228" s="7">
        <f t="shared" si="27"/>
        <v>1.8380509975604051E-3</v>
      </c>
      <c r="P228" s="14">
        <f t="shared" si="28"/>
        <v>153.61313700000002</v>
      </c>
      <c r="Q228" s="14">
        <f t="shared" si="29"/>
        <v>129.98034669230771</v>
      </c>
      <c r="R228" s="4">
        <f t="shared" si="30"/>
        <v>118.18181818181819</v>
      </c>
      <c r="S228" s="14">
        <f t="shared" si="31"/>
        <v>3.0322208849322494</v>
      </c>
      <c r="T228" s="4">
        <f t="shared" si="32"/>
        <v>33.611770210206195</v>
      </c>
      <c r="U228" s="3">
        <f>LEN(A228) - LEN(SUBSTITUTE(A228,"&gt;","")) +1</f>
        <v>4</v>
      </c>
      <c r="V228" s="8">
        <f t="shared" si="33"/>
        <v>1.9747655345690303E-4</v>
      </c>
      <c r="W228" s="14">
        <f t="shared" si="34"/>
        <v>422.43612675000003</v>
      </c>
      <c r="X228" s="4">
        <f t="shared" si="35"/>
        <v>1.6712081043822047E-3</v>
      </c>
    </row>
    <row r="229" spans="1:24" ht="14.25" customHeight="1" x14ac:dyDescent="0.2">
      <c r="A229" s="5" t="s">
        <v>1690</v>
      </c>
      <c r="B229" s="3" t="s">
        <v>14</v>
      </c>
      <c r="C229" s="3" t="s">
        <v>15</v>
      </c>
      <c r="D229" s="3" t="s">
        <v>2389</v>
      </c>
      <c r="E229" s="3" t="s">
        <v>2390</v>
      </c>
      <c r="F229" s="3" t="s">
        <v>40</v>
      </c>
      <c r="G229" s="3" t="s">
        <v>58</v>
      </c>
      <c r="H229" s="3" t="s">
        <v>19</v>
      </c>
      <c r="I229" s="3">
        <v>171575</v>
      </c>
      <c r="J229" s="3">
        <v>11</v>
      </c>
      <c r="K229" s="3">
        <v>101487</v>
      </c>
      <c r="L229" s="3">
        <v>136036</v>
      </c>
      <c r="M229" s="3">
        <v>8</v>
      </c>
      <c r="N229" s="14">
        <v>1658.3324259999999</v>
      </c>
      <c r="O229" s="7">
        <f t="shared" si="27"/>
        <v>6.4111904414978875E-3</v>
      </c>
      <c r="P229" s="14">
        <f t="shared" si="28"/>
        <v>150.75749327272726</v>
      </c>
      <c r="Q229" s="14">
        <f t="shared" si="29"/>
        <v>207.29155324999999</v>
      </c>
      <c r="R229" s="4">
        <f t="shared" si="30"/>
        <v>72.727272727272734</v>
      </c>
      <c r="S229" s="14">
        <f t="shared" si="31"/>
        <v>12.190393910435473</v>
      </c>
      <c r="T229" s="4">
        <f t="shared" si="32"/>
        <v>59.150225848754189</v>
      </c>
      <c r="U229" s="3">
        <f>LEN(A229) - LEN(SUBSTITUTE(A229,"&gt;","")) +1</f>
        <v>4</v>
      </c>
      <c r="V229" s="8">
        <f t="shared" si="33"/>
        <v>4.2388035976845538E-4</v>
      </c>
      <c r="W229" s="14">
        <f t="shared" si="34"/>
        <v>414.58310649999999</v>
      </c>
      <c r="X229" s="4">
        <f t="shared" si="35"/>
        <v>2.2493362051417836E-3</v>
      </c>
    </row>
    <row r="230" spans="1:24" ht="14.25" customHeight="1" x14ac:dyDescent="0.2">
      <c r="A230" s="5" t="s">
        <v>1691</v>
      </c>
      <c r="B230" s="3" t="s">
        <v>24</v>
      </c>
      <c r="C230" s="3" t="s">
        <v>32</v>
      </c>
      <c r="D230" s="3" t="s">
        <v>2362</v>
      </c>
      <c r="E230" s="3" t="s">
        <v>2352</v>
      </c>
      <c r="F230" s="3" t="s">
        <v>57</v>
      </c>
      <c r="G230" s="3" t="s">
        <v>22</v>
      </c>
      <c r="H230" s="3" t="s">
        <v>19</v>
      </c>
      <c r="I230" s="3">
        <v>335664</v>
      </c>
      <c r="J230" s="3">
        <v>11</v>
      </c>
      <c r="K230" s="3">
        <v>148742</v>
      </c>
      <c r="L230" s="3">
        <v>313071</v>
      </c>
      <c r="M230" s="3">
        <v>70</v>
      </c>
      <c r="N230" s="14">
        <v>1542.5002159999999</v>
      </c>
      <c r="O230" s="7">
        <f t="shared" si="27"/>
        <v>3.277086610419944E-3</v>
      </c>
      <c r="P230" s="14">
        <f t="shared" si="28"/>
        <v>140.22729236363637</v>
      </c>
      <c r="Q230" s="14">
        <f t="shared" si="29"/>
        <v>22.035717371428571</v>
      </c>
      <c r="R230" s="4">
        <f t="shared" si="30"/>
        <v>636.36363636363637</v>
      </c>
      <c r="S230" s="14">
        <f t="shared" si="31"/>
        <v>4.9269980803076621</v>
      </c>
      <c r="T230" s="4">
        <f t="shared" si="32"/>
        <v>44.312765146098485</v>
      </c>
      <c r="U230" s="3">
        <f>LEN(A230) - LEN(SUBSTITUTE(A230,"&gt;","")) +1</f>
        <v>4</v>
      </c>
      <c r="V230" s="8">
        <f t="shared" si="33"/>
        <v>1.8958352291685626E-3</v>
      </c>
      <c r="W230" s="14">
        <f t="shared" si="34"/>
        <v>385.62505399999998</v>
      </c>
      <c r="X230" s="4">
        <f t="shared" si="35"/>
        <v>9.463811488113226E-2</v>
      </c>
    </row>
    <row r="231" spans="1:24" ht="14.25" customHeight="1" x14ac:dyDescent="0.2">
      <c r="A231" s="5" t="s">
        <v>1692</v>
      </c>
      <c r="B231" s="3" t="s">
        <v>24</v>
      </c>
      <c r="C231" s="3" t="s">
        <v>35</v>
      </c>
      <c r="D231" s="3" t="s">
        <v>2391</v>
      </c>
      <c r="E231" s="3" t="s">
        <v>2392</v>
      </c>
      <c r="F231" s="3" t="s">
        <v>40</v>
      </c>
      <c r="G231" s="3" t="s">
        <v>38</v>
      </c>
      <c r="H231" s="3" t="s">
        <v>19</v>
      </c>
      <c r="I231" s="3">
        <v>177632</v>
      </c>
      <c r="J231" s="3">
        <v>11</v>
      </c>
      <c r="K231" s="3">
        <v>70865</v>
      </c>
      <c r="L231" s="3">
        <v>95871</v>
      </c>
      <c r="M231" s="3">
        <v>5</v>
      </c>
      <c r="N231" s="14">
        <v>1483.3844039999999</v>
      </c>
      <c r="O231" s="7">
        <f t="shared" si="27"/>
        <v>6.192577913889389E-3</v>
      </c>
      <c r="P231" s="14">
        <f t="shared" si="28"/>
        <v>134.85312763636364</v>
      </c>
      <c r="Q231" s="14">
        <f t="shared" si="29"/>
        <v>296.67688079999999</v>
      </c>
      <c r="R231" s="4">
        <f t="shared" si="30"/>
        <v>45.454545454545453</v>
      </c>
      <c r="S231" s="14">
        <f t="shared" si="31"/>
        <v>15.472712332196387</v>
      </c>
      <c r="T231" s="4">
        <f t="shared" si="32"/>
        <v>39.894275806161048</v>
      </c>
      <c r="U231" s="3">
        <f>LEN(A231) - LEN(SUBSTITUTE(A231,"&gt;","")) +1</f>
        <v>4</v>
      </c>
      <c r="V231" s="8">
        <f t="shared" si="33"/>
        <v>2.5589164933427228E-4</v>
      </c>
      <c r="W231" s="14">
        <f t="shared" si="34"/>
        <v>370.84610099999998</v>
      </c>
      <c r="X231" s="4">
        <f t="shared" si="35"/>
        <v>9.4877906734315207E-4</v>
      </c>
    </row>
    <row r="232" spans="1:24" ht="14.25" customHeight="1" x14ac:dyDescent="0.2">
      <c r="A232" s="5" t="s">
        <v>1693</v>
      </c>
      <c r="B232" s="3" t="s">
        <v>14</v>
      </c>
      <c r="C232" s="3" t="s">
        <v>32</v>
      </c>
      <c r="D232" s="3" t="s">
        <v>2353</v>
      </c>
      <c r="E232" s="3" t="s">
        <v>2354</v>
      </c>
      <c r="F232" s="3" t="s">
        <v>107</v>
      </c>
      <c r="G232" s="3" t="s">
        <v>38</v>
      </c>
      <c r="H232" s="3" t="s">
        <v>19</v>
      </c>
      <c r="I232" s="3">
        <v>122086</v>
      </c>
      <c r="J232" s="3">
        <v>10</v>
      </c>
      <c r="K232" s="3">
        <v>82898</v>
      </c>
      <c r="L232" s="3">
        <v>116235</v>
      </c>
      <c r="M232" s="3">
        <v>16</v>
      </c>
      <c r="N232" s="14">
        <v>7663.6952940000001</v>
      </c>
      <c r="O232" s="7">
        <f t="shared" si="27"/>
        <v>8.1909473649722335E-3</v>
      </c>
      <c r="P232" s="14">
        <f t="shared" si="28"/>
        <v>766.36952940000003</v>
      </c>
      <c r="Q232" s="14">
        <f t="shared" si="29"/>
        <v>478.98095587500001</v>
      </c>
      <c r="R232" s="4">
        <f t="shared" si="30"/>
        <v>160</v>
      </c>
      <c r="S232" s="14">
        <f t="shared" si="31"/>
        <v>65.932768047490001</v>
      </c>
      <c r="T232" s="4">
        <f t="shared" si="32"/>
        <v>67.901315466146812</v>
      </c>
      <c r="U232" s="3">
        <f>LEN(A232) - LEN(SUBSTITUTE(A232,"&gt;","")) +1</f>
        <v>5</v>
      </c>
      <c r="V232" s="8">
        <f t="shared" si="33"/>
        <v>1.3105515783955572E-3</v>
      </c>
      <c r="W232" s="14">
        <f t="shared" si="34"/>
        <v>1532.7390588000001</v>
      </c>
      <c r="X232" s="4">
        <f t="shared" si="35"/>
        <v>2.7361246043727324E-3</v>
      </c>
    </row>
    <row r="233" spans="1:24" ht="14.25" customHeight="1" x14ac:dyDescent="0.2">
      <c r="A233" s="5" t="s">
        <v>1694</v>
      </c>
      <c r="B233" s="3" t="s">
        <v>24</v>
      </c>
      <c r="C233" s="3" t="s">
        <v>29</v>
      </c>
      <c r="D233" s="3" t="s">
        <v>2353</v>
      </c>
      <c r="E233" s="3" t="s">
        <v>2354</v>
      </c>
      <c r="F233" s="3" t="s">
        <v>370</v>
      </c>
      <c r="G233" s="3" t="s">
        <v>38</v>
      </c>
      <c r="H233" s="3" t="s">
        <v>114</v>
      </c>
      <c r="I233" s="3">
        <v>81905</v>
      </c>
      <c r="J233" s="3">
        <v>10</v>
      </c>
      <c r="K233" s="3">
        <v>61995</v>
      </c>
      <c r="L233" s="3">
        <v>71110</v>
      </c>
      <c r="M233" s="3">
        <v>24</v>
      </c>
      <c r="N233" s="14">
        <v>7065.6692800000001</v>
      </c>
      <c r="O233" s="7">
        <f t="shared" si="27"/>
        <v>1.2209266833526647E-2</v>
      </c>
      <c r="P233" s="14">
        <f t="shared" si="28"/>
        <v>706.56692799999996</v>
      </c>
      <c r="Q233" s="14">
        <f t="shared" si="29"/>
        <v>294.40288666666669</v>
      </c>
      <c r="R233" s="4">
        <f t="shared" si="30"/>
        <v>240</v>
      </c>
      <c r="S233" s="14">
        <f t="shared" si="31"/>
        <v>99.36252678948108</v>
      </c>
      <c r="T233" s="4">
        <f t="shared" si="32"/>
        <v>75.691349734448437</v>
      </c>
      <c r="U233" s="3">
        <f>LEN(A233) - LEN(SUBSTITUTE(A233,"&gt;","")) +1</f>
        <v>5</v>
      </c>
      <c r="V233" s="8">
        <f t="shared" si="33"/>
        <v>2.9302240400463954E-3</v>
      </c>
      <c r="W233" s="14">
        <f t="shared" si="34"/>
        <v>1413.1338559999999</v>
      </c>
      <c r="X233" s="4">
        <f t="shared" si="35"/>
        <v>9.953109065007567E-3</v>
      </c>
    </row>
    <row r="234" spans="1:24" ht="14.25" customHeight="1" x14ac:dyDescent="0.2">
      <c r="A234" s="5" t="s">
        <v>371</v>
      </c>
      <c r="B234" s="3" t="s">
        <v>14</v>
      </c>
      <c r="C234" s="3" t="s">
        <v>29</v>
      </c>
      <c r="D234" s="3" t="s">
        <v>2349</v>
      </c>
      <c r="E234" s="3" t="s">
        <v>2350</v>
      </c>
      <c r="F234" s="3" t="s">
        <v>329</v>
      </c>
      <c r="G234" s="3" t="s">
        <v>41</v>
      </c>
      <c r="H234" s="3" t="s">
        <v>19</v>
      </c>
      <c r="I234" s="3">
        <v>37176</v>
      </c>
      <c r="J234" s="3">
        <v>10</v>
      </c>
      <c r="K234" s="3">
        <v>31829</v>
      </c>
      <c r="L234" s="3">
        <v>35639</v>
      </c>
      <c r="M234" s="3">
        <v>6</v>
      </c>
      <c r="N234" s="14">
        <v>6753.5952420000003</v>
      </c>
      <c r="O234" s="7">
        <f t="shared" si="27"/>
        <v>2.6899074671831287E-2</v>
      </c>
      <c r="P234" s="14">
        <f t="shared" si="28"/>
        <v>675.35952420000001</v>
      </c>
      <c r="Q234" s="14">
        <f t="shared" si="29"/>
        <v>1125.599207</v>
      </c>
      <c r="R234" s="4">
        <f t="shared" si="30"/>
        <v>60</v>
      </c>
      <c r="S234" s="14">
        <f t="shared" si="31"/>
        <v>189.50013305648309</v>
      </c>
      <c r="T234" s="4">
        <f t="shared" si="32"/>
        <v>85.617064772971801</v>
      </c>
      <c r="U234" s="3">
        <f>LEN(A234) - LEN(SUBSTITUTE(A234,"&gt;","")) +1</f>
        <v>4</v>
      </c>
      <c r="V234" s="8">
        <f t="shared" si="33"/>
        <v>1.6139444803098773E-3</v>
      </c>
      <c r="W234" s="14">
        <f t="shared" si="34"/>
        <v>1688.3988105000001</v>
      </c>
      <c r="X234" s="4">
        <f t="shared" si="35"/>
        <v>1.4338536046160143E-3</v>
      </c>
    </row>
    <row r="235" spans="1:24" ht="14.25" customHeight="1" x14ac:dyDescent="0.2">
      <c r="A235" s="5" t="s">
        <v>1695</v>
      </c>
      <c r="B235" s="3" t="s">
        <v>14</v>
      </c>
      <c r="C235" s="3" t="s">
        <v>29</v>
      </c>
      <c r="D235" s="3" t="s">
        <v>2353</v>
      </c>
      <c r="E235" s="3" t="s">
        <v>2354</v>
      </c>
      <c r="F235" s="3" t="s">
        <v>119</v>
      </c>
      <c r="G235" s="3" t="s">
        <v>64</v>
      </c>
      <c r="H235" s="3" t="s">
        <v>19</v>
      </c>
      <c r="I235" s="3">
        <v>114384</v>
      </c>
      <c r="J235" s="3">
        <v>10</v>
      </c>
      <c r="K235" s="3">
        <v>61524</v>
      </c>
      <c r="L235" s="3">
        <v>105104</v>
      </c>
      <c r="M235" s="3">
        <v>12</v>
      </c>
      <c r="N235" s="14">
        <v>5803.3314540000001</v>
      </c>
      <c r="O235" s="7">
        <f t="shared" si="27"/>
        <v>8.7424814659392922E-3</v>
      </c>
      <c r="P235" s="14">
        <f t="shared" si="28"/>
        <v>580.33314540000003</v>
      </c>
      <c r="Q235" s="14">
        <f t="shared" si="29"/>
        <v>483.61095449999999</v>
      </c>
      <c r="R235" s="4">
        <f t="shared" si="30"/>
        <v>120</v>
      </c>
      <c r="S235" s="14">
        <f t="shared" si="31"/>
        <v>55.215134095752781</v>
      </c>
      <c r="T235" s="4">
        <f t="shared" si="32"/>
        <v>53.787242971044904</v>
      </c>
      <c r="U235" s="3">
        <f>LEN(A235) - LEN(SUBSTITUTE(A235,"&gt;","")) +1</f>
        <v>5</v>
      </c>
      <c r="V235" s="8">
        <f t="shared" si="33"/>
        <v>1.0490977759127151E-3</v>
      </c>
      <c r="W235" s="14">
        <f t="shared" si="34"/>
        <v>1160.6662908000001</v>
      </c>
      <c r="X235" s="4">
        <f t="shared" si="35"/>
        <v>2.1693011007109333E-3</v>
      </c>
    </row>
    <row r="236" spans="1:24" ht="14.25" customHeight="1" x14ac:dyDescent="0.2">
      <c r="A236" s="5" t="s">
        <v>1696</v>
      </c>
      <c r="B236" s="3" t="s">
        <v>68</v>
      </c>
      <c r="C236" s="3" t="s">
        <v>35</v>
      </c>
      <c r="D236" s="3" t="s">
        <v>2357</v>
      </c>
      <c r="E236" s="3" t="s">
        <v>2358</v>
      </c>
      <c r="F236" s="3" t="s">
        <v>374</v>
      </c>
      <c r="G236" s="3" t="s">
        <v>27</v>
      </c>
      <c r="H236" s="3" t="s">
        <v>19</v>
      </c>
      <c r="I236" s="3">
        <v>17382</v>
      </c>
      <c r="J236" s="3">
        <v>10</v>
      </c>
      <c r="K236" s="3">
        <v>7411</v>
      </c>
      <c r="L236" s="3">
        <v>16576</v>
      </c>
      <c r="M236" s="3">
        <v>1</v>
      </c>
      <c r="N236" s="14">
        <v>5797.2199769999997</v>
      </c>
      <c r="O236" s="7">
        <f t="shared" si="27"/>
        <v>5.7530778966747208E-2</v>
      </c>
      <c r="P236" s="14">
        <f t="shared" si="28"/>
        <v>579.72199769999997</v>
      </c>
      <c r="Q236" s="14">
        <f t="shared" si="29"/>
        <v>5797.2199769999997</v>
      </c>
      <c r="R236" s="4">
        <f t="shared" si="30"/>
        <v>10</v>
      </c>
      <c r="S236" s="14">
        <f t="shared" si="31"/>
        <v>349.73576116071428</v>
      </c>
      <c r="T236" s="4">
        <f t="shared" si="32"/>
        <v>42.636060292256353</v>
      </c>
      <c r="U236" s="3">
        <f>LEN(A236) - LEN(SUBSTITUTE(A236,"&gt;","")) +1</f>
        <v>5</v>
      </c>
      <c r="V236" s="8">
        <f t="shared" si="33"/>
        <v>5.7530778966747209E-4</v>
      </c>
      <c r="W236" s="14">
        <f t="shared" si="34"/>
        <v>1159.4439953999999</v>
      </c>
      <c r="X236" s="4">
        <f t="shared" si="35"/>
        <v>9.9238564682720181E-5</v>
      </c>
    </row>
    <row r="237" spans="1:24" ht="14.25" customHeight="1" x14ac:dyDescent="0.2">
      <c r="A237" s="5" t="s">
        <v>1697</v>
      </c>
      <c r="B237" s="3" t="s">
        <v>24</v>
      </c>
      <c r="C237" s="3" t="s">
        <v>29</v>
      </c>
      <c r="D237" s="3" t="s">
        <v>2353</v>
      </c>
      <c r="E237" s="3" t="s">
        <v>2354</v>
      </c>
      <c r="F237" s="3" t="s">
        <v>376</v>
      </c>
      <c r="G237" s="3" t="s">
        <v>38</v>
      </c>
      <c r="H237" s="3" t="s">
        <v>163</v>
      </c>
      <c r="I237" s="3">
        <v>39314</v>
      </c>
      <c r="J237" s="3">
        <v>10</v>
      </c>
      <c r="K237" s="3">
        <v>27671</v>
      </c>
      <c r="L237" s="3">
        <v>35488</v>
      </c>
      <c r="M237" s="3">
        <v>2</v>
      </c>
      <c r="N237" s="14">
        <v>5530.8004579999997</v>
      </c>
      <c r="O237" s="7">
        <f t="shared" si="27"/>
        <v>2.5436231367960523E-2</v>
      </c>
      <c r="P237" s="14">
        <f t="shared" si="28"/>
        <v>553.08004579999999</v>
      </c>
      <c r="Q237" s="14">
        <f t="shared" si="29"/>
        <v>2765.4002289999999</v>
      </c>
      <c r="R237" s="4">
        <f t="shared" si="30"/>
        <v>20</v>
      </c>
      <c r="S237" s="14">
        <f t="shared" si="31"/>
        <v>155.84987764878269</v>
      </c>
      <c r="T237" s="4">
        <f t="shared" si="32"/>
        <v>70.384595818283572</v>
      </c>
      <c r="U237" s="3">
        <f>LEN(A237) - LEN(SUBSTITUTE(A237,"&gt;","")) +1</f>
        <v>6</v>
      </c>
      <c r="V237" s="8">
        <f t="shared" si="33"/>
        <v>5.0872462735921048E-4</v>
      </c>
      <c r="W237" s="14">
        <f t="shared" si="34"/>
        <v>921.80007633333332</v>
      </c>
      <c r="X237" s="4">
        <f t="shared" si="35"/>
        <v>1.8396057902373539E-4</v>
      </c>
    </row>
    <row r="238" spans="1:24" ht="14.25" customHeight="1" x14ac:dyDescent="0.2">
      <c r="A238" s="5" t="s">
        <v>1698</v>
      </c>
      <c r="B238" s="3" t="s">
        <v>14</v>
      </c>
      <c r="C238" s="3" t="s">
        <v>15</v>
      </c>
      <c r="D238" s="3" t="s">
        <v>2357</v>
      </c>
      <c r="E238" s="3" t="s">
        <v>2358</v>
      </c>
      <c r="F238" s="3" t="s">
        <v>17</v>
      </c>
      <c r="G238" s="3" t="s">
        <v>27</v>
      </c>
      <c r="H238" s="3" t="s">
        <v>19</v>
      </c>
      <c r="I238" s="3">
        <v>43117</v>
      </c>
      <c r="J238" s="3">
        <v>10</v>
      </c>
      <c r="K238" s="3">
        <v>6478</v>
      </c>
      <c r="L238" s="3">
        <v>27405</v>
      </c>
      <c r="M238" s="3">
        <v>8</v>
      </c>
      <c r="N238" s="14">
        <v>4250.4304389999998</v>
      </c>
      <c r="O238" s="7">
        <f t="shared" si="27"/>
        <v>2.319270821253798E-2</v>
      </c>
      <c r="P238" s="14">
        <f t="shared" si="28"/>
        <v>425.04304389999999</v>
      </c>
      <c r="Q238" s="14">
        <f t="shared" si="29"/>
        <v>531.30380487499997</v>
      </c>
      <c r="R238" s="4">
        <f t="shared" si="30"/>
        <v>80</v>
      </c>
      <c r="S238" s="14">
        <f t="shared" si="31"/>
        <v>155.09689615033753</v>
      </c>
      <c r="T238" s="4">
        <f t="shared" si="32"/>
        <v>15.024236380082101</v>
      </c>
      <c r="U238" s="3">
        <f>LEN(A238) - LEN(SUBSTITUTE(A238,"&gt;","")) +1</f>
        <v>5</v>
      </c>
      <c r="V238" s="8">
        <f t="shared" si="33"/>
        <v>1.8554166570030383E-3</v>
      </c>
      <c r="W238" s="14">
        <f t="shared" si="34"/>
        <v>850.08608779999997</v>
      </c>
      <c r="X238" s="4">
        <f t="shared" si="35"/>
        <v>3.4921953126979071E-3</v>
      </c>
    </row>
    <row r="239" spans="1:24" ht="14.25" customHeight="1" x14ac:dyDescent="0.2">
      <c r="A239" s="5" t="s">
        <v>1699</v>
      </c>
      <c r="B239" s="3" t="s">
        <v>24</v>
      </c>
      <c r="C239" s="3" t="s">
        <v>32</v>
      </c>
      <c r="D239" s="3" t="s">
        <v>2349</v>
      </c>
      <c r="E239" s="3" t="s">
        <v>2350</v>
      </c>
      <c r="F239" s="3" t="s">
        <v>379</v>
      </c>
      <c r="G239" s="3" t="s">
        <v>27</v>
      </c>
      <c r="H239" s="3" t="s">
        <v>114</v>
      </c>
      <c r="I239" s="3">
        <v>33650</v>
      </c>
      <c r="J239" s="3">
        <v>10</v>
      </c>
      <c r="K239" s="3">
        <v>15621</v>
      </c>
      <c r="L239" s="3">
        <v>32539</v>
      </c>
      <c r="M239" s="3">
        <v>1</v>
      </c>
      <c r="N239" s="14">
        <v>3844.9911649999999</v>
      </c>
      <c r="O239" s="7">
        <f t="shared" si="27"/>
        <v>2.9717682020802376E-2</v>
      </c>
      <c r="P239" s="14">
        <f t="shared" si="28"/>
        <v>384.49911650000001</v>
      </c>
      <c r="Q239" s="14">
        <f t="shared" si="29"/>
        <v>3844.9911649999999</v>
      </c>
      <c r="R239" s="4">
        <f t="shared" si="30"/>
        <v>10</v>
      </c>
      <c r="S239" s="14">
        <f t="shared" si="31"/>
        <v>118.16562171547989</v>
      </c>
      <c r="T239" s="4">
        <f t="shared" si="32"/>
        <v>46.421991084695399</v>
      </c>
      <c r="U239" s="3">
        <f>LEN(A239) - LEN(SUBSTITUTE(A239,"&gt;","")) +1</f>
        <v>6</v>
      </c>
      <c r="V239" s="8">
        <f t="shared" si="33"/>
        <v>2.9717682020802375E-4</v>
      </c>
      <c r="W239" s="14">
        <f t="shared" si="34"/>
        <v>640.83186083333328</v>
      </c>
      <c r="X239" s="4">
        <f t="shared" si="35"/>
        <v>7.7289337596702585E-5</v>
      </c>
    </row>
    <row r="240" spans="1:24" ht="14.25" customHeight="1" x14ac:dyDescent="0.2">
      <c r="A240" s="5" t="s">
        <v>1700</v>
      </c>
      <c r="B240" s="3" t="s">
        <v>14</v>
      </c>
      <c r="C240" s="3" t="s">
        <v>15</v>
      </c>
      <c r="D240" s="3" t="s">
        <v>2362</v>
      </c>
      <c r="E240" s="3" t="s">
        <v>2352</v>
      </c>
      <c r="F240" s="3" t="s">
        <v>381</v>
      </c>
      <c r="G240" s="3" t="s">
        <v>27</v>
      </c>
      <c r="H240" s="3" t="s">
        <v>19</v>
      </c>
      <c r="I240" s="3">
        <v>11325</v>
      </c>
      <c r="J240" s="3">
        <v>10</v>
      </c>
      <c r="K240" s="3">
        <v>6186</v>
      </c>
      <c r="L240" s="3">
        <v>10612</v>
      </c>
      <c r="M240" s="3">
        <v>2</v>
      </c>
      <c r="N240" s="14">
        <v>1573.2540899999999</v>
      </c>
      <c r="O240" s="7">
        <f t="shared" si="27"/>
        <v>8.8300220750551883E-2</v>
      </c>
      <c r="P240" s="14">
        <f t="shared" si="28"/>
        <v>157.32540899999998</v>
      </c>
      <c r="Q240" s="14">
        <f t="shared" si="29"/>
        <v>786.62704499999995</v>
      </c>
      <c r="R240" s="4">
        <f t="shared" si="30"/>
        <v>20</v>
      </c>
      <c r="S240" s="14">
        <f t="shared" si="31"/>
        <v>148.25236430456087</v>
      </c>
      <c r="T240" s="4">
        <f t="shared" si="32"/>
        <v>54.622516556291387</v>
      </c>
      <c r="U240" s="3">
        <f>LEN(A240) - LEN(SUBSTITUTE(A240,"&gt;","")) +1</f>
        <v>5</v>
      </c>
      <c r="V240" s="8">
        <f t="shared" si="33"/>
        <v>1.7660044150110375E-3</v>
      </c>
      <c r="W240" s="14">
        <f t="shared" si="34"/>
        <v>314.65081799999996</v>
      </c>
      <c r="X240" s="4">
        <f t="shared" si="35"/>
        <v>2.2450339410985264E-3</v>
      </c>
    </row>
    <row r="241" spans="1:24" ht="14.25" customHeight="1" x14ac:dyDescent="0.2">
      <c r="A241" s="5" t="s">
        <v>1701</v>
      </c>
      <c r="B241" s="3" t="s">
        <v>24</v>
      </c>
      <c r="C241" s="3" t="s">
        <v>35</v>
      </c>
      <c r="D241" s="3" t="s">
        <v>2363</v>
      </c>
      <c r="E241" s="3" t="s">
        <v>2358</v>
      </c>
      <c r="F241" s="3" t="s">
        <v>370</v>
      </c>
      <c r="G241" s="3" t="s">
        <v>27</v>
      </c>
      <c r="H241" s="3" t="s">
        <v>114</v>
      </c>
      <c r="I241" s="3">
        <v>76439</v>
      </c>
      <c r="J241" s="3">
        <v>10</v>
      </c>
      <c r="K241" s="3">
        <v>58269</v>
      </c>
      <c r="L241" s="3">
        <v>66924</v>
      </c>
      <c r="M241" s="3">
        <v>15</v>
      </c>
      <c r="N241" s="14">
        <v>1524.8102240000001</v>
      </c>
      <c r="O241" s="7">
        <f t="shared" si="27"/>
        <v>1.3082327084341762E-2</v>
      </c>
      <c r="P241" s="14">
        <f t="shared" si="28"/>
        <v>152.4810224</v>
      </c>
      <c r="Q241" s="14">
        <f t="shared" si="29"/>
        <v>101.65401493333334</v>
      </c>
      <c r="R241" s="4">
        <f t="shared" si="30"/>
        <v>150</v>
      </c>
      <c r="S241" s="14">
        <f t="shared" si="31"/>
        <v>22.78420632359094</v>
      </c>
      <c r="T241" s="4">
        <f t="shared" si="32"/>
        <v>76.229411687751011</v>
      </c>
      <c r="U241" s="3">
        <f>LEN(A241) - LEN(SUBSTITUTE(A241,"&gt;","")) +1</f>
        <v>4</v>
      </c>
      <c r="V241" s="8">
        <f t="shared" si="33"/>
        <v>1.9623490626512643E-3</v>
      </c>
      <c r="W241" s="14">
        <f t="shared" si="34"/>
        <v>381.20255600000002</v>
      </c>
      <c r="X241" s="4">
        <f t="shared" si="35"/>
        <v>1.9304196336349434E-2</v>
      </c>
    </row>
    <row r="242" spans="1:24" ht="14.25" customHeight="1" x14ac:dyDescent="0.2">
      <c r="A242" s="5" t="s">
        <v>1702</v>
      </c>
      <c r="B242" s="3" t="s">
        <v>14</v>
      </c>
      <c r="C242" s="3" t="s">
        <v>29</v>
      </c>
      <c r="D242" s="3" t="s">
        <v>2378</v>
      </c>
      <c r="E242" s="3" t="s">
        <v>2352</v>
      </c>
      <c r="F242" s="3" t="s">
        <v>384</v>
      </c>
      <c r="G242" s="3" t="s">
        <v>38</v>
      </c>
      <c r="H242" s="3" t="s">
        <v>19</v>
      </c>
      <c r="I242" s="3">
        <v>31243</v>
      </c>
      <c r="J242" s="3">
        <v>10</v>
      </c>
      <c r="K242" s="3">
        <v>16326</v>
      </c>
      <c r="L242" s="3">
        <v>25991</v>
      </c>
      <c r="M242" s="3">
        <v>21</v>
      </c>
      <c r="N242" s="14">
        <v>1452.5905600000001</v>
      </c>
      <c r="O242" s="7">
        <f t="shared" si="27"/>
        <v>3.2007169605991745E-2</v>
      </c>
      <c r="P242" s="14">
        <f t="shared" si="28"/>
        <v>145.25905600000002</v>
      </c>
      <c r="Q242" s="14">
        <f t="shared" si="29"/>
        <v>69.170979047619056</v>
      </c>
      <c r="R242" s="4">
        <f t="shared" si="30"/>
        <v>210</v>
      </c>
      <c r="S242" s="14">
        <f t="shared" si="31"/>
        <v>55.8882136124043</v>
      </c>
      <c r="T242" s="4">
        <f t="shared" si="32"/>
        <v>52.254905098742121</v>
      </c>
      <c r="U242" s="3">
        <f>LEN(A242) - LEN(SUBSTITUTE(A242,"&gt;","")) +1</f>
        <v>4</v>
      </c>
      <c r="V242" s="8">
        <f t="shared" si="33"/>
        <v>6.7215056172582662E-3</v>
      </c>
      <c r="W242" s="14">
        <f t="shared" si="34"/>
        <v>363.14764000000002</v>
      </c>
      <c r="X242" s="4">
        <f t="shared" si="35"/>
        <v>9.7172335997022852E-2</v>
      </c>
    </row>
    <row r="243" spans="1:24" ht="14.25" customHeight="1" x14ac:dyDescent="0.2">
      <c r="A243" s="5" t="s">
        <v>385</v>
      </c>
      <c r="B243" s="3" t="s">
        <v>14</v>
      </c>
      <c r="C243" s="3" t="s">
        <v>29</v>
      </c>
      <c r="D243" s="3" t="s">
        <v>2362</v>
      </c>
      <c r="E243" s="3" t="s">
        <v>2352</v>
      </c>
      <c r="F243" s="3" t="s">
        <v>139</v>
      </c>
      <c r="G243" s="3" t="s">
        <v>58</v>
      </c>
      <c r="H243" s="3" t="s">
        <v>19</v>
      </c>
      <c r="I243" s="3">
        <v>7320</v>
      </c>
      <c r="J243" s="3">
        <v>9</v>
      </c>
      <c r="K243" s="3">
        <v>4020</v>
      </c>
      <c r="L243" s="3">
        <v>6692</v>
      </c>
      <c r="M243" s="3">
        <v>54</v>
      </c>
      <c r="N243" s="14">
        <v>7982.0066159999997</v>
      </c>
      <c r="O243" s="7">
        <f t="shared" si="27"/>
        <v>0.12295081967213116</v>
      </c>
      <c r="P243" s="14">
        <f t="shared" si="28"/>
        <v>886.88962399999991</v>
      </c>
      <c r="Q243" s="14">
        <f t="shared" si="29"/>
        <v>147.81493733333332</v>
      </c>
      <c r="R243" s="4">
        <f t="shared" si="30"/>
        <v>600</v>
      </c>
      <c r="S243" s="14">
        <f t="shared" si="31"/>
        <v>1192.7684722056188</v>
      </c>
      <c r="T243" s="4">
        <f t="shared" si="32"/>
        <v>54.918032786885249</v>
      </c>
      <c r="U243" s="3">
        <f>LEN(A243) - LEN(SUBSTITUTE(A243,"&gt;","")) +1</f>
        <v>4</v>
      </c>
      <c r="V243" s="8">
        <f t="shared" si="33"/>
        <v>8.1967213114754092E-2</v>
      </c>
      <c r="W243" s="14">
        <f t="shared" si="34"/>
        <v>1995.5016539999999</v>
      </c>
      <c r="X243" s="4">
        <f t="shared" si="35"/>
        <v>0.49907332191279785</v>
      </c>
    </row>
    <row r="244" spans="1:24" ht="14.25" customHeight="1" x14ac:dyDescent="0.2">
      <c r="A244" s="5" t="s">
        <v>1703</v>
      </c>
      <c r="B244" s="3" t="s">
        <v>24</v>
      </c>
      <c r="C244" s="3" t="s">
        <v>32</v>
      </c>
      <c r="D244" s="3" t="s">
        <v>2369</v>
      </c>
      <c r="E244" s="3" t="s">
        <v>2365</v>
      </c>
      <c r="F244" s="3" t="s">
        <v>111</v>
      </c>
      <c r="G244" s="3" t="s">
        <v>58</v>
      </c>
      <c r="H244" s="3" t="s">
        <v>19</v>
      </c>
      <c r="I244" s="3">
        <v>10501</v>
      </c>
      <c r="J244" s="3">
        <v>9</v>
      </c>
      <c r="K244" s="3">
        <v>4126</v>
      </c>
      <c r="L244" s="3">
        <v>7654</v>
      </c>
      <c r="M244" s="3">
        <v>8</v>
      </c>
      <c r="N244" s="14">
        <v>6244.5179209999997</v>
      </c>
      <c r="O244" s="7">
        <f t="shared" si="27"/>
        <v>8.5706123226359399E-2</v>
      </c>
      <c r="P244" s="14">
        <f t="shared" si="28"/>
        <v>693.83532455555553</v>
      </c>
      <c r="Q244" s="14">
        <f t="shared" si="29"/>
        <v>780.56474012499996</v>
      </c>
      <c r="R244" s="4">
        <f t="shared" si="30"/>
        <v>88.888888888888886</v>
      </c>
      <c r="S244" s="14">
        <f t="shared" si="31"/>
        <v>815.85026404494374</v>
      </c>
      <c r="T244" s="4">
        <f t="shared" si="32"/>
        <v>39.29149604799543</v>
      </c>
      <c r="U244" s="3">
        <f>LEN(A244) - LEN(SUBSTITUTE(A244,"&gt;","")) +1</f>
        <v>6</v>
      </c>
      <c r="V244" s="8">
        <f t="shared" si="33"/>
        <v>8.4648022939614216E-3</v>
      </c>
      <c r="W244" s="14">
        <f t="shared" si="34"/>
        <v>1040.7529868333334</v>
      </c>
      <c r="X244" s="4">
        <f t="shared" si="35"/>
        <v>9.7600130686729177E-3</v>
      </c>
    </row>
    <row r="245" spans="1:24" ht="14.25" customHeight="1" x14ac:dyDescent="0.2">
      <c r="A245" s="5" t="s">
        <v>1704</v>
      </c>
      <c r="B245" s="3" t="s">
        <v>14</v>
      </c>
      <c r="C245" s="3" t="s">
        <v>32</v>
      </c>
      <c r="D245" s="3" t="s">
        <v>2353</v>
      </c>
      <c r="E245" s="3" t="s">
        <v>2354</v>
      </c>
      <c r="F245" s="3" t="s">
        <v>320</v>
      </c>
      <c r="G245" s="3" t="s">
        <v>41</v>
      </c>
      <c r="H245" s="3" t="s">
        <v>19</v>
      </c>
      <c r="I245" s="3">
        <v>28553</v>
      </c>
      <c r="J245" s="3">
        <v>9</v>
      </c>
      <c r="K245" s="3">
        <v>11390</v>
      </c>
      <c r="L245" s="3">
        <v>23355</v>
      </c>
      <c r="M245" s="3">
        <v>13</v>
      </c>
      <c r="N245" s="14">
        <v>5573.1123960000004</v>
      </c>
      <c r="O245" s="7">
        <f t="shared" si="27"/>
        <v>3.1520330613245544E-2</v>
      </c>
      <c r="P245" s="14">
        <f t="shared" si="28"/>
        <v>619.23471066666673</v>
      </c>
      <c r="Q245" s="14">
        <f t="shared" si="29"/>
        <v>428.70095353846159</v>
      </c>
      <c r="R245" s="4">
        <f t="shared" si="30"/>
        <v>144.44444444444443</v>
      </c>
      <c r="S245" s="14">
        <f t="shared" si="31"/>
        <v>238.62609274245344</v>
      </c>
      <c r="T245" s="4">
        <f t="shared" si="32"/>
        <v>39.890729520540745</v>
      </c>
      <c r="U245" s="3">
        <f>LEN(A245) - LEN(SUBSTITUTE(A245,"&gt;","")) +1</f>
        <v>5</v>
      </c>
      <c r="V245" s="8">
        <f t="shared" si="33"/>
        <v>5.0588184934838524E-3</v>
      </c>
      <c r="W245" s="14">
        <f t="shared" si="34"/>
        <v>1114.6224792</v>
      </c>
      <c r="X245" s="4">
        <f t="shared" si="35"/>
        <v>1.0620309114210993E-2</v>
      </c>
    </row>
    <row r="246" spans="1:24" ht="14.25" customHeight="1" x14ac:dyDescent="0.2">
      <c r="A246" s="5" t="s">
        <v>1705</v>
      </c>
      <c r="B246" s="3" t="s">
        <v>14</v>
      </c>
      <c r="C246" s="3" t="s">
        <v>35</v>
      </c>
      <c r="D246" s="3" t="s">
        <v>2393</v>
      </c>
      <c r="E246" s="3" t="s">
        <v>2394</v>
      </c>
      <c r="F246" s="3" t="s">
        <v>390</v>
      </c>
      <c r="G246" s="3" t="s">
        <v>27</v>
      </c>
      <c r="H246" s="3" t="s">
        <v>19</v>
      </c>
      <c r="I246" s="3">
        <v>14509</v>
      </c>
      <c r="J246" s="3">
        <v>9</v>
      </c>
      <c r="K246" s="3">
        <v>866</v>
      </c>
      <c r="L246" s="3">
        <v>13268</v>
      </c>
      <c r="M246" s="3">
        <v>1</v>
      </c>
      <c r="N246" s="14">
        <v>5521.1891299999997</v>
      </c>
      <c r="O246" s="7">
        <f t="shared" si="27"/>
        <v>6.2030463850024121E-2</v>
      </c>
      <c r="P246" s="14">
        <f t="shared" si="28"/>
        <v>613.46545888888886</v>
      </c>
      <c r="Q246" s="14">
        <f t="shared" si="29"/>
        <v>5521.1891299999997</v>
      </c>
      <c r="R246" s="4">
        <f t="shared" si="30"/>
        <v>11.111111111111111</v>
      </c>
      <c r="S246" s="14">
        <f t="shared" si="31"/>
        <v>416.12821299366897</v>
      </c>
      <c r="T246" s="4">
        <f t="shared" si="32"/>
        <v>5.9687090771245437</v>
      </c>
      <c r="U246" s="3">
        <f>LEN(A246) - LEN(SUBSTITUTE(A246,"&gt;","")) +1</f>
        <v>5</v>
      </c>
      <c r="V246" s="8">
        <f t="shared" si="33"/>
        <v>7.6580819567931009E-4</v>
      </c>
      <c r="W246" s="14">
        <f t="shared" si="34"/>
        <v>1104.237826</v>
      </c>
      <c r="X246" s="4">
        <f t="shared" si="35"/>
        <v>1.2483314008686732E-4</v>
      </c>
    </row>
    <row r="247" spans="1:24" ht="14.25" customHeight="1" x14ac:dyDescent="0.2">
      <c r="A247" s="5" t="s">
        <v>391</v>
      </c>
      <c r="B247" s="3" t="s">
        <v>14</v>
      </c>
      <c r="C247" s="3" t="s">
        <v>32</v>
      </c>
      <c r="D247" s="3" t="s">
        <v>2384</v>
      </c>
      <c r="E247" s="3" t="s">
        <v>2385</v>
      </c>
      <c r="F247" s="3" t="s">
        <v>392</v>
      </c>
      <c r="G247" s="3" t="s">
        <v>64</v>
      </c>
      <c r="H247" s="3" t="s">
        <v>19</v>
      </c>
      <c r="I247" s="3">
        <v>45285</v>
      </c>
      <c r="J247" s="3">
        <v>9</v>
      </c>
      <c r="K247" s="3">
        <v>30225</v>
      </c>
      <c r="L247" s="3">
        <v>43298</v>
      </c>
      <c r="M247" s="3">
        <v>1</v>
      </c>
      <c r="N247" s="14">
        <v>4728.0124059999998</v>
      </c>
      <c r="O247" s="7">
        <f t="shared" si="27"/>
        <v>1.9874130506790329E-2</v>
      </c>
      <c r="P247" s="14">
        <f t="shared" si="28"/>
        <v>525.33471177777778</v>
      </c>
      <c r="Q247" s="14">
        <f t="shared" si="29"/>
        <v>4728.0124059999998</v>
      </c>
      <c r="R247" s="4">
        <f t="shared" si="30"/>
        <v>11.111111111111111</v>
      </c>
      <c r="S247" s="14">
        <f t="shared" si="31"/>
        <v>109.19701616702849</v>
      </c>
      <c r="T247" s="4">
        <f t="shared" si="32"/>
        <v>66.743954951970849</v>
      </c>
      <c r="U247" s="3">
        <f>LEN(A247) - LEN(SUBSTITUTE(A247,"&gt;","")) +1</f>
        <v>4</v>
      </c>
      <c r="V247" s="8">
        <f t="shared" si="33"/>
        <v>2.4535963588630033E-4</v>
      </c>
      <c r="W247" s="14">
        <f t="shared" si="34"/>
        <v>1182.0031015</v>
      </c>
      <c r="X247" s="4">
        <f t="shared" si="35"/>
        <v>4.6705391893100356E-5</v>
      </c>
    </row>
    <row r="248" spans="1:24" ht="14.25" customHeight="1" x14ac:dyDescent="0.2">
      <c r="A248" s="5" t="s">
        <v>393</v>
      </c>
      <c r="B248" s="3" t="s">
        <v>14</v>
      </c>
      <c r="C248" s="3" t="s">
        <v>35</v>
      </c>
      <c r="D248" s="3" t="s">
        <v>2353</v>
      </c>
      <c r="E248" s="3" t="s">
        <v>2354</v>
      </c>
      <c r="F248" s="3" t="s">
        <v>394</v>
      </c>
      <c r="G248" s="3" t="s">
        <v>27</v>
      </c>
      <c r="H248" s="3" t="s">
        <v>19</v>
      </c>
      <c r="I248" s="3">
        <v>45965</v>
      </c>
      <c r="J248" s="3">
        <v>9</v>
      </c>
      <c r="K248" s="3">
        <v>10028</v>
      </c>
      <c r="L248" s="3">
        <v>37295</v>
      </c>
      <c r="M248" s="3">
        <v>1</v>
      </c>
      <c r="N248" s="14">
        <v>4718.8361139999997</v>
      </c>
      <c r="O248" s="7">
        <f t="shared" si="27"/>
        <v>1.9580115305123463E-2</v>
      </c>
      <c r="P248" s="14">
        <f t="shared" si="28"/>
        <v>524.31512377777779</v>
      </c>
      <c r="Q248" s="14">
        <f t="shared" si="29"/>
        <v>4718.8361139999997</v>
      </c>
      <c r="R248" s="4">
        <f t="shared" si="30"/>
        <v>11.111111111111111</v>
      </c>
      <c r="S248" s="14">
        <f t="shared" si="31"/>
        <v>126.52731234749967</v>
      </c>
      <c r="T248" s="4">
        <f t="shared" si="32"/>
        <v>21.81659958664201</v>
      </c>
      <c r="U248" s="3">
        <f>LEN(A248) - LEN(SUBSTITUTE(A248,"&gt;","")) +1</f>
        <v>4</v>
      </c>
      <c r="V248" s="8">
        <f t="shared" si="33"/>
        <v>2.4172981858177115E-4</v>
      </c>
      <c r="W248" s="14">
        <f t="shared" si="34"/>
        <v>1179.7090284999999</v>
      </c>
      <c r="X248" s="4">
        <f t="shared" si="35"/>
        <v>4.6103918734990431E-5</v>
      </c>
    </row>
    <row r="249" spans="1:24" ht="14.25" customHeight="1" x14ac:dyDescent="0.2">
      <c r="A249" s="5" t="s">
        <v>1706</v>
      </c>
      <c r="B249" s="3" t="s">
        <v>24</v>
      </c>
      <c r="C249" s="3" t="s">
        <v>32</v>
      </c>
      <c r="D249" s="3" t="s">
        <v>2359</v>
      </c>
      <c r="E249" s="3" t="s">
        <v>2360</v>
      </c>
      <c r="F249" s="3" t="s">
        <v>396</v>
      </c>
      <c r="G249" s="3" t="s">
        <v>27</v>
      </c>
      <c r="H249" s="3" t="s">
        <v>163</v>
      </c>
      <c r="I249" s="3">
        <v>47394</v>
      </c>
      <c r="J249" s="3">
        <v>9</v>
      </c>
      <c r="K249" s="3">
        <v>22712</v>
      </c>
      <c r="L249" s="3">
        <v>41918</v>
      </c>
      <c r="M249" s="3">
        <v>24</v>
      </c>
      <c r="N249" s="14">
        <v>4701.4962370000003</v>
      </c>
      <c r="O249" s="7">
        <f t="shared" si="27"/>
        <v>1.89897455374098E-2</v>
      </c>
      <c r="P249" s="14">
        <f t="shared" si="28"/>
        <v>522.3884707777778</v>
      </c>
      <c r="Q249" s="14">
        <f t="shared" si="29"/>
        <v>195.89567654166669</v>
      </c>
      <c r="R249" s="4">
        <f t="shared" si="30"/>
        <v>266.66666666666663</v>
      </c>
      <c r="S249" s="14">
        <f t="shared" si="31"/>
        <v>112.15936440192759</v>
      </c>
      <c r="T249" s="4">
        <f t="shared" si="32"/>
        <v>47.921677849516811</v>
      </c>
      <c r="U249" s="3">
        <f>LEN(A249) - LEN(SUBSTITUTE(A249,"&gt;","")) +1</f>
        <v>5</v>
      </c>
      <c r="V249" s="8">
        <f t="shared" si="33"/>
        <v>5.6265912703436435E-3</v>
      </c>
      <c r="W249" s="14">
        <f t="shared" si="34"/>
        <v>940.29924740000001</v>
      </c>
      <c r="X249" s="4">
        <f t="shared" si="35"/>
        <v>2.585014755153205E-2</v>
      </c>
    </row>
    <row r="250" spans="1:24" ht="14.25" customHeight="1" x14ac:dyDescent="0.2">
      <c r="A250" s="5" t="s">
        <v>1707</v>
      </c>
      <c r="B250" s="3" t="s">
        <v>14</v>
      </c>
      <c r="C250" s="3" t="s">
        <v>32</v>
      </c>
      <c r="D250" s="3" t="s">
        <v>2395</v>
      </c>
      <c r="E250" s="3" t="s">
        <v>2354</v>
      </c>
      <c r="F250" s="3" t="s">
        <v>40</v>
      </c>
      <c r="G250" s="3" t="s">
        <v>27</v>
      </c>
      <c r="H250" s="3" t="s">
        <v>19</v>
      </c>
      <c r="I250" s="3">
        <v>48436</v>
      </c>
      <c r="J250" s="3">
        <v>9</v>
      </c>
      <c r="K250" s="3">
        <v>16543</v>
      </c>
      <c r="L250" s="3">
        <v>42427</v>
      </c>
      <c r="M250" s="3">
        <v>4</v>
      </c>
      <c r="N250" s="14">
        <v>4386.6482150000002</v>
      </c>
      <c r="O250" s="7">
        <f t="shared" si="27"/>
        <v>1.8581220579734083E-2</v>
      </c>
      <c r="P250" s="14">
        <f t="shared" si="28"/>
        <v>487.40535722222222</v>
      </c>
      <c r="Q250" s="14">
        <f t="shared" si="29"/>
        <v>1096.66205375</v>
      </c>
      <c r="R250" s="4">
        <f t="shared" si="30"/>
        <v>44.444444444444443</v>
      </c>
      <c r="S250" s="14">
        <f t="shared" si="31"/>
        <v>103.3928445329625</v>
      </c>
      <c r="T250" s="4">
        <f t="shared" si="32"/>
        <v>34.15434800561566</v>
      </c>
      <c r="U250" s="3">
        <f>LEN(A250) - LEN(SUBSTITUTE(A250,"&gt;","")) +1</f>
        <v>5</v>
      </c>
      <c r="V250" s="8">
        <f t="shared" si="33"/>
        <v>9.1759113973995468E-4</v>
      </c>
      <c r="W250" s="14">
        <f t="shared" si="34"/>
        <v>877.32964300000003</v>
      </c>
      <c r="X250" s="4">
        <f t="shared" si="35"/>
        <v>7.5304148889081518E-4</v>
      </c>
    </row>
    <row r="251" spans="1:24" ht="14.25" customHeight="1" x14ac:dyDescent="0.2">
      <c r="A251" s="5" t="s">
        <v>399</v>
      </c>
      <c r="B251" s="3" t="s">
        <v>14</v>
      </c>
      <c r="C251" s="3" t="s">
        <v>15</v>
      </c>
      <c r="D251" s="3" t="s">
        <v>2363</v>
      </c>
      <c r="E251" s="3" t="s">
        <v>2358</v>
      </c>
      <c r="F251" s="3" t="s">
        <v>79</v>
      </c>
      <c r="G251" s="3" t="s">
        <v>27</v>
      </c>
      <c r="H251" s="3" t="s">
        <v>19</v>
      </c>
      <c r="I251" s="3">
        <v>212009</v>
      </c>
      <c r="J251" s="3">
        <v>9</v>
      </c>
      <c r="K251" s="3">
        <v>16903</v>
      </c>
      <c r="L251" s="3">
        <v>149653</v>
      </c>
      <c r="M251" s="3">
        <v>15</v>
      </c>
      <c r="N251" s="14">
        <v>3983.6217969999998</v>
      </c>
      <c r="O251" s="7">
        <f t="shared" si="27"/>
        <v>4.2451028022395271E-3</v>
      </c>
      <c r="P251" s="14">
        <f t="shared" si="28"/>
        <v>442.62464411111108</v>
      </c>
      <c r="Q251" s="14">
        <f t="shared" si="29"/>
        <v>265.57478646666664</v>
      </c>
      <c r="R251" s="4">
        <f t="shared" si="30"/>
        <v>166.66666666666669</v>
      </c>
      <c r="S251" s="14">
        <f t="shared" si="31"/>
        <v>26.619057399450728</v>
      </c>
      <c r="T251" s="4">
        <f t="shared" si="32"/>
        <v>7.9727747406949714</v>
      </c>
      <c r="U251" s="3">
        <f>LEN(A251) - LEN(SUBSTITUTE(A251,"&gt;","")) +1</f>
        <v>4</v>
      </c>
      <c r="V251" s="8">
        <f t="shared" si="33"/>
        <v>7.8613014856287555E-4</v>
      </c>
      <c r="W251" s="14">
        <f t="shared" si="34"/>
        <v>995.90544924999995</v>
      </c>
      <c r="X251" s="4">
        <f t="shared" si="35"/>
        <v>2.6640975339554357E-3</v>
      </c>
    </row>
    <row r="252" spans="1:24" ht="14.25" customHeight="1" x14ac:dyDescent="0.2">
      <c r="A252" s="5" t="s">
        <v>400</v>
      </c>
      <c r="B252" s="3" t="s">
        <v>14</v>
      </c>
      <c r="C252" s="3" t="s">
        <v>32</v>
      </c>
      <c r="D252" s="3" t="s">
        <v>2396</v>
      </c>
      <c r="E252" s="3" t="s">
        <v>2394</v>
      </c>
      <c r="F252" s="3" t="s">
        <v>119</v>
      </c>
      <c r="G252" s="3" t="s">
        <v>27</v>
      </c>
      <c r="H252" s="3" t="s">
        <v>19</v>
      </c>
      <c r="I252" s="3">
        <v>65380</v>
      </c>
      <c r="J252" s="3">
        <v>9</v>
      </c>
      <c r="K252" s="3">
        <v>30039</v>
      </c>
      <c r="L252" s="3">
        <v>60482</v>
      </c>
      <c r="M252" s="3">
        <v>5</v>
      </c>
      <c r="N252" s="14">
        <v>2905.8841619999998</v>
      </c>
      <c r="O252" s="7">
        <f t="shared" si="27"/>
        <v>1.3765677577240747E-2</v>
      </c>
      <c r="P252" s="14">
        <f t="shared" si="28"/>
        <v>322.87601799999999</v>
      </c>
      <c r="Q252" s="14">
        <f t="shared" si="29"/>
        <v>581.17683239999997</v>
      </c>
      <c r="R252" s="4">
        <f t="shared" si="30"/>
        <v>55.555555555555557</v>
      </c>
      <c r="S252" s="14">
        <f t="shared" si="31"/>
        <v>48.045437683939021</v>
      </c>
      <c r="T252" s="4">
        <f t="shared" si="32"/>
        <v>45.945243193637197</v>
      </c>
      <c r="U252" s="3">
        <f>LEN(A252) - LEN(SUBSTITUTE(A252,"&gt;","")) +1</f>
        <v>1</v>
      </c>
      <c r="V252" s="8">
        <f t="shared" si="33"/>
        <v>8.4973318378029304E-4</v>
      </c>
      <c r="W252" s="14">
        <f t="shared" si="34"/>
        <v>2905.8841619999998</v>
      </c>
      <c r="X252" s="4">
        <f t="shared" si="35"/>
        <v>1.3158815402949703E-3</v>
      </c>
    </row>
    <row r="253" spans="1:24" ht="14.25" customHeight="1" x14ac:dyDescent="0.2">
      <c r="A253" s="5" t="s">
        <v>1708</v>
      </c>
      <c r="B253" s="3" t="s">
        <v>14</v>
      </c>
      <c r="C253" s="3" t="s">
        <v>15</v>
      </c>
      <c r="D253" s="3" t="s">
        <v>2381</v>
      </c>
      <c r="E253" s="3" t="s">
        <v>2365</v>
      </c>
      <c r="F253" s="3" t="s">
        <v>403</v>
      </c>
      <c r="G253" s="3" t="s">
        <v>27</v>
      </c>
      <c r="H253" s="3" t="s">
        <v>19</v>
      </c>
      <c r="I253" s="3">
        <v>268811</v>
      </c>
      <c r="J253" s="3">
        <v>9</v>
      </c>
      <c r="K253" s="3">
        <v>95989</v>
      </c>
      <c r="L253" s="3">
        <v>173923</v>
      </c>
      <c r="M253" s="3">
        <v>4</v>
      </c>
      <c r="N253" s="14">
        <v>2549.1151580000001</v>
      </c>
      <c r="O253" s="7">
        <f t="shared" si="27"/>
        <v>3.3480772736234751E-3</v>
      </c>
      <c r="P253" s="14">
        <f t="shared" si="28"/>
        <v>283.23501755555554</v>
      </c>
      <c r="Q253" s="14">
        <f t="shared" si="29"/>
        <v>637.27878950000002</v>
      </c>
      <c r="R253" s="4">
        <f t="shared" si="30"/>
        <v>44.444444444444443</v>
      </c>
      <c r="S253" s="14">
        <f t="shared" si="31"/>
        <v>14.65657306969176</v>
      </c>
      <c r="T253" s="4">
        <f t="shared" si="32"/>
        <v>35.708732157538201</v>
      </c>
      <c r="U253" s="3">
        <f>LEN(A253) - LEN(SUBSTITUTE(A253,"&gt;","")) +1</f>
        <v>6</v>
      </c>
      <c r="V253" s="8">
        <f t="shared" si="33"/>
        <v>1.6533714931473952E-4</v>
      </c>
      <c r="W253" s="14">
        <f t="shared" si="34"/>
        <v>424.85252633333334</v>
      </c>
      <c r="X253" s="4">
        <f t="shared" si="35"/>
        <v>2.3349817510796904E-4</v>
      </c>
    </row>
    <row r="254" spans="1:24" ht="14.25" customHeight="1" x14ac:dyDescent="0.2">
      <c r="A254" s="5" t="s">
        <v>1709</v>
      </c>
      <c r="B254" s="3" t="s">
        <v>14</v>
      </c>
      <c r="C254" s="3" t="s">
        <v>35</v>
      </c>
      <c r="D254" s="3" t="s">
        <v>2353</v>
      </c>
      <c r="E254" s="3" t="s">
        <v>2354</v>
      </c>
      <c r="F254" s="3" t="s">
        <v>250</v>
      </c>
      <c r="G254" s="3" t="s">
        <v>27</v>
      </c>
      <c r="H254" s="3" t="s">
        <v>19</v>
      </c>
      <c r="I254" s="3">
        <v>85280</v>
      </c>
      <c r="J254" s="3">
        <v>9</v>
      </c>
      <c r="K254" s="3">
        <v>35860</v>
      </c>
      <c r="L254" s="3">
        <v>79837</v>
      </c>
      <c r="M254" s="3">
        <v>5</v>
      </c>
      <c r="N254" s="14">
        <v>2217.932092</v>
      </c>
      <c r="O254" s="7">
        <f t="shared" si="27"/>
        <v>1.0553470919324577E-2</v>
      </c>
      <c r="P254" s="14">
        <f t="shared" si="28"/>
        <v>246.4368991111111</v>
      </c>
      <c r="Q254" s="14">
        <f t="shared" si="29"/>
        <v>443.58641840000001</v>
      </c>
      <c r="R254" s="4">
        <f t="shared" si="30"/>
        <v>55.555555555555557</v>
      </c>
      <c r="S254" s="14">
        <f t="shared" si="31"/>
        <v>27.780754437165726</v>
      </c>
      <c r="T254" s="4">
        <f t="shared" si="32"/>
        <v>42.049718574108816</v>
      </c>
      <c r="U254" s="3">
        <f>LEN(A254) - LEN(SUBSTITUTE(A254,"&gt;","")) +1</f>
        <v>4</v>
      </c>
      <c r="V254" s="8">
        <f t="shared" si="33"/>
        <v>6.514488221805295E-4</v>
      </c>
      <c r="W254" s="14">
        <f t="shared" si="34"/>
        <v>554.483023</v>
      </c>
      <c r="X254" s="4">
        <f t="shared" si="35"/>
        <v>1.3217355528540604E-3</v>
      </c>
    </row>
    <row r="255" spans="1:24" ht="14.25" customHeight="1" x14ac:dyDescent="0.2">
      <c r="A255" s="5" t="s">
        <v>1710</v>
      </c>
      <c r="B255" s="3" t="s">
        <v>24</v>
      </c>
      <c r="C255" s="3" t="s">
        <v>29</v>
      </c>
      <c r="D255" s="3" t="s">
        <v>2363</v>
      </c>
      <c r="E255" s="3" t="s">
        <v>2358</v>
      </c>
      <c r="F255" s="3" t="s">
        <v>406</v>
      </c>
      <c r="G255" s="3" t="s">
        <v>407</v>
      </c>
      <c r="H255" s="3" t="s">
        <v>19</v>
      </c>
      <c r="I255" s="3">
        <v>292578</v>
      </c>
      <c r="J255" s="3">
        <v>9</v>
      </c>
      <c r="K255" s="3">
        <v>6474</v>
      </c>
      <c r="L255" s="3">
        <v>12323</v>
      </c>
      <c r="M255" s="3">
        <v>4</v>
      </c>
      <c r="N255" s="14">
        <v>1826.3187379999999</v>
      </c>
      <c r="O255" s="7">
        <f t="shared" si="27"/>
        <v>3.0761027828476507E-3</v>
      </c>
      <c r="P255" s="14">
        <f t="shared" si="28"/>
        <v>202.92430422222222</v>
      </c>
      <c r="Q255" s="14">
        <f t="shared" si="29"/>
        <v>456.57968449999998</v>
      </c>
      <c r="R255" s="4">
        <f t="shared" si="30"/>
        <v>44.444444444444443</v>
      </c>
      <c r="S255" s="14">
        <f t="shared" si="31"/>
        <v>148.20406865211393</v>
      </c>
      <c r="T255" s="4">
        <f t="shared" si="32"/>
        <v>2.2127432684617436</v>
      </c>
      <c r="U255" s="3">
        <f>LEN(A255) - LEN(SUBSTITUTE(A255,"&gt;","")) +1</f>
        <v>6</v>
      </c>
      <c r="V255" s="8">
        <f t="shared" si="33"/>
        <v>1.5190631026408151E-4</v>
      </c>
      <c r="W255" s="14">
        <f t="shared" si="34"/>
        <v>304.38645633333334</v>
      </c>
      <c r="X255" s="4">
        <f t="shared" si="35"/>
        <v>2.9943443363536986E-4</v>
      </c>
    </row>
    <row r="256" spans="1:24" ht="14.25" customHeight="1" x14ac:dyDescent="0.2">
      <c r="A256" s="5" t="s">
        <v>1711</v>
      </c>
      <c r="B256" s="3" t="s">
        <v>24</v>
      </c>
      <c r="C256" s="3" t="s">
        <v>15</v>
      </c>
      <c r="D256" s="3" t="s">
        <v>2353</v>
      </c>
      <c r="E256" s="3" t="s">
        <v>2354</v>
      </c>
      <c r="F256" s="3" t="s">
        <v>409</v>
      </c>
      <c r="G256" s="3" t="s">
        <v>38</v>
      </c>
      <c r="H256" s="3" t="s">
        <v>19</v>
      </c>
      <c r="I256" s="3">
        <v>14932</v>
      </c>
      <c r="J256" s="3">
        <v>9</v>
      </c>
      <c r="K256" s="3">
        <v>8947</v>
      </c>
      <c r="L256" s="3">
        <v>14256</v>
      </c>
      <c r="M256" s="3">
        <v>1</v>
      </c>
      <c r="N256" s="14">
        <v>1724.417704</v>
      </c>
      <c r="O256" s="7">
        <f t="shared" si="27"/>
        <v>6.0273238682025186E-2</v>
      </c>
      <c r="P256" s="14">
        <f t="shared" si="28"/>
        <v>191.60196711111109</v>
      </c>
      <c r="Q256" s="14">
        <f t="shared" si="29"/>
        <v>1724.417704</v>
      </c>
      <c r="R256" s="4">
        <f t="shared" si="30"/>
        <v>11.111111111111111</v>
      </c>
      <c r="S256" s="14">
        <f t="shared" si="31"/>
        <v>120.96083782267115</v>
      </c>
      <c r="T256" s="4">
        <f t="shared" si="32"/>
        <v>59.918296276453255</v>
      </c>
      <c r="U256" s="3">
        <f>LEN(A256) - LEN(SUBSTITUTE(A256,"&gt;","")) +1</f>
        <v>4</v>
      </c>
      <c r="V256" s="8">
        <f t="shared" si="33"/>
        <v>7.4411405780277996E-4</v>
      </c>
      <c r="W256" s="14">
        <f t="shared" si="34"/>
        <v>431.10442599999999</v>
      </c>
      <c r="X256" s="4">
        <f t="shared" si="35"/>
        <v>3.8836451891501923E-4</v>
      </c>
    </row>
    <row r="257" spans="1:24" ht="14.25" customHeight="1" x14ac:dyDescent="0.2">
      <c r="A257" s="5" t="s">
        <v>1712</v>
      </c>
      <c r="B257" s="3" t="s">
        <v>14</v>
      </c>
      <c r="C257" s="3" t="s">
        <v>15</v>
      </c>
      <c r="D257" s="3" t="s">
        <v>2395</v>
      </c>
      <c r="E257" s="3" t="s">
        <v>2354</v>
      </c>
      <c r="F257" s="3" t="s">
        <v>26</v>
      </c>
      <c r="G257" s="3" t="s">
        <v>38</v>
      </c>
      <c r="H257" s="3" t="s">
        <v>19</v>
      </c>
      <c r="I257" s="3">
        <v>16372</v>
      </c>
      <c r="J257" s="3">
        <v>9</v>
      </c>
      <c r="K257" s="3">
        <v>4731</v>
      </c>
      <c r="L257" s="3">
        <v>15332</v>
      </c>
      <c r="M257" s="3">
        <v>6</v>
      </c>
      <c r="N257" s="14">
        <v>1704.511123</v>
      </c>
      <c r="O257" s="7">
        <f t="shared" si="27"/>
        <v>5.4971903249450282E-2</v>
      </c>
      <c r="P257" s="14">
        <f t="shared" si="28"/>
        <v>189.39012477777777</v>
      </c>
      <c r="Q257" s="14">
        <f t="shared" si="29"/>
        <v>284.08518716666669</v>
      </c>
      <c r="R257" s="4">
        <f t="shared" si="30"/>
        <v>66.666666666666657</v>
      </c>
      <c r="S257" s="14">
        <f t="shared" si="31"/>
        <v>111.17343614662146</v>
      </c>
      <c r="T257" s="4">
        <f t="shared" si="32"/>
        <v>28.896897141461032</v>
      </c>
      <c r="U257" s="3">
        <f>LEN(A257) - LEN(SUBSTITUTE(A257,"&gt;","")) +1</f>
        <v>4</v>
      </c>
      <c r="V257" s="8">
        <f t="shared" si="33"/>
        <v>4.0719928332926128E-3</v>
      </c>
      <c r="W257" s="14">
        <f t="shared" si="34"/>
        <v>426.12778075</v>
      </c>
      <c r="X257" s="4">
        <f t="shared" si="35"/>
        <v>1.2900333123716501E-2</v>
      </c>
    </row>
    <row r="258" spans="1:24" ht="14.25" customHeight="1" x14ac:dyDescent="0.2">
      <c r="A258" s="5" t="s">
        <v>1713</v>
      </c>
      <c r="B258" s="3" t="s">
        <v>14</v>
      </c>
      <c r="C258" s="3" t="s">
        <v>35</v>
      </c>
      <c r="D258" s="3" t="s">
        <v>2351</v>
      </c>
      <c r="E258" s="3" t="s">
        <v>2352</v>
      </c>
      <c r="F258" s="3" t="s">
        <v>412</v>
      </c>
      <c r="G258" s="3" t="s">
        <v>27</v>
      </c>
      <c r="H258" s="3" t="s">
        <v>19</v>
      </c>
      <c r="I258" s="3">
        <v>20572</v>
      </c>
      <c r="J258" s="3">
        <v>9</v>
      </c>
      <c r="K258" s="3">
        <v>2226</v>
      </c>
      <c r="L258" s="3">
        <v>16510</v>
      </c>
      <c r="M258" s="3">
        <v>10</v>
      </c>
      <c r="N258" s="14">
        <v>1529.307229</v>
      </c>
      <c r="O258" s="7">
        <f t="shared" si="27"/>
        <v>4.3748784755979001E-2</v>
      </c>
      <c r="P258" s="14">
        <f t="shared" si="28"/>
        <v>169.92302544444445</v>
      </c>
      <c r="Q258" s="14">
        <f t="shared" si="29"/>
        <v>152.93072290000001</v>
      </c>
      <c r="R258" s="4">
        <f t="shared" si="30"/>
        <v>111.11111111111111</v>
      </c>
      <c r="S258" s="14">
        <f t="shared" si="31"/>
        <v>92.629147728649301</v>
      </c>
      <c r="T258" s="4">
        <f t="shared" si="32"/>
        <v>10.820532762978806</v>
      </c>
      <c r="U258" s="3">
        <f>LEN(A258) - LEN(SUBSTITUTE(A258,"&gt;","")) +1</f>
        <v>3</v>
      </c>
      <c r="V258" s="8">
        <f t="shared" si="33"/>
        <v>5.4010845377751851E-3</v>
      </c>
      <c r="W258" s="14">
        <f t="shared" si="34"/>
        <v>509.76907633333332</v>
      </c>
      <c r="X258" s="4">
        <f t="shared" si="35"/>
        <v>3.1785477710559271E-2</v>
      </c>
    </row>
    <row r="259" spans="1:24" ht="14.25" customHeight="1" x14ac:dyDescent="0.2">
      <c r="A259" s="5" t="s">
        <v>1714</v>
      </c>
      <c r="B259" s="3" t="s">
        <v>24</v>
      </c>
      <c r="C259" s="3" t="s">
        <v>35</v>
      </c>
      <c r="D259" s="3" t="s">
        <v>2353</v>
      </c>
      <c r="E259" s="3" t="s">
        <v>2354</v>
      </c>
      <c r="F259" s="3" t="s">
        <v>72</v>
      </c>
      <c r="G259" s="3" t="s">
        <v>197</v>
      </c>
      <c r="H259" s="3" t="s">
        <v>19</v>
      </c>
      <c r="I259" s="3">
        <v>229908</v>
      </c>
      <c r="J259" s="3">
        <v>9</v>
      </c>
      <c r="K259" s="3">
        <v>98259</v>
      </c>
      <c r="L259" s="3">
        <v>212073</v>
      </c>
      <c r="M259" s="3">
        <v>4</v>
      </c>
      <c r="N259" s="14">
        <v>1464.3489440000001</v>
      </c>
      <c r="O259" s="7">
        <f t="shared" ref="O259:O322" si="36">IFERROR((J259/I259)*100, 0)</f>
        <v>3.9146093219896653E-3</v>
      </c>
      <c r="P259" s="14">
        <f t="shared" ref="P259:P322" si="37">IFERROR(N259/J259, 0)</f>
        <v>162.70543822222223</v>
      </c>
      <c r="Q259" s="14">
        <f t="shared" ref="Q259:Q322" si="38">IFERROR(N259/M259, 0)</f>
        <v>366.08723600000002</v>
      </c>
      <c r="R259" s="4">
        <f t="shared" ref="R259:R322" si="39">IFERROR((M259/J259)*100, 0)</f>
        <v>44.444444444444443</v>
      </c>
      <c r="S259" s="14">
        <f t="shared" ref="S259:S322" si="40">IFERROR((N259/L259)*1000, 0)</f>
        <v>6.9049286990800338</v>
      </c>
      <c r="T259" s="4">
        <f t="shared" ref="T259:T322" si="41">(K259/I259)*100</f>
        <v>42.738399707709171</v>
      </c>
      <c r="U259" s="3">
        <f>LEN(A259) - LEN(SUBSTITUTE(A259,"&gt;","")) +1</f>
        <v>4</v>
      </c>
      <c r="V259" s="8">
        <f t="shared" ref="V259:V322" si="42">R259/I259</f>
        <v>1.9331404059208223E-4</v>
      </c>
      <c r="W259" s="14">
        <f t="shared" ref="W259:W322" si="43">N259/U259</f>
        <v>366.08723600000002</v>
      </c>
      <c r="X259" s="4">
        <f t="shared" ref="X259:X322" si="44">(O259*R259/Q259)</f>
        <v>4.7524911940080317E-4</v>
      </c>
    </row>
    <row r="260" spans="1:24" ht="14.25" customHeight="1" x14ac:dyDescent="0.2">
      <c r="A260" s="5" t="s">
        <v>1715</v>
      </c>
      <c r="B260" s="3" t="s">
        <v>24</v>
      </c>
      <c r="C260" s="3" t="s">
        <v>15</v>
      </c>
      <c r="D260" s="3" t="s">
        <v>2353</v>
      </c>
      <c r="E260" s="3" t="s">
        <v>2354</v>
      </c>
      <c r="F260" s="3" t="s">
        <v>79</v>
      </c>
      <c r="G260" s="3" t="s">
        <v>415</v>
      </c>
      <c r="H260" s="3" t="s">
        <v>19</v>
      </c>
      <c r="I260" s="3">
        <v>12280</v>
      </c>
      <c r="J260" s="3">
        <v>9</v>
      </c>
      <c r="K260" s="3">
        <v>7633</v>
      </c>
      <c r="L260" s="3">
        <v>11053</v>
      </c>
      <c r="M260" s="3">
        <v>1</v>
      </c>
      <c r="N260" s="14">
        <v>1452.207361</v>
      </c>
      <c r="O260" s="7">
        <f t="shared" si="36"/>
        <v>7.3289902280130298E-2</v>
      </c>
      <c r="P260" s="14">
        <f t="shared" si="37"/>
        <v>161.35637344444444</v>
      </c>
      <c r="Q260" s="14">
        <f t="shared" si="38"/>
        <v>1452.207361</v>
      </c>
      <c r="R260" s="4">
        <f t="shared" si="39"/>
        <v>11.111111111111111</v>
      </c>
      <c r="S260" s="14">
        <f t="shared" si="40"/>
        <v>131.38581027775265</v>
      </c>
      <c r="T260" s="4">
        <f t="shared" si="41"/>
        <v>62.15798045602606</v>
      </c>
      <c r="U260" s="3">
        <f>LEN(A260) - LEN(SUBSTITUTE(A260,"&gt;","")) +1</f>
        <v>3</v>
      </c>
      <c r="V260" s="8">
        <f t="shared" si="42"/>
        <v>9.0481360839667025E-4</v>
      </c>
      <c r="W260" s="14">
        <f t="shared" si="43"/>
        <v>484.06912033333333</v>
      </c>
      <c r="X260" s="4">
        <f t="shared" si="44"/>
        <v>5.6075479950483691E-4</v>
      </c>
    </row>
    <row r="261" spans="1:24" ht="14.25" customHeight="1" x14ac:dyDescent="0.2">
      <c r="A261" s="5" t="s">
        <v>416</v>
      </c>
      <c r="B261" s="3" t="s">
        <v>24</v>
      </c>
      <c r="C261" s="3" t="s">
        <v>29</v>
      </c>
      <c r="D261" s="3" t="s">
        <v>2366</v>
      </c>
      <c r="E261" s="3" t="s">
        <v>2352</v>
      </c>
      <c r="F261" s="3" t="s">
        <v>161</v>
      </c>
      <c r="G261" s="3" t="s">
        <v>22</v>
      </c>
      <c r="H261" s="3" t="s">
        <v>19</v>
      </c>
      <c r="I261" s="3">
        <v>8420</v>
      </c>
      <c r="J261" s="3">
        <v>8</v>
      </c>
      <c r="K261" s="3">
        <v>4430</v>
      </c>
      <c r="L261" s="3">
        <v>7869</v>
      </c>
      <c r="M261" s="3">
        <v>8</v>
      </c>
      <c r="N261" s="14">
        <v>5184.5854239999999</v>
      </c>
      <c r="O261" s="7">
        <f t="shared" si="36"/>
        <v>9.5011876484560567E-2</v>
      </c>
      <c r="P261" s="14">
        <f t="shared" si="37"/>
        <v>648.07317799999998</v>
      </c>
      <c r="Q261" s="14">
        <f t="shared" si="38"/>
        <v>648.07317799999998</v>
      </c>
      <c r="R261" s="4">
        <f t="shared" si="39"/>
        <v>100</v>
      </c>
      <c r="S261" s="14">
        <f t="shared" si="40"/>
        <v>658.86204397000893</v>
      </c>
      <c r="T261" s="4">
        <f t="shared" si="41"/>
        <v>52.612826603325416</v>
      </c>
      <c r="U261" s="3">
        <f>LEN(A261) - LEN(SUBSTITUTE(A261,"&gt;","")) +1</f>
        <v>4</v>
      </c>
      <c r="V261" s="8">
        <f t="shared" si="42"/>
        <v>1.1876484560570071E-2</v>
      </c>
      <c r="W261" s="14">
        <f t="shared" si="43"/>
        <v>1296.146356</v>
      </c>
      <c r="X261" s="4">
        <f t="shared" si="44"/>
        <v>1.4660671002891061E-2</v>
      </c>
    </row>
    <row r="262" spans="1:24" ht="14.25" customHeight="1" x14ac:dyDescent="0.2">
      <c r="A262" s="5" t="s">
        <v>417</v>
      </c>
      <c r="B262" s="3" t="s">
        <v>14</v>
      </c>
      <c r="C262" s="3" t="s">
        <v>32</v>
      </c>
      <c r="D262" s="3" t="s">
        <v>2379</v>
      </c>
      <c r="E262" s="3" t="s">
        <v>2380</v>
      </c>
      <c r="F262" s="3" t="s">
        <v>79</v>
      </c>
      <c r="G262" s="3" t="s">
        <v>27</v>
      </c>
      <c r="H262" s="3" t="s">
        <v>19</v>
      </c>
      <c r="I262" s="3">
        <v>156427</v>
      </c>
      <c r="J262" s="3">
        <v>8</v>
      </c>
      <c r="K262" s="3">
        <v>61821</v>
      </c>
      <c r="L262" s="3">
        <v>145505</v>
      </c>
      <c r="M262" s="3">
        <v>3</v>
      </c>
      <c r="N262" s="14">
        <v>5159.7474940000002</v>
      </c>
      <c r="O262" s="7">
        <f t="shared" si="36"/>
        <v>5.114206626733237E-3</v>
      </c>
      <c r="P262" s="14">
        <f t="shared" si="37"/>
        <v>644.96843675000002</v>
      </c>
      <c r="Q262" s="14">
        <f t="shared" si="38"/>
        <v>1719.9158313333335</v>
      </c>
      <c r="R262" s="4">
        <f t="shared" si="39"/>
        <v>37.5</v>
      </c>
      <c r="S262" s="14">
        <f t="shared" si="40"/>
        <v>35.460963499536099</v>
      </c>
      <c r="T262" s="4">
        <f t="shared" si="41"/>
        <v>39.520670983909426</v>
      </c>
      <c r="U262" s="3">
        <f>LEN(A262) - LEN(SUBSTITUTE(A262,"&gt;","")) +1</f>
        <v>4</v>
      </c>
      <c r="V262" s="8">
        <f t="shared" si="42"/>
        <v>2.3972843562812047E-4</v>
      </c>
      <c r="W262" s="14">
        <f t="shared" si="43"/>
        <v>1289.9368735</v>
      </c>
      <c r="X262" s="4">
        <f t="shared" si="44"/>
        <v>1.1150705459453809E-4</v>
      </c>
    </row>
    <row r="263" spans="1:24" ht="14.25" customHeight="1" x14ac:dyDescent="0.2">
      <c r="A263" s="5" t="s">
        <v>1716</v>
      </c>
      <c r="B263" s="3" t="s">
        <v>24</v>
      </c>
      <c r="C263" s="3" t="s">
        <v>15</v>
      </c>
      <c r="D263" s="3" t="s">
        <v>2353</v>
      </c>
      <c r="E263" s="3" t="s">
        <v>2354</v>
      </c>
      <c r="F263" s="3" t="s">
        <v>394</v>
      </c>
      <c r="G263" s="3" t="s">
        <v>415</v>
      </c>
      <c r="H263" s="3" t="s">
        <v>19</v>
      </c>
      <c r="I263" s="3">
        <v>9725</v>
      </c>
      <c r="J263" s="3">
        <v>8</v>
      </c>
      <c r="K263" s="3">
        <v>6616</v>
      </c>
      <c r="L263" s="3">
        <v>8778</v>
      </c>
      <c r="M263" s="3">
        <v>1</v>
      </c>
      <c r="N263" s="14">
        <v>4942.2839869999998</v>
      </c>
      <c r="O263" s="7">
        <f t="shared" si="36"/>
        <v>8.2262210796915175E-2</v>
      </c>
      <c r="P263" s="14">
        <f t="shared" si="37"/>
        <v>617.78549837499997</v>
      </c>
      <c r="Q263" s="14">
        <f t="shared" si="38"/>
        <v>4942.2839869999998</v>
      </c>
      <c r="R263" s="4">
        <f t="shared" si="39"/>
        <v>12.5</v>
      </c>
      <c r="S263" s="14">
        <f t="shared" si="40"/>
        <v>563.03075723399411</v>
      </c>
      <c r="T263" s="4">
        <f t="shared" si="41"/>
        <v>68.030848329048837</v>
      </c>
      <c r="U263" s="3">
        <f>LEN(A263) - LEN(SUBSTITUTE(A263,"&gt;","")) +1</f>
        <v>5</v>
      </c>
      <c r="V263" s="8">
        <f t="shared" si="42"/>
        <v>1.2853470437017994E-3</v>
      </c>
      <c r="W263" s="14">
        <f t="shared" si="43"/>
        <v>988.45679739999991</v>
      </c>
      <c r="X263" s="4">
        <f t="shared" si="44"/>
        <v>2.0805717309369171E-4</v>
      </c>
    </row>
    <row r="264" spans="1:24" ht="14.25" customHeight="1" x14ac:dyDescent="0.2">
      <c r="A264" s="5" t="s">
        <v>1717</v>
      </c>
      <c r="B264" s="3" t="s">
        <v>14</v>
      </c>
      <c r="C264" s="3" t="s">
        <v>29</v>
      </c>
      <c r="D264" s="3" t="s">
        <v>2349</v>
      </c>
      <c r="E264" s="3" t="s">
        <v>2350</v>
      </c>
      <c r="F264" s="3" t="s">
        <v>420</v>
      </c>
      <c r="G264" s="3" t="s">
        <v>41</v>
      </c>
      <c r="H264" s="3" t="s">
        <v>19</v>
      </c>
      <c r="I264" s="3">
        <v>15588</v>
      </c>
      <c r="J264" s="3">
        <v>8</v>
      </c>
      <c r="K264" s="3">
        <v>2089</v>
      </c>
      <c r="L264" s="3">
        <v>14526</v>
      </c>
      <c r="M264" s="3">
        <v>9</v>
      </c>
      <c r="N264" s="14">
        <v>3518.5334819999998</v>
      </c>
      <c r="O264" s="7">
        <f t="shared" si="36"/>
        <v>5.1321529381575574E-2</v>
      </c>
      <c r="P264" s="14">
        <f t="shared" si="37"/>
        <v>439.81668524999998</v>
      </c>
      <c r="Q264" s="14">
        <f t="shared" si="38"/>
        <v>390.94816466666663</v>
      </c>
      <c r="R264" s="4">
        <f t="shared" si="39"/>
        <v>112.5</v>
      </c>
      <c r="S264" s="14">
        <f t="shared" si="40"/>
        <v>242.22315035109457</v>
      </c>
      <c r="T264" s="4">
        <f t="shared" si="41"/>
        <v>13.401334359763922</v>
      </c>
      <c r="U264" s="3">
        <f>LEN(A264) - LEN(SUBSTITUTE(A264,"&gt;","")) +1</f>
        <v>6</v>
      </c>
      <c r="V264" s="8">
        <f t="shared" si="42"/>
        <v>7.2170900692840644E-3</v>
      </c>
      <c r="W264" s="14">
        <f t="shared" si="43"/>
        <v>586.42224699999997</v>
      </c>
      <c r="X264" s="4">
        <f t="shared" si="44"/>
        <v>1.4768382556163289E-2</v>
      </c>
    </row>
    <row r="265" spans="1:24" ht="14.25" customHeight="1" x14ac:dyDescent="0.2">
      <c r="A265" s="5" t="s">
        <v>1718</v>
      </c>
      <c r="B265" s="3" t="s">
        <v>14</v>
      </c>
      <c r="C265" s="3" t="s">
        <v>35</v>
      </c>
      <c r="D265" s="3" t="s">
        <v>2353</v>
      </c>
      <c r="E265" s="3" t="s">
        <v>2354</v>
      </c>
      <c r="F265" s="3" t="s">
        <v>286</v>
      </c>
      <c r="G265" s="3" t="s">
        <v>22</v>
      </c>
      <c r="H265" s="3" t="s">
        <v>19</v>
      </c>
      <c r="I265" s="3">
        <v>12868</v>
      </c>
      <c r="J265" s="3">
        <v>8</v>
      </c>
      <c r="K265" s="3">
        <v>6472</v>
      </c>
      <c r="L265" s="3">
        <v>11922</v>
      </c>
      <c r="M265" s="3">
        <v>1</v>
      </c>
      <c r="N265" s="14">
        <v>3137.143043</v>
      </c>
      <c r="O265" s="7">
        <f t="shared" si="36"/>
        <v>6.2169723344731115E-2</v>
      </c>
      <c r="P265" s="14">
        <f t="shared" si="37"/>
        <v>392.142880375</v>
      </c>
      <c r="Q265" s="14">
        <f t="shared" si="38"/>
        <v>3137.143043</v>
      </c>
      <c r="R265" s="4">
        <f t="shared" si="39"/>
        <v>12.5</v>
      </c>
      <c r="S265" s="14">
        <f t="shared" si="40"/>
        <v>263.13899035396747</v>
      </c>
      <c r="T265" s="4">
        <f t="shared" si="41"/>
        <v>50.295306185887469</v>
      </c>
      <c r="U265" s="3">
        <f>LEN(A265) - LEN(SUBSTITUTE(A265,"&gt;","")) +1</f>
        <v>7</v>
      </c>
      <c r="V265" s="8">
        <f t="shared" si="42"/>
        <v>9.7140192726142367E-4</v>
      </c>
      <c r="W265" s="14">
        <f t="shared" si="43"/>
        <v>448.16329185714284</v>
      </c>
      <c r="X265" s="4">
        <f t="shared" si="44"/>
        <v>2.4771632378802529E-4</v>
      </c>
    </row>
    <row r="266" spans="1:24" ht="14.25" customHeight="1" x14ac:dyDescent="0.2">
      <c r="A266" s="5" t="s">
        <v>1719</v>
      </c>
      <c r="B266" s="3" t="s">
        <v>14</v>
      </c>
      <c r="C266" s="3" t="s">
        <v>15</v>
      </c>
      <c r="D266" s="3" t="s">
        <v>2381</v>
      </c>
      <c r="E266" s="3" t="s">
        <v>2365</v>
      </c>
      <c r="F266" s="3" t="s">
        <v>119</v>
      </c>
      <c r="G266" s="3" t="s">
        <v>27</v>
      </c>
      <c r="H266" s="3" t="s">
        <v>19</v>
      </c>
      <c r="I266" s="3">
        <v>77313</v>
      </c>
      <c r="J266" s="3">
        <v>8</v>
      </c>
      <c r="K266" s="3">
        <v>40366</v>
      </c>
      <c r="L266" s="3">
        <v>71128</v>
      </c>
      <c r="M266" s="3">
        <v>2</v>
      </c>
      <c r="N266" s="14">
        <v>1790.3901980000001</v>
      </c>
      <c r="O266" s="7">
        <f t="shared" si="36"/>
        <v>1.0347548277779934E-2</v>
      </c>
      <c r="P266" s="14">
        <f t="shared" si="37"/>
        <v>223.79877475000001</v>
      </c>
      <c r="Q266" s="14">
        <f t="shared" si="38"/>
        <v>895.19509900000003</v>
      </c>
      <c r="R266" s="4">
        <f t="shared" si="39"/>
        <v>25</v>
      </c>
      <c r="S266" s="14">
        <f t="shared" si="40"/>
        <v>25.171383955685524</v>
      </c>
      <c r="T266" s="4">
        <f t="shared" si="41"/>
        <v>52.211141722608104</v>
      </c>
      <c r="U266" s="3">
        <f>LEN(A266) - LEN(SUBSTITUTE(A266,"&gt;","")) +1</f>
        <v>3</v>
      </c>
      <c r="V266" s="8">
        <f t="shared" si="42"/>
        <v>3.2336088368062295E-4</v>
      </c>
      <c r="W266" s="14">
        <f t="shared" si="43"/>
        <v>596.79673266666668</v>
      </c>
      <c r="X266" s="4">
        <f t="shared" si="44"/>
        <v>2.8897466846441967E-4</v>
      </c>
    </row>
    <row r="267" spans="1:24" ht="14.25" customHeight="1" x14ac:dyDescent="0.2">
      <c r="A267" s="5" t="s">
        <v>1720</v>
      </c>
      <c r="B267" s="3" t="s">
        <v>24</v>
      </c>
      <c r="C267" s="3" t="s">
        <v>32</v>
      </c>
      <c r="D267" s="3" t="s">
        <v>2353</v>
      </c>
      <c r="E267" s="3" t="s">
        <v>2354</v>
      </c>
      <c r="F267" s="3" t="s">
        <v>329</v>
      </c>
      <c r="G267" s="3" t="s">
        <v>41</v>
      </c>
      <c r="H267" s="3" t="s">
        <v>19</v>
      </c>
      <c r="I267" s="3">
        <v>22004</v>
      </c>
      <c r="J267" s="3">
        <v>8</v>
      </c>
      <c r="K267" s="3">
        <v>18735</v>
      </c>
      <c r="L267" s="3">
        <v>21127</v>
      </c>
      <c r="M267" s="3">
        <v>4</v>
      </c>
      <c r="N267" s="14">
        <v>1632.4727820000001</v>
      </c>
      <c r="O267" s="7">
        <f t="shared" si="36"/>
        <v>3.6357025995273587E-2</v>
      </c>
      <c r="P267" s="14">
        <f t="shared" si="37"/>
        <v>204.05909775000001</v>
      </c>
      <c r="Q267" s="14">
        <f t="shared" si="38"/>
        <v>408.11819550000001</v>
      </c>
      <c r="R267" s="4">
        <f t="shared" si="39"/>
        <v>50</v>
      </c>
      <c r="S267" s="14">
        <f t="shared" si="40"/>
        <v>77.269502626970223</v>
      </c>
      <c r="T267" s="4">
        <f t="shared" si="41"/>
        <v>85.143610252681327</v>
      </c>
      <c r="U267" s="3">
        <f>LEN(A267) - LEN(SUBSTITUTE(A267,"&gt;","")) +1</f>
        <v>3</v>
      </c>
      <c r="V267" s="8">
        <f t="shared" si="42"/>
        <v>2.2723141247045992E-3</v>
      </c>
      <c r="W267" s="14">
        <f t="shared" si="43"/>
        <v>544.15759400000002</v>
      </c>
      <c r="X267" s="4">
        <f t="shared" si="44"/>
        <v>4.454227524789885E-3</v>
      </c>
    </row>
    <row r="268" spans="1:24" ht="14.25" customHeight="1" x14ac:dyDescent="0.2">
      <c r="A268" s="5" t="s">
        <v>1721</v>
      </c>
      <c r="B268" s="3" t="s">
        <v>24</v>
      </c>
      <c r="C268" s="3" t="s">
        <v>29</v>
      </c>
      <c r="D268" s="3" t="s">
        <v>2353</v>
      </c>
      <c r="E268" s="3" t="s">
        <v>2354</v>
      </c>
      <c r="F268" s="3" t="s">
        <v>425</v>
      </c>
      <c r="G268" s="3" t="s">
        <v>27</v>
      </c>
      <c r="H268" s="3" t="s">
        <v>114</v>
      </c>
      <c r="I268" s="3">
        <v>16202</v>
      </c>
      <c r="J268" s="3">
        <v>8</v>
      </c>
      <c r="K268" s="3">
        <v>11786</v>
      </c>
      <c r="L268" s="3">
        <v>15365</v>
      </c>
      <c r="M268" s="3">
        <v>1</v>
      </c>
      <c r="N268" s="14">
        <v>1570.34276</v>
      </c>
      <c r="O268" s="7">
        <f t="shared" si="36"/>
        <v>4.9376620170349342E-2</v>
      </c>
      <c r="P268" s="14">
        <f t="shared" si="37"/>
        <v>196.292845</v>
      </c>
      <c r="Q268" s="14">
        <f t="shared" si="38"/>
        <v>1570.34276</v>
      </c>
      <c r="R268" s="4">
        <f t="shared" si="39"/>
        <v>12.5</v>
      </c>
      <c r="S268" s="14">
        <f t="shared" si="40"/>
        <v>102.20258769931662</v>
      </c>
      <c r="T268" s="4">
        <f t="shared" si="41"/>
        <v>72.744105665967169</v>
      </c>
      <c r="U268" s="3">
        <f>LEN(A268) - LEN(SUBSTITUTE(A268,"&gt;","")) +1</f>
        <v>3</v>
      </c>
      <c r="V268" s="8">
        <f t="shared" si="42"/>
        <v>7.7150969016170847E-4</v>
      </c>
      <c r="W268" s="14">
        <f t="shared" si="43"/>
        <v>523.44758666666667</v>
      </c>
      <c r="X268" s="4">
        <f t="shared" si="44"/>
        <v>3.9304014884582699E-4</v>
      </c>
    </row>
    <row r="269" spans="1:24" ht="14.25" customHeight="1" x14ac:dyDescent="0.2">
      <c r="A269" s="5" t="s">
        <v>1722</v>
      </c>
      <c r="B269" s="3" t="s">
        <v>14</v>
      </c>
      <c r="C269" s="3" t="s">
        <v>29</v>
      </c>
      <c r="D269" s="3" t="s">
        <v>2371</v>
      </c>
      <c r="E269" s="3" t="s">
        <v>2372</v>
      </c>
      <c r="F269" s="3" t="s">
        <v>46</v>
      </c>
      <c r="G269" s="3" t="s">
        <v>27</v>
      </c>
      <c r="H269" s="3" t="s">
        <v>19</v>
      </c>
      <c r="I269" s="3">
        <v>21229</v>
      </c>
      <c r="J269" s="3">
        <v>8</v>
      </c>
      <c r="K269" s="3">
        <v>18073</v>
      </c>
      <c r="L269" s="3">
        <v>19655</v>
      </c>
      <c r="M269" s="3">
        <v>10</v>
      </c>
      <c r="N269" s="14">
        <v>1550.0766550000001</v>
      </c>
      <c r="O269" s="7">
        <f t="shared" si="36"/>
        <v>3.7684299778604734E-2</v>
      </c>
      <c r="P269" s="14">
        <f t="shared" si="37"/>
        <v>193.75958187500001</v>
      </c>
      <c r="Q269" s="14">
        <f t="shared" si="38"/>
        <v>155.0076655</v>
      </c>
      <c r="R269" s="4">
        <f t="shared" si="39"/>
        <v>125</v>
      </c>
      <c r="S269" s="14">
        <f t="shared" si="40"/>
        <v>78.864240905621983</v>
      </c>
      <c r="T269" s="4">
        <f t="shared" si="41"/>
        <v>85.133543737340432</v>
      </c>
      <c r="U269" s="3">
        <f>LEN(A269) - LEN(SUBSTITUTE(A269,"&gt;","")) +1</f>
        <v>5</v>
      </c>
      <c r="V269" s="8">
        <f t="shared" si="42"/>
        <v>5.8881718404069907E-3</v>
      </c>
      <c r="W269" s="14">
        <f t="shared" si="43"/>
        <v>310.015331</v>
      </c>
      <c r="X269" s="4">
        <f t="shared" si="44"/>
        <v>3.038906145145184E-2</v>
      </c>
    </row>
    <row r="270" spans="1:24" ht="14.25" customHeight="1" x14ac:dyDescent="0.2">
      <c r="A270" s="5" t="s">
        <v>1723</v>
      </c>
      <c r="B270" s="3" t="s">
        <v>24</v>
      </c>
      <c r="C270" s="3" t="s">
        <v>35</v>
      </c>
      <c r="D270" s="3" t="s">
        <v>2369</v>
      </c>
      <c r="E270" s="3" t="s">
        <v>2365</v>
      </c>
      <c r="F270" s="3" t="s">
        <v>428</v>
      </c>
      <c r="G270" s="3" t="s">
        <v>22</v>
      </c>
      <c r="H270" s="3" t="s">
        <v>19</v>
      </c>
      <c r="I270" s="3">
        <v>13347</v>
      </c>
      <c r="J270" s="3">
        <v>8</v>
      </c>
      <c r="K270" s="3">
        <v>8357</v>
      </c>
      <c r="L270" s="3">
        <v>11461</v>
      </c>
      <c r="M270" s="3">
        <v>10</v>
      </c>
      <c r="N270" s="14">
        <v>1543.6614199999999</v>
      </c>
      <c r="O270" s="7">
        <f t="shared" si="36"/>
        <v>5.9938562972952719E-2</v>
      </c>
      <c r="P270" s="14">
        <f t="shared" si="37"/>
        <v>192.95767749999999</v>
      </c>
      <c r="Q270" s="14">
        <f t="shared" si="38"/>
        <v>154.366142</v>
      </c>
      <c r="R270" s="4">
        <f t="shared" si="39"/>
        <v>125</v>
      </c>
      <c r="S270" s="14">
        <f t="shared" si="40"/>
        <v>134.68819649245265</v>
      </c>
      <c r="T270" s="4">
        <f t="shared" si="41"/>
        <v>62.61332134562074</v>
      </c>
      <c r="U270" s="3">
        <f>LEN(A270) - LEN(SUBSTITUTE(A270,"&gt;","")) +1</f>
        <v>3</v>
      </c>
      <c r="V270" s="8">
        <f t="shared" si="42"/>
        <v>9.3654004645238632E-3</v>
      </c>
      <c r="W270" s="14">
        <f t="shared" si="43"/>
        <v>514.55380666666667</v>
      </c>
      <c r="X270" s="4">
        <f t="shared" si="44"/>
        <v>4.8536034356673176E-2</v>
      </c>
    </row>
    <row r="271" spans="1:24" ht="14.25" customHeight="1" x14ac:dyDescent="0.2">
      <c r="A271" s="5" t="s">
        <v>1724</v>
      </c>
      <c r="B271" s="3" t="s">
        <v>24</v>
      </c>
      <c r="C271" s="3" t="s">
        <v>29</v>
      </c>
      <c r="D271" s="3" t="s">
        <v>2353</v>
      </c>
      <c r="E271" s="3" t="s">
        <v>2354</v>
      </c>
      <c r="F271" s="3" t="s">
        <v>72</v>
      </c>
      <c r="G271" s="3" t="s">
        <v>22</v>
      </c>
      <c r="H271" s="3" t="s">
        <v>19</v>
      </c>
      <c r="I271" s="3">
        <v>9210</v>
      </c>
      <c r="J271" s="3">
        <v>8</v>
      </c>
      <c r="K271" s="3">
        <v>3798</v>
      </c>
      <c r="L271" s="3">
        <v>8619</v>
      </c>
      <c r="M271" s="3">
        <v>1</v>
      </c>
      <c r="N271" s="14">
        <v>1536.629068</v>
      </c>
      <c r="O271" s="7">
        <f t="shared" si="36"/>
        <v>8.6862106406080358E-2</v>
      </c>
      <c r="P271" s="14">
        <f t="shared" si="37"/>
        <v>192.0786335</v>
      </c>
      <c r="Q271" s="14">
        <f t="shared" si="38"/>
        <v>1536.629068</v>
      </c>
      <c r="R271" s="4">
        <f t="shared" si="39"/>
        <v>12.5</v>
      </c>
      <c r="S271" s="14">
        <f t="shared" si="40"/>
        <v>178.28391553544495</v>
      </c>
      <c r="T271" s="4">
        <f t="shared" si="41"/>
        <v>41.237785016286644</v>
      </c>
      <c r="U271" s="3">
        <f>LEN(A271) - LEN(SUBSTITUTE(A271,"&gt;","")) +1</f>
        <v>5</v>
      </c>
      <c r="V271" s="8">
        <f t="shared" si="42"/>
        <v>1.3572204125950054E-3</v>
      </c>
      <c r="W271" s="14">
        <f t="shared" si="43"/>
        <v>307.3258136</v>
      </c>
      <c r="X271" s="4">
        <f t="shared" si="44"/>
        <v>7.0659624543559945E-4</v>
      </c>
    </row>
    <row r="272" spans="1:24" ht="14.25" customHeight="1" x14ac:dyDescent="0.2">
      <c r="A272" s="5" t="s">
        <v>1725</v>
      </c>
      <c r="B272" s="3" t="s">
        <v>14</v>
      </c>
      <c r="C272" s="3" t="s">
        <v>32</v>
      </c>
      <c r="D272" s="3" t="s">
        <v>2357</v>
      </c>
      <c r="E272" s="3" t="s">
        <v>2358</v>
      </c>
      <c r="F272" s="3" t="s">
        <v>431</v>
      </c>
      <c r="G272" s="3" t="s">
        <v>33</v>
      </c>
      <c r="H272" s="3" t="s">
        <v>19</v>
      </c>
      <c r="I272" s="3">
        <v>21737</v>
      </c>
      <c r="J272" s="3">
        <v>8</v>
      </c>
      <c r="K272" s="3">
        <v>11206</v>
      </c>
      <c r="L272" s="3">
        <v>19459</v>
      </c>
      <c r="M272" s="3">
        <v>1</v>
      </c>
      <c r="N272" s="14">
        <v>1521.576648</v>
      </c>
      <c r="O272" s="7">
        <f t="shared" si="36"/>
        <v>3.6803606753461837E-2</v>
      </c>
      <c r="P272" s="14">
        <f t="shared" si="37"/>
        <v>190.197081</v>
      </c>
      <c r="Q272" s="14">
        <f t="shared" si="38"/>
        <v>1521.576648</v>
      </c>
      <c r="R272" s="4">
        <f t="shared" si="39"/>
        <v>12.5</v>
      </c>
      <c r="S272" s="14">
        <f t="shared" si="40"/>
        <v>78.1939795467393</v>
      </c>
      <c r="T272" s="4">
        <f t="shared" si="41"/>
        <v>51.552652159911673</v>
      </c>
      <c r="U272" s="3">
        <f>LEN(A272) - LEN(SUBSTITUTE(A272,"&gt;","")) +1</f>
        <v>3</v>
      </c>
      <c r="V272" s="8">
        <f t="shared" si="42"/>
        <v>5.7505635552284121E-4</v>
      </c>
      <c r="W272" s="14">
        <f t="shared" si="43"/>
        <v>507.19221599999997</v>
      </c>
      <c r="X272" s="4">
        <f t="shared" si="44"/>
        <v>3.0234762410619816E-4</v>
      </c>
    </row>
    <row r="273" spans="1:24" ht="14.25" customHeight="1" x14ac:dyDescent="0.2">
      <c r="A273" s="5" t="s">
        <v>1726</v>
      </c>
      <c r="B273" s="3" t="s">
        <v>14</v>
      </c>
      <c r="C273" s="3" t="s">
        <v>32</v>
      </c>
      <c r="D273" s="3" t="s">
        <v>2353</v>
      </c>
      <c r="E273" s="3" t="s">
        <v>2354</v>
      </c>
      <c r="F273" s="3" t="s">
        <v>72</v>
      </c>
      <c r="G273" s="3" t="s">
        <v>27</v>
      </c>
      <c r="H273" s="3" t="s">
        <v>19</v>
      </c>
      <c r="I273" s="3">
        <v>126337</v>
      </c>
      <c r="J273" s="3">
        <v>8</v>
      </c>
      <c r="K273" s="3">
        <v>51394</v>
      </c>
      <c r="L273" s="3">
        <v>117635</v>
      </c>
      <c r="M273" s="3">
        <v>5</v>
      </c>
      <c r="N273" s="14">
        <v>1487.0882879999999</v>
      </c>
      <c r="O273" s="7">
        <f t="shared" si="36"/>
        <v>6.3322700396558403E-3</v>
      </c>
      <c r="P273" s="14">
        <f t="shared" si="37"/>
        <v>185.88603599999999</v>
      </c>
      <c r="Q273" s="14">
        <f t="shared" si="38"/>
        <v>297.41765759999998</v>
      </c>
      <c r="R273" s="4">
        <f t="shared" si="39"/>
        <v>62.5</v>
      </c>
      <c r="S273" s="14">
        <f t="shared" si="40"/>
        <v>12.641546206486165</v>
      </c>
      <c r="T273" s="4">
        <f t="shared" si="41"/>
        <v>40.680085802259036</v>
      </c>
      <c r="U273" s="3">
        <f>LEN(A273) - LEN(SUBSTITUTE(A273,"&gt;","")) +1</f>
        <v>3</v>
      </c>
      <c r="V273" s="8">
        <f t="shared" si="42"/>
        <v>4.9470859684811255E-4</v>
      </c>
      <c r="W273" s="14">
        <f t="shared" si="43"/>
        <v>495.69609599999995</v>
      </c>
      <c r="X273" s="4">
        <f t="shared" si="44"/>
        <v>1.3306771382442966E-3</v>
      </c>
    </row>
    <row r="274" spans="1:24" ht="14.25" customHeight="1" x14ac:dyDescent="0.2">
      <c r="A274" s="5" t="s">
        <v>1727</v>
      </c>
      <c r="B274" s="3" t="s">
        <v>24</v>
      </c>
      <c r="C274" s="3" t="s">
        <v>32</v>
      </c>
      <c r="D274" s="3" t="s">
        <v>2363</v>
      </c>
      <c r="E274" s="3" t="s">
        <v>2358</v>
      </c>
      <c r="F274" s="3" t="s">
        <v>172</v>
      </c>
      <c r="G274" s="3" t="s">
        <v>38</v>
      </c>
      <c r="H274" s="3" t="s">
        <v>163</v>
      </c>
      <c r="I274" s="3">
        <v>81486</v>
      </c>
      <c r="J274" s="3">
        <v>8</v>
      </c>
      <c r="K274" s="3">
        <v>57653</v>
      </c>
      <c r="L274" s="3">
        <v>76803</v>
      </c>
      <c r="M274" s="3">
        <v>6</v>
      </c>
      <c r="N274" s="14">
        <v>1463.8428739999999</v>
      </c>
      <c r="O274" s="7">
        <f t="shared" si="36"/>
        <v>9.8176373855631636E-3</v>
      </c>
      <c r="P274" s="14">
        <f t="shared" si="37"/>
        <v>182.98035924999999</v>
      </c>
      <c r="Q274" s="14">
        <f t="shared" si="38"/>
        <v>243.97381233333331</v>
      </c>
      <c r="R274" s="4">
        <f t="shared" si="39"/>
        <v>75</v>
      </c>
      <c r="S274" s="14">
        <f t="shared" si="40"/>
        <v>19.059709568636642</v>
      </c>
      <c r="T274" s="4">
        <f t="shared" si="41"/>
        <v>70.752031023734148</v>
      </c>
      <c r="U274" s="3">
        <f>LEN(A274) - LEN(SUBSTITUTE(A274,"&gt;","")) +1</f>
        <v>3</v>
      </c>
      <c r="V274" s="8">
        <f t="shared" si="42"/>
        <v>9.2040350489654664E-4</v>
      </c>
      <c r="W274" s="14">
        <f t="shared" si="43"/>
        <v>487.94762466666663</v>
      </c>
      <c r="X274" s="4">
        <f t="shared" si="44"/>
        <v>3.0180403252100837E-3</v>
      </c>
    </row>
    <row r="275" spans="1:24" ht="14.25" customHeight="1" x14ac:dyDescent="0.2">
      <c r="A275" s="5" t="s">
        <v>1728</v>
      </c>
      <c r="B275" s="3" t="s">
        <v>14</v>
      </c>
      <c r="C275" s="3" t="s">
        <v>29</v>
      </c>
      <c r="D275" s="3" t="s">
        <v>2363</v>
      </c>
      <c r="E275" s="3" t="s">
        <v>2358</v>
      </c>
      <c r="F275" s="3" t="s">
        <v>79</v>
      </c>
      <c r="G275" s="3" t="s">
        <v>41</v>
      </c>
      <c r="H275" s="3" t="s">
        <v>19</v>
      </c>
      <c r="I275" s="3">
        <v>686858</v>
      </c>
      <c r="J275" s="3">
        <v>7</v>
      </c>
      <c r="K275" s="3">
        <v>81956</v>
      </c>
      <c r="L275" s="3">
        <v>624118</v>
      </c>
      <c r="M275" s="3">
        <v>19</v>
      </c>
      <c r="N275" s="14">
        <v>7467.0814870000004</v>
      </c>
      <c r="O275" s="7">
        <f t="shared" si="36"/>
        <v>1.0191335035771587E-3</v>
      </c>
      <c r="P275" s="14">
        <f t="shared" si="37"/>
        <v>1066.7259267142858</v>
      </c>
      <c r="Q275" s="14">
        <f t="shared" si="38"/>
        <v>393.00428878947372</v>
      </c>
      <c r="R275" s="4">
        <f t="shared" si="39"/>
        <v>271.42857142857144</v>
      </c>
      <c r="S275" s="14">
        <f t="shared" si="40"/>
        <v>11.964214278389665</v>
      </c>
      <c r="T275" s="4">
        <f t="shared" si="41"/>
        <v>11.932015059881373</v>
      </c>
      <c r="U275" s="3">
        <f>LEN(A275) - LEN(SUBSTITUTE(A275,"&gt;","")) +1</f>
        <v>5</v>
      </c>
      <c r="V275" s="8">
        <f t="shared" si="42"/>
        <v>3.9517421567277579E-4</v>
      </c>
      <c r="W275" s="14">
        <f t="shared" si="43"/>
        <v>1493.4162974000001</v>
      </c>
      <c r="X275" s="4">
        <f t="shared" si="44"/>
        <v>7.0386496753760668E-4</v>
      </c>
    </row>
    <row r="276" spans="1:24" ht="14.25" customHeight="1" x14ac:dyDescent="0.2">
      <c r="A276" s="5" t="s">
        <v>435</v>
      </c>
      <c r="B276" s="3" t="s">
        <v>14</v>
      </c>
      <c r="C276" s="3" t="s">
        <v>15</v>
      </c>
      <c r="D276" s="3" t="s">
        <v>2353</v>
      </c>
      <c r="E276" s="3" t="s">
        <v>2354</v>
      </c>
      <c r="F276" s="3" t="s">
        <v>172</v>
      </c>
      <c r="G276" s="3" t="s">
        <v>27</v>
      </c>
      <c r="H276" s="3" t="s">
        <v>19</v>
      </c>
      <c r="I276" s="3">
        <v>42759</v>
      </c>
      <c r="J276" s="3">
        <v>7</v>
      </c>
      <c r="K276" s="3">
        <v>17744</v>
      </c>
      <c r="L276" s="3">
        <v>34812</v>
      </c>
      <c r="M276" s="3">
        <v>12</v>
      </c>
      <c r="N276" s="14">
        <v>6316.4880540000004</v>
      </c>
      <c r="O276" s="7">
        <f t="shared" si="36"/>
        <v>1.6370822516897029E-2</v>
      </c>
      <c r="P276" s="14">
        <f t="shared" si="37"/>
        <v>902.35543628571429</v>
      </c>
      <c r="Q276" s="14">
        <f t="shared" si="38"/>
        <v>526.37400450000007</v>
      </c>
      <c r="R276" s="4">
        <f t="shared" si="39"/>
        <v>171.42857142857142</v>
      </c>
      <c r="S276" s="14">
        <f t="shared" si="40"/>
        <v>181.4457099276112</v>
      </c>
      <c r="T276" s="4">
        <f t="shared" si="41"/>
        <v>41.497696391402975</v>
      </c>
      <c r="U276" s="3">
        <f>LEN(A276) - LEN(SUBSTITUTE(A276,"&gt;","")) +1</f>
        <v>4</v>
      </c>
      <c r="V276" s="8">
        <f t="shared" si="42"/>
        <v>4.0091810245462102E-3</v>
      </c>
      <c r="W276" s="14">
        <f t="shared" si="43"/>
        <v>1579.1220135000001</v>
      </c>
      <c r="X276" s="4">
        <f t="shared" si="44"/>
        <v>5.3316210397741006E-3</v>
      </c>
    </row>
    <row r="277" spans="1:24" ht="14.25" customHeight="1" x14ac:dyDescent="0.2">
      <c r="A277" s="5" t="s">
        <v>436</v>
      </c>
      <c r="B277" s="3" t="s">
        <v>24</v>
      </c>
      <c r="C277" s="3" t="s">
        <v>15</v>
      </c>
      <c r="D277" s="3" t="s">
        <v>2362</v>
      </c>
      <c r="E277" s="3" t="s">
        <v>2352</v>
      </c>
      <c r="F277" s="3" t="s">
        <v>437</v>
      </c>
      <c r="G277" s="3" t="s">
        <v>58</v>
      </c>
      <c r="H277" s="3" t="s">
        <v>19</v>
      </c>
      <c r="I277" s="3">
        <v>58477</v>
      </c>
      <c r="J277" s="3">
        <v>7</v>
      </c>
      <c r="K277" s="3">
        <v>43554</v>
      </c>
      <c r="L277" s="3">
        <v>56558</v>
      </c>
      <c r="M277" s="3">
        <v>19</v>
      </c>
      <c r="N277" s="14">
        <v>5247.6238830000002</v>
      </c>
      <c r="O277" s="7">
        <f t="shared" si="36"/>
        <v>1.1970518323443405E-2</v>
      </c>
      <c r="P277" s="14">
        <f t="shared" si="37"/>
        <v>749.66055471428569</v>
      </c>
      <c r="Q277" s="14">
        <f t="shared" si="38"/>
        <v>276.19073068421056</v>
      </c>
      <c r="R277" s="4">
        <f t="shared" si="39"/>
        <v>271.42857142857144</v>
      </c>
      <c r="S277" s="14">
        <f t="shared" si="40"/>
        <v>92.783052494784116</v>
      </c>
      <c r="T277" s="4">
        <f t="shared" si="41"/>
        <v>74.480565008464879</v>
      </c>
      <c r="U277" s="3">
        <f>LEN(A277) - LEN(SUBSTITUTE(A277,"&gt;","")) +1</f>
        <v>4</v>
      </c>
      <c r="V277" s="8">
        <f t="shared" si="42"/>
        <v>4.6416295539882593E-3</v>
      </c>
      <c r="W277" s="14">
        <f t="shared" si="43"/>
        <v>1311.9059707500001</v>
      </c>
      <c r="X277" s="4">
        <f t="shared" si="44"/>
        <v>1.1764119236524147E-2</v>
      </c>
    </row>
    <row r="278" spans="1:24" ht="14.25" customHeight="1" x14ac:dyDescent="0.2">
      <c r="A278" s="5" t="s">
        <v>1729</v>
      </c>
      <c r="B278" s="3" t="s">
        <v>14</v>
      </c>
      <c r="C278" s="3" t="s">
        <v>29</v>
      </c>
      <c r="D278" s="3" t="s">
        <v>2374</v>
      </c>
      <c r="E278" s="3" t="s">
        <v>2375</v>
      </c>
      <c r="F278" s="3" t="s">
        <v>48</v>
      </c>
      <c r="G278" s="3" t="s">
        <v>41</v>
      </c>
      <c r="H278" s="3" t="s">
        <v>19</v>
      </c>
      <c r="I278" s="3">
        <v>207685</v>
      </c>
      <c r="J278" s="3">
        <v>7</v>
      </c>
      <c r="K278" s="3">
        <v>20134</v>
      </c>
      <c r="L278" s="3">
        <v>30708</v>
      </c>
      <c r="M278" s="3">
        <v>34</v>
      </c>
      <c r="N278" s="14">
        <v>5239.2047869999997</v>
      </c>
      <c r="O278" s="7">
        <f t="shared" si="36"/>
        <v>3.3704889616486501E-3</v>
      </c>
      <c r="P278" s="14">
        <f t="shared" si="37"/>
        <v>748.45782671428572</v>
      </c>
      <c r="Q278" s="14">
        <f t="shared" si="38"/>
        <v>154.09425844117646</v>
      </c>
      <c r="R278" s="4">
        <f t="shared" si="39"/>
        <v>485.71428571428567</v>
      </c>
      <c r="S278" s="14">
        <f t="shared" si="40"/>
        <v>170.6136767943207</v>
      </c>
      <c r="T278" s="4">
        <f t="shared" si="41"/>
        <v>9.6944892505477043</v>
      </c>
      <c r="U278" s="3">
        <f>LEN(A278) - LEN(SUBSTITUTE(A278,"&gt;","")) +1</f>
        <v>5</v>
      </c>
      <c r="V278" s="8">
        <f t="shared" si="42"/>
        <v>2.3387066264500839E-3</v>
      </c>
      <c r="W278" s="14">
        <f t="shared" si="43"/>
        <v>1047.8409574</v>
      </c>
      <c r="X278" s="4">
        <f t="shared" si="44"/>
        <v>1.0623982068352005E-2</v>
      </c>
    </row>
    <row r="279" spans="1:24" ht="14.25" customHeight="1" x14ac:dyDescent="0.2">
      <c r="A279" s="5" t="s">
        <v>1730</v>
      </c>
      <c r="B279" s="3" t="s">
        <v>24</v>
      </c>
      <c r="C279" s="3" t="s">
        <v>32</v>
      </c>
      <c r="D279" s="3" t="s">
        <v>2349</v>
      </c>
      <c r="E279" s="3" t="s">
        <v>2350</v>
      </c>
      <c r="F279" s="3" t="s">
        <v>425</v>
      </c>
      <c r="G279" s="3" t="s">
        <v>27</v>
      </c>
      <c r="H279" s="3" t="s">
        <v>19</v>
      </c>
      <c r="I279" s="3">
        <v>17770</v>
      </c>
      <c r="J279" s="3">
        <v>7</v>
      </c>
      <c r="K279" s="3">
        <v>12771</v>
      </c>
      <c r="L279" s="3">
        <v>16749</v>
      </c>
      <c r="M279" s="3">
        <v>5</v>
      </c>
      <c r="N279" s="14">
        <v>5195.2346770000004</v>
      </c>
      <c r="O279" s="7">
        <f t="shared" si="36"/>
        <v>3.9392234102419807E-2</v>
      </c>
      <c r="P279" s="14">
        <f t="shared" si="37"/>
        <v>742.17638242857151</v>
      </c>
      <c r="Q279" s="14">
        <f t="shared" si="38"/>
        <v>1039.0469354000002</v>
      </c>
      <c r="R279" s="4">
        <f t="shared" si="39"/>
        <v>71.428571428571431</v>
      </c>
      <c r="S279" s="14">
        <f t="shared" si="40"/>
        <v>310.18178261388738</v>
      </c>
      <c r="T279" s="4">
        <f t="shared" si="41"/>
        <v>71.868317388857633</v>
      </c>
      <c r="U279" s="3">
        <f>LEN(A279) - LEN(SUBSTITUTE(A279,"&gt;","")) +1</f>
        <v>5</v>
      </c>
      <c r="V279" s="8">
        <f t="shared" si="42"/>
        <v>4.0196157247367149E-3</v>
      </c>
      <c r="W279" s="14">
        <f t="shared" si="43"/>
        <v>1039.0469354000002</v>
      </c>
      <c r="X279" s="4">
        <f t="shared" si="44"/>
        <v>2.7079922104120383E-3</v>
      </c>
    </row>
    <row r="280" spans="1:24" ht="14.25" customHeight="1" x14ac:dyDescent="0.2">
      <c r="A280" s="5" t="s">
        <v>440</v>
      </c>
      <c r="B280" s="3" t="s">
        <v>24</v>
      </c>
      <c r="C280" s="3" t="s">
        <v>32</v>
      </c>
      <c r="D280" s="3" t="s">
        <v>2353</v>
      </c>
      <c r="E280" s="3" t="s">
        <v>2354</v>
      </c>
      <c r="F280" s="3" t="s">
        <v>72</v>
      </c>
      <c r="G280" s="3" t="s">
        <v>27</v>
      </c>
      <c r="H280" s="3" t="s">
        <v>19</v>
      </c>
      <c r="I280" s="3">
        <v>262807</v>
      </c>
      <c r="J280" s="3">
        <v>7</v>
      </c>
      <c r="K280" s="3">
        <v>109871</v>
      </c>
      <c r="L280" s="3">
        <v>236426</v>
      </c>
      <c r="M280" s="3">
        <v>12</v>
      </c>
      <c r="N280" s="14">
        <v>5150.4689230000004</v>
      </c>
      <c r="O280" s="7">
        <f t="shared" si="36"/>
        <v>2.6635515796763405E-3</v>
      </c>
      <c r="P280" s="14">
        <f t="shared" si="37"/>
        <v>735.78127471428581</v>
      </c>
      <c r="Q280" s="14">
        <f t="shared" si="38"/>
        <v>429.20574358333334</v>
      </c>
      <c r="R280" s="4">
        <f t="shared" si="39"/>
        <v>171.42857142857142</v>
      </c>
      <c r="S280" s="14">
        <f t="shared" si="40"/>
        <v>21.784697634777903</v>
      </c>
      <c r="T280" s="4">
        <f t="shared" si="41"/>
        <v>41.806725087231314</v>
      </c>
      <c r="U280" s="3">
        <f>LEN(A280) - LEN(SUBSTITUTE(A280,"&gt;","")) +1</f>
        <v>4</v>
      </c>
      <c r="V280" s="8">
        <f t="shared" si="42"/>
        <v>6.5229834604318537E-4</v>
      </c>
      <c r="W280" s="14">
        <f t="shared" si="43"/>
        <v>1287.6172307500001</v>
      </c>
      <c r="X280" s="4">
        <f t="shared" si="44"/>
        <v>1.0638460669657275E-3</v>
      </c>
    </row>
    <row r="281" spans="1:24" ht="14.25" customHeight="1" x14ac:dyDescent="0.2">
      <c r="A281" s="5" t="s">
        <v>1731</v>
      </c>
      <c r="B281" s="3" t="s">
        <v>14</v>
      </c>
      <c r="C281" s="3" t="s">
        <v>32</v>
      </c>
      <c r="D281" s="3" t="s">
        <v>2357</v>
      </c>
      <c r="E281" s="3" t="s">
        <v>2358</v>
      </c>
      <c r="F281" s="3" t="s">
        <v>442</v>
      </c>
      <c r="G281" s="3" t="s">
        <v>33</v>
      </c>
      <c r="H281" s="3" t="s">
        <v>19</v>
      </c>
      <c r="I281" s="3">
        <v>40447</v>
      </c>
      <c r="J281" s="3">
        <v>7</v>
      </c>
      <c r="K281" s="3">
        <v>16663</v>
      </c>
      <c r="L281" s="3">
        <v>29774</v>
      </c>
      <c r="M281" s="3">
        <v>12</v>
      </c>
      <c r="N281" s="14">
        <v>5083.8862730000001</v>
      </c>
      <c r="O281" s="7">
        <f t="shared" si="36"/>
        <v>1.730659875886963E-2</v>
      </c>
      <c r="P281" s="14">
        <f t="shared" si="37"/>
        <v>726.26946757142855</v>
      </c>
      <c r="Q281" s="14">
        <f t="shared" si="38"/>
        <v>423.65718941666665</v>
      </c>
      <c r="R281" s="4">
        <f t="shared" si="39"/>
        <v>171.42857142857142</v>
      </c>
      <c r="S281" s="14">
        <f t="shared" si="40"/>
        <v>170.74918630348625</v>
      </c>
      <c r="T281" s="4">
        <f t="shared" si="41"/>
        <v>41.197122159863525</v>
      </c>
      <c r="U281" s="3">
        <f>LEN(A281) - LEN(SUBSTITUTE(A281,"&gt;","")) +1</f>
        <v>5</v>
      </c>
      <c r="V281" s="8">
        <f t="shared" si="42"/>
        <v>4.2383507164578688E-3</v>
      </c>
      <c r="W281" s="14">
        <f t="shared" si="43"/>
        <v>1016.7772546</v>
      </c>
      <c r="X281" s="4">
        <f t="shared" si="44"/>
        <v>7.0029391112317856E-3</v>
      </c>
    </row>
    <row r="282" spans="1:24" ht="14.25" customHeight="1" x14ac:dyDescent="0.2">
      <c r="A282" s="5" t="s">
        <v>443</v>
      </c>
      <c r="B282" s="3" t="s">
        <v>24</v>
      </c>
      <c r="C282" s="3" t="s">
        <v>29</v>
      </c>
      <c r="D282" s="3" t="s">
        <v>2359</v>
      </c>
      <c r="E282" s="3" t="s">
        <v>2360</v>
      </c>
      <c r="F282" s="3" t="s">
        <v>444</v>
      </c>
      <c r="G282" s="3" t="s">
        <v>27</v>
      </c>
      <c r="H282" s="3" t="s">
        <v>19</v>
      </c>
      <c r="I282" s="3">
        <v>9273</v>
      </c>
      <c r="J282" s="3">
        <v>7</v>
      </c>
      <c r="K282" s="3">
        <v>4648</v>
      </c>
      <c r="L282" s="3">
        <v>8751</v>
      </c>
      <c r="M282" s="3">
        <v>1</v>
      </c>
      <c r="N282" s="14">
        <v>4986.51937</v>
      </c>
      <c r="O282" s="7">
        <f t="shared" si="36"/>
        <v>7.5487975843847741E-2</v>
      </c>
      <c r="P282" s="14">
        <f t="shared" si="37"/>
        <v>712.35991000000001</v>
      </c>
      <c r="Q282" s="14">
        <f t="shared" si="38"/>
        <v>4986.51937</v>
      </c>
      <c r="R282" s="4">
        <f t="shared" si="39"/>
        <v>14.285714285714285</v>
      </c>
      <c r="S282" s="14">
        <f t="shared" si="40"/>
        <v>569.82280539366923</v>
      </c>
      <c r="T282" s="4">
        <f t="shared" si="41"/>
        <v>50.124015960314892</v>
      </c>
      <c r="U282" s="3">
        <f>LEN(A282) - LEN(SUBSTITUTE(A282,"&gt;","")) +1</f>
        <v>4</v>
      </c>
      <c r="V282" s="8">
        <f t="shared" si="42"/>
        <v>1.5405709355887291E-3</v>
      </c>
      <c r="W282" s="14">
        <f t="shared" si="43"/>
        <v>1246.6298425</v>
      </c>
      <c r="X282" s="4">
        <f t="shared" si="44"/>
        <v>2.162630032884261E-4</v>
      </c>
    </row>
    <row r="283" spans="1:24" ht="14.25" customHeight="1" x14ac:dyDescent="0.2">
      <c r="A283" s="5" t="s">
        <v>445</v>
      </c>
      <c r="B283" s="3" t="s">
        <v>24</v>
      </c>
      <c r="C283" s="3" t="s">
        <v>29</v>
      </c>
      <c r="D283" s="3" t="s">
        <v>2353</v>
      </c>
      <c r="E283" s="3" t="s">
        <v>2354</v>
      </c>
      <c r="F283" s="3" t="s">
        <v>199</v>
      </c>
      <c r="G283" s="3" t="s">
        <v>27</v>
      </c>
      <c r="H283" s="3" t="s">
        <v>114</v>
      </c>
      <c r="I283" s="3">
        <v>27202</v>
      </c>
      <c r="J283" s="3">
        <v>7</v>
      </c>
      <c r="K283" s="3">
        <v>5202</v>
      </c>
      <c r="L283" s="3">
        <v>23474</v>
      </c>
      <c r="M283" s="3">
        <v>1</v>
      </c>
      <c r="N283" s="14">
        <v>4253.9791160000004</v>
      </c>
      <c r="O283" s="7">
        <f t="shared" si="36"/>
        <v>2.573340195573855E-2</v>
      </c>
      <c r="P283" s="14">
        <f t="shared" si="37"/>
        <v>607.7113022857144</v>
      </c>
      <c r="Q283" s="14">
        <f t="shared" si="38"/>
        <v>4253.9791160000004</v>
      </c>
      <c r="R283" s="4">
        <f t="shared" si="39"/>
        <v>14.285714285714285</v>
      </c>
      <c r="S283" s="14">
        <f t="shared" si="40"/>
        <v>181.22088762034593</v>
      </c>
      <c r="T283" s="4">
        <f t="shared" si="41"/>
        <v>19.123593853393135</v>
      </c>
      <c r="U283" s="3">
        <f>LEN(A283) - LEN(SUBSTITUTE(A283,"&gt;","")) +1</f>
        <v>4</v>
      </c>
      <c r="V283" s="8">
        <f t="shared" si="42"/>
        <v>5.2517146848446016E-4</v>
      </c>
      <c r="W283" s="14">
        <f t="shared" si="43"/>
        <v>1063.4947790000001</v>
      </c>
      <c r="X283" s="4">
        <f t="shared" si="44"/>
        <v>8.6417920237651227E-5</v>
      </c>
    </row>
    <row r="284" spans="1:24" ht="14.25" customHeight="1" x14ac:dyDescent="0.2">
      <c r="A284" s="5" t="s">
        <v>1732</v>
      </c>
      <c r="B284" s="3" t="s">
        <v>24</v>
      </c>
      <c r="C284" s="3" t="s">
        <v>29</v>
      </c>
      <c r="D284" s="3" t="s">
        <v>2397</v>
      </c>
      <c r="E284" s="3" t="s">
        <v>2360</v>
      </c>
      <c r="F284" s="3" t="s">
        <v>250</v>
      </c>
      <c r="G284" s="3" t="s">
        <v>76</v>
      </c>
      <c r="H284" s="3" t="s">
        <v>163</v>
      </c>
      <c r="I284" s="3">
        <v>114194</v>
      </c>
      <c r="J284" s="3">
        <v>7</v>
      </c>
      <c r="K284" s="3">
        <v>50923</v>
      </c>
      <c r="L284" s="3">
        <v>104074</v>
      </c>
      <c r="M284" s="3">
        <v>2</v>
      </c>
      <c r="N284" s="14">
        <v>4036.0893759999999</v>
      </c>
      <c r="O284" s="7">
        <f t="shared" si="36"/>
        <v>6.1299192602063159E-3</v>
      </c>
      <c r="P284" s="14">
        <f t="shared" si="37"/>
        <v>576.58419657142861</v>
      </c>
      <c r="Q284" s="14">
        <f t="shared" si="38"/>
        <v>2018.044688</v>
      </c>
      <c r="R284" s="4">
        <f t="shared" si="39"/>
        <v>28.571428571428569</v>
      </c>
      <c r="S284" s="14">
        <f t="shared" si="40"/>
        <v>38.780957549435982</v>
      </c>
      <c r="T284" s="4">
        <f t="shared" si="41"/>
        <v>44.593411212498033</v>
      </c>
      <c r="U284" s="3">
        <f>LEN(A284) - LEN(SUBSTITUTE(A284,"&gt;","")) +1</f>
        <v>5</v>
      </c>
      <c r="V284" s="8">
        <f t="shared" si="42"/>
        <v>2.5020078613086999E-4</v>
      </c>
      <c r="W284" s="14">
        <f t="shared" si="43"/>
        <v>807.21787519999998</v>
      </c>
      <c r="X284" s="4">
        <f t="shared" si="44"/>
        <v>8.6787250715039178E-5</v>
      </c>
    </row>
    <row r="285" spans="1:24" ht="14.25" customHeight="1" x14ac:dyDescent="0.2">
      <c r="A285" s="5" t="s">
        <v>1733</v>
      </c>
      <c r="B285" s="3" t="s">
        <v>14</v>
      </c>
      <c r="C285" s="3" t="s">
        <v>15</v>
      </c>
      <c r="D285" s="3" t="s">
        <v>2398</v>
      </c>
      <c r="E285" s="3" t="s">
        <v>2399</v>
      </c>
      <c r="F285" s="3" t="s">
        <v>329</v>
      </c>
      <c r="G285" s="3" t="s">
        <v>64</v>
      </c>
      <c r="H285" s="3" t="s">
        <v>19</v>
      </c>
      <c r="I285" s="3">
        <v>36431</v>
      </c>
      <c r="J285" s="3">
        <v>7</v>
      </c>
      <c r="K285" s="3">
        <v>31262</v>
      </c>
      <c r="L285" s="3">
        <v>35043</v>
      </c>
      <c r="M285" s="3">
        <v>11</v>
      </c>
      <c r="N285" s="14">
        <v>3285.8345220000001</v>
      </c>
      <c r="O285" s="7">
        <f t="shared" si="36"/>
        <v>1.9214405314155528E-2</v>
      </c>
      <c r="P285" s="14">
        <f t="shared" si="37"/>
        <v>469.40493171428574</v>
      </c>
      <c r="Q285" s="14">
        <f t="shared" si="38"/>
        <v>298.71222927272726</v>
      </c>
      <c r="R285" s="4">
        <f t="shared" si="39"/>
        <v>157.14285714285714</v>
      </c>
      <c r="S285" s="14">
        <f t="shared" si="40"/>
        <v>93.765788374283019</v>
      </c>
      <c r="T285" s="4">
        <f t="shared" si="41"/>
        <v>85.811534133018583</v>
      </c>
      <c r="U285" s="3">
        <f>LEN(A285) - LEN(SUBSTITUTE(A285,"&gt;","")) +1</f>
        <v>5</v>
      </c>
      <c r="V285" s="8">
        <f t="shared" si="42"/>
        <v>4.3134379276675667E-3</v>
      </c>
      <c r="W285" s="14">
        <f t="shared" si="43"/>
        <v>657.16690440000002</v>
      </c>
      <c r="X285" s="4">
        <f t="shared" si="44"/>
        <v>1.0108078121604283E-2</v>
      </c>
    </row>
    <row r="286" spans="1:24" ht="14.25" customHeight="1" x14ac:dyDescent="0.2">
      <c r="A286" s="5" t="s">
        <v>1734</v>
      </c>
      <c r="B286" s="3" t="s">
        <v>24</v>
      </c>
      <c r="C286" s="3" t="s">
        <v>29</v>
      </c>
      <c r="D286" s="3" t="s">
        <v>2362</v>
      </c>
      <c r="E286" s="3" t="s">
        <v>2352</v>
      </c>
      <c r="F286" s="3" t="s">
        <v>451</v>
      </c>
      <c r="G286" s="3" t="s">
        <v>27</v>
      </c>
      <c r="H286" s="3" t="s">
        <v>114</v>
      </c>
      <c r="I286" s="3">
        <v>31443</v>
      </c>
      <c r="J286" s="3">
        <v>7</v>
      </c>
      <c r="K286" s="3">
        <v>19134</v>
      </c>
      <c r="L286" s="3">
        <v>28059</v>
      </c>
      <c r="M286" s="3">
        <v>9</v>
      </c>
      <c r="N286" s="14">
        <v>2122.7658879999999</v>
      </c>
      <c r="O286" s="7">
        <f t="shared" si="36"/>
        <v>2.2262506758260983E-2</v>
      </c>
      <c r="P286" s="14">
        <f t="shared" si="37"/>
        <v>303.25226971428572</v>
      </c>
      <c r="Q286" s="14">
        <f t="shared" si="38"/>
        <v>235.86287644444442</v>
      </c>
      <c r="R286" s="4">
        <f t="shared" si="39"/>
        <v>128.57142857142858</v>
      </c>
      <c r="S286" s="14">
        <f t="shared" si="40"/>
        <v>75.653654371146501</v>
      </c>
      <c r="T286" s="4">
        <f t="shared" si="41"/>
        <v>60.852972044652233</v>
      </c>
      <c r="U286" s="3">
        <f>LEN(A286) - LEN(SUBSTITUTE(A286,"&gt;","")) +1</f>
        <v>4</v>
      </c>
      <c r="V286" s="8">
        <f t="shared" si="42"/>
        <v>4.0890318535581399E-3</v>
      </c>
      <c r="W286" s="14">
        <f t="shared" si="43"/>
        <v>530.69147199999998</v>
      </c>
      <c r="X286" s="4">
        <f t="shared" si="44"/>
        <v>1.2135535446015366E-2</v>
      </c>
    </row>
    <row r="287" spans="1:24" ht="14.25" customHeight="1" x14ac:dyDescent="0.2">
      <c r="A287" s="5" t="s">
        <v>1735</v>
      </c>
      <c r="B287" s="3" t="s">
        <v>14</v>
      </c>
      <c r="C287" s="3" t="s">
        <v>35</v>
      </c>
      <c r="D287" s="3" t="s">
        <v>2384</v>
      </c>
      <c r="E287" s="3" t="s">
        <v>2385</v>
      </c>
      <c r="F287" s="3" t="s">
        <v>453</v>
      </c>
      <c r="G287" s="3" t="s">
        <v>27</v>
      </c>
      <c r="H287" s="3" t="s">
        <v>19</v>
      </c>
      <c r="I287" s="3">
        <v>29393</v>
      </c>
      <c r="J287" s="3">
        <v>7</v>
      </c>
      <c r="K287" s="3">
        <v>3277</v>
      </c>
      <c r="L287" s="3">
        <v>25959</v>
      </c>
      <c r="M287" s="3">
        <v>19</v>
      </c>
      <c r="N287" s="14">
        <v>2120.7576979999999</v>
      </c>
      <c r="O287" s="7">
        <f t="shared" si="36"/>
        <v>2.3815194093831864E-2</v>
      </c>
      <c r="P287" s="14">
        <f t="shared" si="37"/>
        <v>302.96538542857144</v>
      </c>
      <c r="Q287" s="14">
        <f t="shared" si="38"/>
        <v>111.61882621052631</v>
      </c>
      <c r="R287" s="4">
        <f t="shared" si="39"/>
        <v>271.42857142857144</v>
      </c>
      <c r="S287" s="14">
        <f t="shared" si="40"/>
        <v>81.696432759351282</v>
      </c>
      <c r="T287" s="4">
        <f t="shared" si="41"/>
        <v>11.148913006498146</v>
      </c>
      <c r="U287" s="3">
        <f>LEN(A287) - LEN(SUBSTITUTE(A287,"&gt;","")) +1</f>
        <v>2</v>
      </c>
      <c r="V287" s="8">
        <f t="shared" si="42"/>
        <v>9.2344630159756219E-3</v>
      </c>
      <c r="W287" s="14">
        <f t="shared" si="43"/>
        <v>1060.3788489999999</v>
      </c>
      <c r="X287" s="4">
        <f t="shared" si="44"/>
        <v>5.7912489591951381E-2</v>
      </c>
    </row>
    <row r="288" spans="1:24" ht="14.25" customHeight="1" x14ac:dyDescent="0.2">
      <c r="A288" s="5" t="s">
        <v>1736</v>
      </c>
      <c r="B288" s="3" t="s">
        <v>24</v>
      </c>
      <c r="C288" s="3" t="s">
        <v>35</v>
      </c>
      <c r="D288" s="3" t="s">
        <v>2349</v>
      </c>
      <c r="E288" s="3" t="s">
        <v>2350</v>
      </c>
      <c r="F288" s="3" t="s">
        <v>455</v>
      </c>
      <c r="G288" s="3" t="s">
        <v>22</v>
      </c>
      <c r="H288" s="3" t="s">
        <v>19</v>
      </c>
      <c r="I288" s="3">
        <v>14693</v>
      </c>
      <c r="J288" s="3">
        <v>7</v>
      </c>
      <c r="K288" s="3">
        <v>6597</v>
      </c>
      <c r="L288" s="3">
        <v>13508</v>
      </c>
      <c r="M288" s="3">
        <v>4</v>
      </c>
      <c r="N288" s="14">
        <v>2047.3489239999999</v>
      </c>
      <c r="O288" s="7">
        <f t="shared" si="36"/>
        <v>4.7641734159123393E-2</v>
      </c>
      <c r="P288" s="14">
        <f t="shared" si="37"/>
        <v>292.47841771428568</v>
      </c>
      <c r="Q288" s="14">
        <f t="shared" si="38"/>
        <v>511.83723099999997</v>
      </c>
      <c r="R288" s="4">
        <f t="shared" si="39"/>
        <v>57.142857142857139</v>
      </c>
      <c r="S288" s="14">
        <f t="shared" si="40"/>
        <v>151.56565916493926</v>
      </c>
      <c r="T288" s="4">
        <f t="shared" si="41"/>
        <v>44.898931463962434</v>
      </c>
      <c r="U288" s="3">
        <f>LEN(A288) - LEN(SUBSTITUTE(A288,"&gt;","")) +1</f>
        <v>3</v>
      </c>
      <c r="V288" s="8">
        <f t="shared" si="42"/>
        <v>3.8891211558468074E-3</v>
      </c>
      <c r="W288" s="14">
        <f t="shared" si="43"/>
        <v>682.44964133333326</v>
      </c>
      <c r="X288" s="4">
        <f t="shared" si="44"/>
        <v>5.3188487359036316E-3</v>
      </c>
    </row>
    <row r="289" spans="1:24" ht="14.25" customHeight="1" x14ac:dyDescent="0.2">
      <c r="A289" s="5" t="s">
        <v>1737</v>
      </c>
      <c r="B289" s="3" t="s">
        <v>24</v>
      </c>
      <c r="C289" s="3" t="s">
        <v>32</v>
      </c>
      <c r="D289" s="3" t="s">
        <v>2353</v>
      </c>
      <c r="E289" s="3" t="s">
        <v>2354</v>
      </c>
      <c r="F289" s="3" t="s">
        <v>457</v>
      </c>
      <c r="G289" s="3" t="s">
        <v>27</v>
      </c>
      <c r="H289" s="3" t="s">
        <v>19</v>
      </c>
      <c r="I289" s="3">
        <v>15547</v>
      </c>
      <c r="J289" s="3">
        <v>7</v>
      </c>
      <c r="K289" s="3">
        <v>7615</v>
      </c>
      <c r="L289" s="3">
        <v>14939</v>
      </c>
      <c r="M289" s="3">
        <v>3</v>
      </c>
      <c r="N289" s="14">
        <v>1767.4644559999999</v>
      </c>
      <c r="O289" s="7">
        <f t="shared" si="36"/>
        <v>4.5024763619990991E-2</v>
      </c>
      <c r="P289" s="14">
        <f t="shared" si="37"/>
        <v>252.49492228571427</v>
      </c>
      <c r="Q289" s="14">
        <f t="shared" si="38"/>
        <v>589.15481866666664</v>
      </c>
      <c r="R289" s="4">
        <f t="shared" si="39"/>
        <v>42.857142857142854</v>
      </c>
      <c r="S289" s="14">
        <f t="shared" si="40"/>
        <v>118.31209960506058</v>
      </c>
      <c r="T289" s="4">
        <f t="shared" si="41"/>
        <v>48.980510709461633</v>
      </c>
      <c r="U289" s="3">
        <f>LEN(A289) - LEN(SUBSTITUTE(A289,"&gt;","")) +1</f>
        <v>3</v>
      </c>
      <c r="V289" s="8">
        <f t="shared" si="42"/>
        <v>2.7566181808157749E-3</v>
      </c>
      <c r="W289" s="14">
        <f t="shared" si="43"/>
        <v>589.15481866666664</v>
      </c>
      <c r="X289" s="4">
        <f t="shared" si="44"/>
        <v>3.2752557824071611E-3</v>
      </c>
    </row>
    <row r="290" spans="1:24" ht="14.25" customHeight="1" x14ac:dyDescent="0.2">
      <c r="A290" s="5" t="s">
        <v>1738</v>
      </c>
      <c r="B290" s="3" t="s">
        <v>24</v>
      </c>
      <c r="C290" s="3" t="s">
        <v>32</v>
      </c>
      <c r="D290" s="3" t="s">
        <v>2370</v>
      </c>
      <c r="E290" s="3" t="s">
        <v>2360</v>
      </c>
      <c r="F290" s="3" t="s">
        <v>459</v>
      </c>
      <c r="G290" s="3" t="s">
        <v>64</v>
      </c>
      <c r="H290" s="3" t="s">
        <v>114</v>
      </c>
      <c r="I290" s="3">
        <v>16628</v>
      </c>
      <c r="J290" s="3">
        <v>7</v>
      </c>
      <c r="K290" s="3">
        <v>7974</v>
      </c>
      <c r="L290" s="3">
        <v>15969</v>
      </c>
      <c r="M290" s="3">
        <v>13</v>
      </c>
      <c r="N290" s="14">
        <v>1665.9658509999999</v>
      </c>
      <c r="O290" s="7">
        <f t="shared" si="36"/>
        <v>4.2097666586480634E-2</v>
      </c>
      <c r="P290" s="14">
        <f t="shared" si="37"/>
        <v>237.99512157142857</v>
      </c>
      <c r="Q290" s="14">
        <f t="shared" si="38"/>
        <v>128.15121930769232</v>
      </c>
      <c r="R290" s="4">
        <f t="shared" si="39"/>
        <v>185.71428571428572</v>
      </c>
      <c r="S290" s="14">
        <f t="shared" si="40"/>
        <v>104.32499536602167</v>
      </c>
      <c r="T290" s="4">
        <f t="shared" si="41"/>
        <v>47.955256194370946</v>
      </c>
      <c r="U290" s="3">
        <f>LEN(A290) - LEN(SUBSTITUTE(A290,"&gt;","")) +1</f>
        <v>3</v>
      </c>
      <c r="V290" s="8">
        <f t="shared" si="42"/>
        <v>1.1168768686209149E-2</v>
      </c>
      <c r="W290" s="14">
        <f t="shared" si="43"/>
        <v>555.32195033333335</v>
      </c>
      <c r="X290" s="4">
        <f t="shared" si="44"/>
        <v>6.1007129878140123E-2</v>
      </c>
    </row>
    <row r="291" spans="1:24" ht="14.25" customHeight="1" x14ac:dyDescent="0.2">
      <c r="A291" s="5" t="s">
        <v>1739</v>
      </c>
      <c r="B291" s="3" t="s">
        <v>24</v>
      </c>
      <c r="C291" s="3" t="s">
        <v>29</v>
      </c>
      <c r="D291" s="3" t="s">
        <v>2384</v>
      </c>
      <c r="E291" s="3" t="s">
        <v>2385</v>
      </c>
      <c r="F291" s="3" t="s">
        <v>72</v>
      </c>
      <c r="G291" s="3" t="s">
        <v>27</v>
      </c>
      <c r="H291" s="3" t="s">
        <v>19</v>
      </c>
      <c r="I291" s="3">
        <v>189462</v>
      </c>
      <c r="J291" s="3">
        <v>7</v>
      </c>
      <c r="K291" s="3">
        <v>53431</v>
      </c>
      <c r="L291" s="3">
        <v>163634</v>
      </c>
      <c r="M291" s="3">
        <v>5</v>
      </c>
      <c r="N291" s="14">
        <v>1625.17488</v>
      </c>
      <c r="O291" s="7">
        <f t="shared" si="36"/>
        <v>3.6946722825685363E-3</v>
      </c>
      <c r="P291" s="14">
        <f t="shared" si="37"/>
        <v>232.16784000000001</v>
      </c>
      <c r="Q291" s="14">
        <f t="shared" si="38"/>
        <v>325.03497600000003</v>
      </c>
      <c r="R291" s="4">
        <f t="shared" si="39"/>
        <v>71.428571428571431</v>
      </c>
      <c r="S291" s="14">
        <f t="shared" si="40"/>
        <v>9.9317677255338133</v>
      </c>
      <c r="T291" s="4">
        <f t="shared" si="41"/>
        <v>28.201433532845638</v>
      </c>
      <c r="U291" s="3">
        <f>LEN(A291) - LEN(SUBSTITUTE(A291,"&gt;","")) +1</f>
        <v>3</v>
      </c>
      <c r="V291" s="8">
        <f t="shared" si="42"/>
        <v>3.7700737577229962E-4</v>
      </c>
      <c r="W291" s="14">
        <f t="shared" si="43"/>
        <v>541.72496000000001</v>
      </c>
      <c r="X291" s="4">
        <f t="shared" si="44"/>
        <v>8.1192850778191239E-4</v>
      </c>
    </row>
    <row r="292" spans="1:24" ht="14.25" customHeight="1" x14ac:dyDescent="0.2">
      <c r="A292" s="5" t="s">
        <v>1740</v>
      </c>
      <c r="B292" s="3" t="s">
        <v>68</v>
      </c>
      <c r="C292" s="3" t="s">
        <v>32</v>
      </c>
      <c r="D292" s="3" t="s">
        <v>2363</v>
      </c>
      <c r="E292" s="3" t="s">
        <v>2358</v>
      </c>
      <c r="F292" s="3" t="s">
        <v>370</v>
      </c>
      <c r="G292" s="3" t="s">
        <v>22</v>
      </c>
      <c r="H292" s="3" t="s">
        <v>19</v>
      </c>
      <c r="I292" s="3">
        <v>68704</v>
      </c>
      <c r="J292" s="3">
        <v>7</v>
      </c>
      <c r="K292" s="3">
        <v>31283</v>
      </c>
      <c r="L292" s="3">
        <v>59462</v>
      </c>
      <c r="M292" s="3">
        <v>16</v>
      </c>
      <c r="N292" s="14">
        <v>1605.5660310000001</v>
      </c>
      <c r="O292" s="7">
        <f t="shared" si="36"/>
        <v>1.0188635305076852E-2</v>
      </c>
      <c r="P292" s="14">
        <f t="shared" si="37"/>
        <v>229.36657585714286</v>
      </c>
      <c r="Q292" s="14">
        <f t="shared" si="38"/>
        <v>100.3478769375</v>
      </c>
      <c r="R292" s="4">
        <f t="shared" si="39"/>
        <v>228.57142857142856</v>
      </c>
      <c r="S292" s="14">
        <f t="shared" si="40"/>
        <v>27.001547727960716</v>
      </c>
      <c r="T292" s="4">
        <f t="shared" si="41"/>
        <v>45.533011178388449</v>
      </c>
      <c r="U292" s="3">
        <f>LEN(A292) - LEN(SUBSTITUTE(A292,"&gt;","")) +1</f>
        <v>5</v>
      </c>
      <c r="V292" s="8">
        <f t="shared" si="42"/>
        <v>3.3269013241067269E-3</v>
      </c>
      <c r="W292" s="14">
        <f t="shared" si="43"/>
        <v>321.11320620000004</v>
      </c>
      <c r="X292" s="4">
        <f t="shared" si="44"/>
        <v>2.3207575465948146E-2</v>
      </c>
    </row>
    <row r="293" spans="1:24" ht="14.25" customHeight="1" x14ac:dyDescent="0.2">
      <c r="A293" s="5" t="s">
        <v>1741</v>
      </c>
      <c r="B293" s="3" t="s">
        <v>24</v>
      </c>
      <c r="C293" s="3" t="s">
        <v>35</v>
      </c>
      <c r="D293" s="3" t="s">
        <v>2359</v>
      </c>
      <c r="E293" s="3" t="s">
        <v>2360</v>
      </c>
      <c r="F293" s="3" t="s">
        <v>250</v>
      </c>
      <c r="G293" s="3" t="s">
        <v>22</v>
      </c>
      <c r="H293" s="3" t="s">
        <v>163</v>
      </c>
      <c r="I293" s="3">
        <v>49412</v>
      </c>
      <c r="J293" s="3">
        <v>7</v>
      </c>
      <c r="K293" s="3">
        <v>22155</v>
      </c>
      <c r="L293" s="3">
        <v>43802</v>
      </c>
      <c r="M293" s="3">
        <v>2</v>
      </c>
      <c r="N293" s="14">
        <v>1595.6594660000001</v>
      </c>
      <c r="O293" s="7">
        <f t="shared" si="36"/>
        <v>1.4166599206670445E-2</v>
      </c>
      <c r="P293" s="14">
        <f t="shared" si="37"/>
        <v>227.95135228571431</v>
      </c>
      <c r="Q293" s="14">
        <f t="shared" si="38"/>
        <v>797.82973300000003</v>
      </c>
      <c r="R293" s="4">
        <f t="shared" si="39"/>
        <v>28.571428571428569</v>
      </c>
      <c r="S293" s="14">
        <f t="shared" si="40"/>
        <v>36.428917994612121</v>
      </c>
      <c r="T293" s="4">
        <f t="shared" si="41"/>
        <v>44.837286489111953</v>
      </c>
      <c r="U293" s="3">
        <f>LEN(A293) - LEN(SUBSTITUTE(A293,"&gt;","")) +1</f>
        <v>4</v>
      </c>
      <c r="V293" s="8">
        <f t="shared" si="42"/>
        <v>5.7822853904777318E-4</v>
      </c>
      <c r="W293" s="14">
        <f t="shared" si="43"/>
        <v>398.91486650000002</v>
      </c>
      <c r="X293" s="4">
        <f t="shared" si="44"/>
        <v>5.0732626347662236E-4</v>
      </c>
    </row>
    <row r="294" spans="1:24" ht="14.25" customHeight="1" x14ac:dyDescent="0.2">
      <c r="A294" s="5" t="s">
        <v>1742</v>
      </c>
      <c r="B294" s="3" t="s">
        <v>24</v>
      </c>
      <c r="C294" s="3" t="s">
        <v>15</v>
      </c>
      <c r="D294" s="3" t="s">
        <v>2353</v>
      </c>
      <c r="E294" s="3" t="s">
        <v>2354</v>
      </c>
      <c r="F294" s="3" t="s">
        <v>40</v>
      </c>
      <c r="G294" s="3" t="s">
        <v>22</v>
      </c>
      <c r="H294" s="3" t="s">
        <v>163</v>
      </c>
      <c r="I294" s="3">
        <v>96031</v>
      </c>
      <c r="J294" s="3">
        <v>7</v>
      </c>
      <c r="K294" s="3">
        <v>57187</v>
      </c>
      <c r="L294" s="3">
        <v>78396</v>
      </c>
      <c r="M294" s="3">
        <v>21</v>
      </c>
      <c r="N294" s="14">
        <v>1508.9076700000001</v>
      </c>
      <c r="O294" s="7">
        <f t="shared" si="36"/>
        <v>7.2893128260665824E-3</v>
      </c>
      <c r="P294" s="14">
        <f t="shared" si="37"/>
        <v>215.55823857142857</v>
      </c>
      <c r="Q294" s="14">
        <f t="shared" si="38"/>
        <v>71.852746190476196</v>
      </c>
      <c r="R294" s="4">
        <f t="shared" si="39"/>
        <v>300</v>
      </c>
      <c r="S294" s="14">
        <f t="shared" si="40"/>
        <v>19.247253303739988</v>
      </c>
      <c r="T294" s="4">
        <f t="shared" si="41"/>
        <v>59.550561797752813</v>
      </c>
      <c r="U294" s="3">
        <f>LEN(A294) - LEN(SUBSTITUTE(A294,"&gt;","")) +1</f>
        <v>3</v>
      </c>
      <c r="V294" s="8">
        <f t="shared" si="42"/>
        <v>3.1239912111713924E-3</v>
      </c>
      <c r="W294" s="14">
        <f t="shared" si="43"/>
        <v>502.96922333333333</v>
      </c>
      <c r="X294" s="4">
        <f t="shared" si="44"/>
        <v>3.0434380921544039E-2</v>
      </c>
    </row>
    <row r="295" spans="1:24" ht="14.25" customHeight="1" x14ac:dyDescent="0.2">
      <c r="A295" s="5" t="s">
        <v>1743</v>
      </c>
      <c r="B295" s="3" t="s">
        <v>14</v>
      </c>
      <c r="C295" s="3" t="s">
        <v>15</v>
      </c>
      <c r="D295" s="3" t="s">
        <v>2384</v>
      </c>
      <c r="E295" s="3" t="s">
        <v>2385</v>
      </c>
      <c r="F295" s="3" t="s">
        <v>40</v>
      </c>
      <c r="G295" s="3" t="s">
        <v>27</v>
      </c>
      <c r="H295" s="3" t="s">
        <v>19</v>
      </c>
      <c r="I295" s="3">
        <v>47931</v>
      </c>
      <c r="J295" s="3">
        <v>7</v>
      </c>
      <c r="K295" s="3">
        <v>15989</v>
      </c>
      <c r="L295" s="3">
        <v>38916</v>
      </c>
      <c r="M295" s="3">
        <v>3</v>
      </c>
      <c r="N295" s="14">
        <v>1487.228625</v>
      </c>
      <c r="O295" s="7">
        <f t="shared" si="36"/>
        <v>1.4604327053472699E-2</v>
      </c>
      <c r="P295" s="14">
        <f t="shared" si="37"/>
        <v>212.46123214285714</v>
      </c>
      <c r="Q295" s="14">
        <f t="shared" si="38"/>
        <v>495.74287499999997</v>
      </c>
      <c r="R295" s="4">
        <f t="shared" si="39"/>
        <v>42.857142857142854</v>
      </c>
      <c r="S295" s="14">
        <f t="shared" si="40"/>
        <v>38.216379509713228</v>
      </c>
      <c r="T295" s="4">
        <f t="shared" si="41"/>
        <v>33.35836932256786</v>
      </c>
      <c r="U295" s="3">
        <f>LEN(A295) - LEN(SUBSTITUTE(A295,"&gt;","")) +1</f>
        <v>5</v>
      </c>
      <c r="V295" s="8">
        <f t="shared" si="42"/>
        <v>8.9414247266159379E-4</v>
      </c>
      <c r="W295" s="14">
        <f t="shared" si="43"/>
        <v>297.44572499999998</v>
      </c>
      <c r="X295" s="4">
        <f t="shared" si="44"/>
        <v>1.2625491205760962E-3</v>
      </c>
    </row>
    <row r="296" spans="1:24" ht="14.25" customHeight="1" x14ac:dyDescent="0.2">
      <c r="A296" s="5" t="s">
        <v>1744</v>
      </c>
      <c r="B296" s="3" t="s">
        <v>14</v>
      </c>
      <c r="C296" s="3" t="s">
        <v>15</v>
      </c>
      <c r="D296" s="3" t="s">
        <v>2369</v>
      </c>
      <c r="E296" s="3" t="s">
        <v>2365</v>
      </c>
      <c r="F296" s="3" t="s">
        <v>72</v>
      </c>
      <c r="G296" s="3" t="s">
        <v>22</v>
      </c>
      <c r="H296" s="3" t="s">
        <v>19</v>
      </c>
      <c r="I296" s="3">
        <v>37269</v>
      </c>
      <c r="J296" s="3">
        <v>7</v>
      </c>
      <c r="K296" s="3">
        <v>11667</v>
      </c>
      <c r="L296" s="3">
        <v>33260</v>
      </c>
      <c r="M296" s="3">
        <v>1</v>
      </c>
      <c r="N296" s="14">
        <v>1453.075462</v>
      </c>
      <c r="O296" s="7">
        <f t="shared" si="36"/>
        <v>1.8782366041482198E-2</v>
      </c>
      <c r="P296" s="14">
        <f t="shared" si="37"/>
        <v>207.58220885714286</v>
      </c>
      <c r="Q296" s="14">
        <f t="shared" si="38"/>
        <v>1453.075462</v>
      </c>
      <c r="R296" s="4">
        <f t="shared" si="39"/>
        <v>14.285714285714285</v>
      </c>
      <c r="S296" s="14">
        <f t="shared" si="40"/>
        <v>43.688378292242938</v>
      </c>
      <c r="T296" s="4">
        <f t="shared" si="41"/>
        <v>31.304837800853257</v>
      </c>
      <c r="U296" s="3">
        <f>LEN(A296) - LEN(SUBSTITUTE(A296,"&gt;","")) +1</f>
        <v>4</v>
      </c>
      <c r="V296" s="8">
        <f t="shared" si="42"/>
        <v>3.8331359268331013E-4</v>
      </c>
      <c r="W296" s="14">
        <f t="shared" si="43"/>
        <v>363.2688655</v>
      </c>
      <c r="X296" s="4">
        <f t="shared" si="44"/>
        <v>1.8465628378928407E-4</v>
      </c>
    </row>
    <row r="297" spans="1:24" ht="14.25" customHeight="1" x14ac:dyDescent="0.2">
      <c r="A297" s="5" t="s">
        <v>1745</v>
      </c>
      <c r="B297" s="3" t="s">
        <v>14</v>
      </c>
      <c r="C297" s="3" t="s">
        <v>15</v>
      </c>
      <c r="D297" s="3" t="s">
        <v>2349</v>
      </c>
      <c r="E297" s="3" t="s">
        <v>2350</v>
      </c>
      <c r="F297" s="3" t="s">
        <v>72</v>
      </c>
      <c r="G297" s="3" t="s">
        <v>27</v>
      </c>
      <c r="H297" s="3" t="s">
        <v>19</v>
      </c>
      <c r="I297" s="3">
        <v>221720</v>
      </c>
      <c r="J297" s="3">
        <v>6</v>
      </c>
      <c r="K297" s="3">
        <v>35178</v>
      </c>
      <c r="L297" s="3">
        <v>196583</v>
      </c>
      <c r="M297" s="3">
        <v>69</v>
      </c>
      <c r="N297" s="14">
        <v>7890.221963</v>
      </c>
      <c r="O297" s="7">
        <f t="shared" si="36"/>
        <v>2.7061158217571712E-3</v>
      </c>
      <c r="P297" s="14">
        <f t="shared" si="37"/>
        <v>1315.0369938333333</v>
      </c>
      <c r="Q297" s="14">
        <f t="shared" si="38"/>
        <v>114.35104294202898</v>
      </c>
      <c r="R297" s="4">
        <f t="shared" si="39"/>
        <v>1150</v>
      </c>
      <c r="S297" s="14">
        <f t="shared" si="40"/>
        <v>40.136847860700065</v>
      </c>
      <c r="T297" s="4">
        <f t="shared" si="41"/>
        <v>15.865957062962293</v>
      </c>
      <c r="U297" s="3">
        <f>LEN(A297) - LEN(SUBSTITUTE(A297,"&gt;","")) +1</f>
        <v>5</v>
      </c>
      <c r="V297" s="8">
        <f t="shared" si="42"/>
        <v>5.1867219917012446E-3</v>
      </c>
      <c r="W297" s="14">
        <f t="shared" si="43"/>
        <v>1578.0443926</v>
      </c>
      <c r="X297" s="4">
        <f t="shared" si="44"/>
        <v>2.7214733814001267E-2</v>
      </c>
    </row>
    <row r="298" spans="1:24" ht="14.25" customHeight="1" x14ac:dyDescent="0.2">
      <c r="A298" s="5" t="s">
        <v>1746</v>
      </c>
      <c r="B298" s="3" t="s">
        <v>24</v>
      </c>
      <c r="C298" s="3" t="s">
        <v>32</v>
      </c>
      <c r="D298" s="3" t="s">
        <v>2362</v>
      </c>
      <c r="E298" s="3" t="s">
        <v>2352</v>
      </c>
      <c r="F298" s="3" t="s">
        <v>48</v>
      </c>
      <c r="G298" s="3" t="s">
        <v>27</v>
      </c>
      <c r="H298" s="3" t="s">
        <v>19</v>
      </c>
      <c r="I298" s="3">
        <v>23774</v>
      </c>
      <c r="J298" s="3">
        <v>6</v>
      </c>
      <c r="K298" s="3">
        <v>10735</v>
      </c>
      <c r="L298" s="3">
        <v>21076</v>
      </c>
      <c r="M298" s="3">
        <v>24</v>
      </c>
      <c r="N298" s="14">
        <v>7657.1080339999999</v>
      </c>
      <c r="O298" s="7">
        <f t="shared" si="36"/>
        <v>2.5237654580634306E-2</v>
      </c>
      <c r="P298" s="14">
        <f t="shared" si="37"/>
        <v>1276.1846723333333</v>
      </c>
      <c r="Q298" s="14">
        <f t="shared" si="38"/>
        <v>319.04616808333333</v>
      </c>
      <c r="R298" s="4">
        <f t="shared" si="39"/>
        <v>400</v>
      </c>
      <c r="S298" s="14">
        <f t="shared" si="40"/>
        <v>363.30935822736757</v>
      </c>
      <c r="T298" s="4">
        <f t="shared" si="41"/>
        <v>45.154370320518211</v>
      </c>
      <c r="U298" s="3">
        <f>LEN(A298) - LEN(SUBSTITUTE(A298,"&gt;","")) +1</f>
        <v>5</v>
      </c>
      <c r="V298" s="8">
        <f t="shared" si="42"/>
        <v>1.6825103053756205E-2</v>
      </c>
      <c r="W298" s="14">
        <f t="shared" si="43"/>
        <v>1531.4216068000001</v>
      </c>
      <c r="X298" s="4">
        <f t="shared" si="44"/>
        <v>3.1641382477337707E-2</v>
      </c>
    </row>
    <row r="299" spans="1:24" ht="14.25" customHeight="1" x14ac:dyDescent="0.2">
      <c r="A299" s="5" t="s">
        <v>1747</v>
      </c>
      <c r="B299" s="3" t="s">
        <v>14</v>
      </c>
      <c r="C299" s="3" t="s">
        <v>15</v>
      </c>
      <c r="D299" s="3" t="s">
        <v>2366</v>
      </c>
      <c r="E299" s="3" t="s">
        <v>2352</v>
      </c>
      <c r="F299" s="3" t="s">
        <v>107</v>
      </c>
      <c r="G299" s="3" t="s">
        <v>22</v>
      </c>
      <c r="H299" s="3" t="s">
        <v>19</v>
      </c>
      <c r="I299" s="3">
        <v>63794</v>
      </c>
      <c r="J299" s="3">
        <v>6</v>
      </c>
      <c r="K299" s="3">
        <v>46557</v>
      </c>
      <c r="L299" s="3">
        <v>60868</v>
      </c>
      <c r="M299" s="3">
        <v>4</v>
      </c>
      <c r="N299" s="14">
        <v>6832.9400670000005</v>
      </c>
      <c r="O299" s="7">
        <f t="shared" si="36"/>
        <v>9.4052732231871342E-3</v>
      </c>
      <c r="P299" s="14">
        <f t="shared" si="37"/>
        <v>1138.8233445000001</v>
      </c>
      <c r="Q299" s="14">
        <f t="shared" si="38"/>
        <v>1708.2350167500001</v>
      </c>
      <c r="R299" s="4">
        <f t="shared" si="39"/>
        <v>66.666666666666657</v>
      </c>
      <c r="S299" s="14">
        <f t="shared" si="40"/>
        <v>112.25833060064403</v>
      </c>
      <c r="T299" s="4">
        <f t="shared" si="41"/>
        <v>72.980217575320566</v>
      </c>
      <c r="U299" s="3">
        <f>LEN(A299) - LEN(SUBSTITUTE(A299,"&gt;","")) +1</f>
        <v>5</v>
      </c>
      <c r="V299" s="8">
        <f t="shared" si="42"/>
        <v>1.0450303581319037E-3</v>
      </c>
      <c r="W299" s="14">
        <f t="shared" si="43"/>
        <v>1366.5880134000001</v>
      </c>
      <c r="X299" s="4">
        <f t="shared" si="44"/>
        <v>3.6705617712489861E-4</v>
      </c>
    </row>
    <row r="300" spans="1:24" ht="14.25" customHeight="1" x14ac:dyDescent="0.2">
      <c r="A300" s="5" t="s">
        <v>1748</v>
      </c>
      <c r="B300" s="3" t="s">
        <v>24</v>
      </c>
      <c r="C300" s="3" t="s">
        <v>35</v>
      </c>
      <c r="D300" s="3" t="s">
        <v>2362</v>
      </c>
      <c r="E300" s="3" t="s">
        <v>2352</v>
      </c>
      <c r="F300" s="3" t="s">
        <v>470</v>
      </c>
      <c r="G300" s="3" t="s">
        <v>27</v>
      </c>
      <c r="H300" s="3" t="s">
        <v>114</v>
      </c>
      <c r="I300" s="3">
        <v>219088</v>
      </c>
      <c r="J300" s="3">
        <v>6</v>
      </c>
      <c r="K300" s="3">
        <v>75638</v>
      </c>
      <c r="L300" s="3">
        <v>153987</v>
      </c>
      <c r="M300" s="3">
        <v>15</v>
      </c>
      <c r="N300" s="14">
        <v>6761.0738240000001</v>
      </c>
      <c r="O300" s="7">
        <f t="shared" si="36"/>
        <v>2.738625575111371E-3</v>
      </c>
      <c r="P300" s="14">
        <f t="shared" si="37"/>
        <v>1126.8456373333333</v>
      </c>
      <c r="Q300" s="14">
        <f t="shared" si="38"/>
        <v>450.73825493333334</v>
      </c>
      <c r="R300" s="4">
        <f t="shared" si="39"/>
        <v>250</v>
      </c>
      <c r="S300" s="14">
        <f t="shared" si="40"/>
        <v>43.906783195984076</v>
      </c>
      <c r="T300" s="4">
        <f t="shared" si="41"/>
        <v>34.524026875045642</v>
      </c>
      <c r="U300" s="3">
        <f>LEN(A300) - LEN(SUBSTITUTE(A300,"&gt;","")) +1</f>
        <v>5</v>
      </c>
      <c r="V300" s="8">
        <f t="shared" si="42"/>
        <v>1.1410939896297379E-3</v>
      </c>
      <c r="W300" s="14">
        <f t="shared" si="43"/>
        <v>1352.2147648</v>
      </c>
      <c r="X300" s="4">
        <f t="shared" si="44"/>
        <v>1.5189666869502949E-3</v>
      </c>
    </row>
    <row r="301" spans="1:24" ht="14.25" customHeight="1" x14ac:dyDescent="0.2">
      <c r="A301" s="5" t="s">
        <v>1749</v>
      </c>
      <c r="B301" s="3" t="s">
        <v>14</v>
      </c>
      <c r="C301" s="3" t="s">
        <v>15</v>
      </c>
      <c r="D301" s="3" t="s">
        <v>2378</v>
      </c>
      <c r="E301" s="3" t="s">
        <v>2352</v>
      </c>
      <c r="F301" s="3" t="s">
        <v>472</v>
      </c>
      <c r="G301" s="3" t="s">
        <v>27</v>
      </c>
      <c r="H301" s="3" t="s">
        <v>19</v>
      </c>
      <c r="I301" s="3">
        <v>9357</v>
      </c>
      <c r="J301" s="3">
        <v>6</v>
      </c>
      <c r="K301" s="3">
        <v>1754</v>
      </c>
      <c r="L301" s="3">
        <v>8343</v>
      </c>
      <c r="M301" s="3">
        <v>1</v>
      </c>
      <c r="N301" s="14">
        <v>6559.4777560000002</v>
      </c>
      <c r="O301" s="7">
        <f t="shared" si="36"/>
        <v>6.4123116383456233E-2</v>
      </c>
      <c r="P301" s="14">
        <f t="shared" si="37"/>
        <v>1093.2462926666667</v>
      </c>
      <c r="Q301" s="14">
        <f t="shared" si="38"/>
        <v>6559.4777560000002</v>
      </c>
      <c r="R301" s="4">
        <f t="shared" si="39"/>
        <v>16.666666666666664</v>
      </c>
      <c r="S301" s="14">
        <f t="shared" si="40"/>
        <v>786.22530936114106</v>
      </c>
      <c r="T301" s="4">
        <f t="shared" si="41"/>
        <v>18.74532435609704</v>
      </c>
      <c r="U301" s="3">
        <f>LEN(A301) - LEN(SUBSTITUTE(A301,"&gt;","")) +1</f>
        <v>5</v>
      </c>
      <c r="V301" s="8">
        <f t="shared" si="42"/>
        <v>1.7811976773182286E-3</v>
      </c>
      <c r="W301" s="14">
        <f t="shared" si="43"/>
        <v>1311.8955512</v>
      </c>
      <c r="X301" s="4">
        <f t="shared" si="44"/>
        <v>1.6292739241525328E-4</v>
      </c>
    </row>
    <row r="302" spans="1:24" ht="14.25" customHeight="1" x14ac:dyDescent="0.2">
      <c r="A302" s="5" t="s">
        <v>1750</v>
      </c>
      <c r="B302" s="3" t="s">
        <v>24</v>
      </c>
      <c r="C302" s="3" t="s">
        <v>15</v>
      </c>
      <c r="D302" s="3" t="s">
        <v>2353</v>
      </c>
      <c r="E302" s="3" t="s">
        <v>2354</v>
      </c>
      <c r="F302" s="3" t="s">
        <v>474</v>
      </c>
      <c r="G302" s="3" t="s">
        <v>27</v>
      </c>
      <c r="H302" s="3" t="s">
        <v>114</v>
      </c>
      <c r="I302" s="3">
        <v>26415</v>
      </c>
      <c r="J302" s="3">
        <v>6</v>
      </c>
      <c r="K302" s="3">
        <v>13791</v>
      </c>
      <c r="L302" s="3">
        <v>25315</v>
      </c>
      <c r="M302" s="3">
        <v>11</v>
      </c>
      <c r="N302" s="14">
        <v>6450.9186369999998</v>
      </c>
      <c r="O302" s="7">
        <f t="shared" si="36"/>
        <v>2.2714366837024418E-2</v>
      </c>
      <c r="P302" s="14">
        <f t="shared" si="37"/>
        <v>1075.1531061666667</v>
      </c>
      <c r="Q302" s="14">
        <f t="shared" si="38"/>
        <v>586.44714881818174</v>
      </c>
      <c r="R302" s="4">
        <f t="shared" si="39"/>
        <v>183.33333333333331</v>
      </c>
      <c r="S302" s="14">
        <f t="shared" si="40"/>
        <v>254.82593865297252</v>
      </c>
      <c r="T302" s="4">
        <f t="shared" si="41"/>
        <v>52.208972174900623</v>
      </c>
      <c r="U302" s="3">
        <f>LEN(A302) - LEN(SUBSTITUTE(A302,"&gt;","")) +1</f>
        <v>5</v>
      </c>
      <c r="V302" s="8">
        <f t="shared" si="42"/>
        <v>6.940500977979683E-3</v>
      </c>
      <c r="W302" s="14">
        <f t="shared" si="43"/>
        <v>1290.1837274</v>
      </c>
      <c r="X302" s="4">
        <f t="shared" si="44"/>
        <v>7.1008966369429513E-3</v>
      </c>
    </row>
    <row r="303" spans="1:24" ht="14.25" customHeight="1" x14ac:dyDescent="0.2">
      <c r="A303" s="5" t="s">
        <v>1751</v>
      </c>
      <c r="B303" s="3" t="s">
        <v>24</v>
      </c>
      <c r="C303" s="3" t="s">
        <v>15</v>
      </c>
      <c r="D303" s="3" t="s">
        <v>2349</v>
      </c>
      <c r="E303" s="3" t="s">
        <v>2350</v>
      </c>
      <c r="F303" s="3" t="s">
        <v>191</v>
      </c>
      <c r="G303" s="3" t="s">
        <v>27</v>
      </c>
      <c r="H303" s="3" t="s">
        <v>19</v>
      </c>
      <c r="I303" s="3">
        <v>286998</v>
      </c>
      <c r="J303" s="3">
        <v>6</v>
      </c>
      <c r="K303" s="3">
        <v>61586</v>
      </c>
      <c r="L303" s="3">
        <v>247500</v>
      </c>
      <c r="M303" s="3">
        <v>13</v>
      </c>
      <c r="N303" s="14">
        <v>6395.5506240000004</v>
      </c>
      <c r="O303" s="7">
        <f t="shared" si="36"/>
        <v>2.0906069031839942E-3</v>
      </c>
      <c r="P303" s="14">
        <f t="shared" si="37"/>
        <v>1065.9251040000001</v>
      </c>
      <c r="Q303" s="14">
        <f t="shared" si="38"/>
        <v>491.96543261538466</v>
      </c>
      <c r="R303" s="4">
        <f t="shared" si="39"/>
        <v>216.66666666666666</v>
      </c>
      <c r="S303" s="14">
        <f t="shared" si="40"/>
        <v>25.840608581818184</v>
      </c>
      <c r="T303" s="4">
        <f t="shared" si="41"/>
        <v>21.458686123248246</v>
      </c>
      <c r="U303" s="3">
        <f>LEN(A303) - LEN(SUBSTITUTE(A303,"&gt;","")) +1</f>
        <v>6</v>
      </c>
      <c r="V303" s="8">
        <f t="shared" si="42"/>
        <v>7.5494138170533126E-4</v>
      </c>
      <c r="W303" s="14">
        <f t="shared" si="43"/>
        <v>1065.9251040000001</v>
      </c>
      <c r="X303" s="4">
        <f t="shared" si="44"/>
        <v>9.2072491072218011E-4</v>
      </c>
    </row>
    <row r="304" spans="1:24" ht="14.25" customHeight="1" x14ac:dyDescent="0.2">
      <c r="A304" s="5" t="s">
        <v>1752</v>
      </c>
      <c r="B304" s="3" t="s">
        <v>68</v>
      </c>
      <c r="C304" s="3" t="s">
        <v>15</v>
      </c>
      <c r="D304" s="3" t="s">
        <v>2349</v>
      </c>
      <c r="E304" s="3" t="s">
        <v>2350</v>
      </c>
      <c r="F304" s="3" t="s">
        <v>96</v>
      </c>
      <c r="G304" s="3" t="s">
        <v>27</v>
      </c>
      <c r="H304" s="3" t="s">
        <v>19</v>
      </c>
      <c r="I304" s="3">
        <v>39373</v>
      </c>
      <c r="J304" s="3">
        <v>6</v>
      </c>
      <c r="K304" s="3">
        <v>23152</v>
      </c>
      <c r="L304" s="3">
        <v>35857</v>
      </c>
      <c r="M304" s="3">
        <v>12</v>
      </c>
      <c r="N304" s="14">
        <v>6342.8857859999998</v>
      </c>
      <c r="O304" s="7">
        <f t="shared" si="36"/>
        <v>1.5238869275899729E-2</v>
      </c>
      <c r="P304" s="14">
        <f t="shared" si="37"/>
        <v>1057.147631</v>
      </c>
      <c r="Q304" s="14">
        <f t="shared" si="38"/>
        <v>528.57381550000002</v>
      </c>
      <c r="R304" s="4">
        <f t="shared" si="39"/>
        <v>200</v>
      </c>
      <c r="S304" s="14">
        <f t="shared" si="40"/>
        <v>176.89393384834202</v>
      </c>
      <c r="T304" s="4">
        <f t="shared" si="41"/>
        <v>58.801716912605087</v>
      </c>
      <c r="U304" s="3">
        <f>LEN(A304) - LEN(SUBSTITUTE(A304,"&gt;","")) +1</f>
        <v>6</v>
      </c>
      <c r="V304" s="8">
        <f t="shared" si="42"/>
        <v>5.079623091966576E-3</v>
      </c>
      <c r="W304" s="14">
        <f t="shared" si="43"/>
        <v>1057.147631</v>
      </c>
      <c r="X304" s="4">
        <f t="shared" si="44"/>
        <v>5.7660326066226522E-3</v>
      </c>
    </row>
    <row r="305" spans="1:24" ht="14.25" customHeight="1" x14ac:dyDescent="0.2">
      <c r="A305" s="5" t="s">
        <v>1753</v>
      </c>
      <c r="B305" s="3" t="s">
        <v>14</v>
      </c>
      <c r="C305" s="3" t="s">
        <v>32</v>
      </c>
      <c r="D305" s="3" t="s">
        <v>2357</v>
      </c>
      <c r="E305" s="3" t="s">
        <v>2358</v>
      </c>
      <c r="F305" s="3" t="s">
        <v>478</v>
      </c>
      <c r="G305" s="3" t="s">
        <v>27</v>
      </c>
      <c r="H305" s="3" t="s">
        <v>19</v>
      </c>
      <c r="I305" s="3">
        <v>42830</v>
      </c>
      <c r="J305" s="3">
        <v>6</v>
      </c>
      <c r="K305" s="3">
        <v>24499</v>
      </c>
      <c r="L305" s="3">
        <v>34496</v>
      </c>
      <c r="M305" s="3">
        <v>1</v>
      </c>
      <c r="N305" s="14">
        <v>6261.5757240000003</v>
      </c>
      <c r="O305" s="7">
        <f t="shared" si="36"/>
        <v>1.4008872285780995E-2</v>
      </c>
      <c r="P305" s="14">
        <f t="shared" si="37"/>
        <v>1043.5959540000001</v>
      </c>
      <c r="Q305" s="14">
        <f t="shared" si="38"/>
        <v>6261.5757240000003</v>
      </c>
      <c r="R305" s="4">
        <f t="shared" si="39"/>
        <v>16.666666666666664</v>
      </c>
      <c r="S305" s="14">
        <f t="shared" si="40"/>
        <v>181.51599385435992</v>
      </c>
      <c r="T305" s="4">
        <f t="shared" si="41"/>
        <v>57.200560354891429</v>
      </c>
      <c r="U305" s="3">
        <f>LEN(A305) - LEN(SUBSTITUTE(A305,"&gt;","")) +1</f>
        <v>5</v>
      </c>
      <c r="V305" s="8">
        <f t="shared" si="42"/>
        <v>3.8913534127169426E-4</v>
      </c>
      <c r="W305" s="14">
        <f t="shared" si="43"/>
        <v>1252.3151448000001</v>
      </c>
      <c r="X305" s="4">
        <f t="shared" si="44"/>
        <v>3.7287931194077262E-5</v>
      </c>
    </row>
    <row r="306" spans="1:24" ht="14.25" customHeight="1" x14ac:dyDescent="0.2">
      <c r="A306" s="5" t="s">
        <v>1754</v>
      </c>
      <c r="B306" s="3" t="s">
        <v>24</v>
      </c>
      <c r="C306" s="3" t="s">
        <v>15</v>
      </c>
      <c r="D306" s="3" t="s">
        <v>2368</v>
      </c>
      <c r="E306" s="3" t="s">
        <v>2352</v>
      </c>
      <c r="F306" s="3" t="s">
        <v>347</v>
      </c>
      <c r="G306" s="3" t="s">
        <v>22</v>
      </c>
      <c r="H306" s="3" t="s">
        <v>19</v>
      </c>
      <c r="I306" s="3">
        <v>14350</v>
      </c>
      <c r="J306" s="3">
        <v>6</v>
      </c>
      <c r="K306" s="3">
        <v>8228</v>
      </c>
      <c r="L306" s="3">
        <v>13396</v>
      </c>
      <c r="M306" s="3">
        <v>1</v>
      </c>
      <c r="N306" s="15">
        <v>6114.034936</v>
      </c>
      <c r="O306" s="7">
        <f t="shared" si="36"/>
        <v>4.1811846689895474E-2</v>
      </c>
      <c r="P306" s="14">
        <f t="shared" si="37"/>
        <v>1019.0058226666666</v>
      </c>
      <c r="Q306" s="14">
        <f t="shared" si="38"/>
        <v>6114.034936</v>
      </c>
      <c r="R306" s="4">
        <f t="shared" si="39"/>
        <v>16.666666666666664</v>
      </c>
      <c r="S306" s="14">
        <f t="shared" si="40"/>
        <v>456.40750492684384</v>
      </c>
      <c r="T306" s="4">
        <f t="shared" si="41"/>
        <v>57.337979094076651</v>
      </c>
      <c r="U306" s="3">
        <f>LEN(A306) - LEN(SUBSTITUTE(A306,"&gt;","")) +1</f>
        <v>5</v>
      </c>
      <c r="V306" s="8">
        <f t="shared" si="42"/>
        <v>1.1614401858304295E-3</v>
      </c>
      <c r="W306" s="14">
        <f t="shared" si="43"/>
        <v>1222.8069872000001</v>
      </c>
      <c r="X306" s="4">
        <f t="shared" si="44"/>
        <v>1.1397777716235441E-4</v>
      </c>
    </row>
    <row r="307" spans="1:24" ht="14.25" customHeight="1" x14ac:dyDescent="0.2">
      <c r="A307" s="5" t="s">
        <v>1755</v>
      </c>
      <c r="B307" s="3" t="s">
        <v>14</v>
      </c>
      <c r="C307" s="3" t="s">
        <v>35</v>
      </c>
      <c r="D307" s="3" t="s">
        <v>2349</v>
      </c>
      <c r="E307" s="3" t="s">
        <v>2350</v>
      </c>
      <c r="F307" s="3" t="s">
        <v>481</v>
      </c>
      <c r="G307" s="3" t="s">
        <v>76</v>
      </c>
      <c r="H307" s="3" t="s">
        <v>19</v>
      </c>
      <c r="I307" s="3">
        <v>44361</v>
      </c>
      <c r="J307" s="3">
        <v>6</v>
      </c>
      <c r="K307" s="3">
        <v>36040</v>
      </c>
      <c r="L307" s="3">
        <v>40684</v>
      </c>
      <c r="M307" s="3">
        <v>5</v>
      </c>
      <c r="N307" s="14">
        <v>5048.8525529999997</v>
      </c>
      <c r="O307" s="7">
        <f t="shared" si="36"/>
        <v>1.3525393927098128E-2</v>
      </c>
      <c r="P307" s="14">
        <f t="shared" si="37"/>
        <v>841.47542549999991</v>
      </c>
      <c r="Q307" s="14">
        <f t="shared" si="38"/>
        <v>1009.7705106</v>
      </c>
      <c r="R307" s="4">
        <f t="shared" si="39"/>
        <v>83.333333333333343</v>
      </c>
      <c r="S307" s="14">
        <f t="shared" si="40"/>
        <v>124.09921721069706</v>
      </c>
      <c r="T307" s="4">
        <f t="shared" si="41"/>
        <v>81.242532855436082</v>
      </c>
      <c r="U307" s="3">
        <f>LEN(A307) - LEN(SUBSTITUTE(A307,"&gt;","")) +1</f>
        <v>5</v>
      </c>
      <c r="V307" s="8">
        <f t="shared" si="42"/>
        <v>1.8785269343191845E-3</v>
      </c>
      <c r="W307" s="14">
        <f t="shared" si="43"/>
        <v>1009.7705106</v>
      </c>
      <c r="X307" s="4">
        <f t="shared" si="44"/>
        <v>1.1162102168360856E-3</v>
      </c>
    </row>
    <row r="308" spans="1:24" ht="14.25" customHeight="1" x14ac:dyDescent="0.2">
      <c r="A308" s="5" t="s">
        <v>482</v>
      </c>
      <c r="B308" s="3" t="s">
        <v>24</v>
      </c>
      <c r="C308" s="3" t="s">
        <v>15</v>
      </c>
      <c r="D308" s="3" t="s">
        <v>2361</v>
      </c>
      <c r="E308" s="3" t="s">
        <v>2360</v>
      </c>
      <c r="F308" s="3" t="s">
        <v>483</v>
      </c>
      <c r="G308" s="3" t="s">
        <v>27</v>
      </c>
      <c r="H308" s="3" t="s">
        <v>19</v>
      </c>
      <c r="I308" s="3">
        <v>7583</v>
      </c>
      <c r="J308" s="3">
        <v>6</v>
      </c>
      <c r="K308" s="3">
        <v>4608</v>
      </c>
      <c r="L308" s="3">
        <v>5881</v>
      </c>
      <c r="M308" s="3">
        <v>1</v>
      </c>
      <c r="N308" s="14">
        <v>5033.4825780000001</v>
      </c>
      <c r="O308" s="7">
        <f t="shared" si="36"/>
        <v>7.9124357114598448E-2</v>
      </c>
      <c r="P308" s="14">
        <f t="shared" si="37"/>
        <v>838.91376300000002</v>
      </c>
      <c r="Q308" s="14">
        <f t="shared" si="38"/>
        <v>5033.4825780000001</v>
      </c>
      <c r="R308" s="4">
        <f t="shared" si="39"/>
        <v>16.666666666666664</v>
      </c>
      <c r="S308" s="14">
        <f t="shared" si="40"/>
        <v>855.88889270532218</v>
      </c>
      <c r="T308" s="4">
        <f t="shared" si="41"/>
        <v>60.767506264011608</v>
      </c>
      <c r="U308" s="3">
        <f>LEN(A308) - LEN(SUBSTITUTE(A308,"&gt;","")) +1</f>
        <v>4</v>
      </c>
      <c r="V308" s="8">
        <f t="shared" si="42"/>
        <v>2.1978988087388452E-3</v>
      </c>
      <c r="W308" s="14">
        <f t="shared" si="43"/>
        <v>1258.3706445</v>
      </c>
      <c r="X308" s="4">
        <f t="shared" si="44"/>
        <v>2.6199341406428272E-4</v>
      </c>
    </row>
    <row r="309" spans="1:24" ht="14.25" customHeight="1" x14ac:dyDescent="0.2">
      <c r="A309" s="5" t="s">
        <v>484</v>
      </c>
      <c r="B309" s="3" t="s">
        <v>14</v>
      </c>
      <c r="C309" s="3" t="s">
        <v>35</v>
      </c>
      <c r="D309" s="3" t="s">
        <v>2386</v>
      </c>
      <c r="E309" s="3" t="s">
        <v>2387</v>
      </c>
      <c r="F309" s="3" t="s">
        <v>485</v>
      </c>
      <c r="G309" s="3" t="s">
        <v>38</v>
      </c>
      <c r="H309" s="3" t="s">
        <v>19</v>
      </c>
      <c r="I309" s="3">
        <v>27371</v>
      </c>
      <c r="J309" s="3">
        <v>6</v>
      </c>
      <c r="K309" s="3">
        <v>22256</v>
      </c>
      <c r="L309" s="3">
        <v>25986</v>
      </c>
      <c r="M309" s="3">
        <v>2</v>
      </c>
      <c r="N309" s="14">
        <v>4984.4855829999997</v>
      </c>
      <c r="O309" s="7">
        <f t="shared" si="36"/>
        <v>2.1921011289320814E-2</v>
      </c>
      <c r="P309" s="14">
        <f t="shared" si="37"/>
        <v>830.74759716666665</v>
      </c>
      <c r="Q309" s="14">
        <f t="shared" si="38"/>
        <v>2492.2427914999998</v>
      </c>
      <c r="R309" s="4">
        <f t="shared" si="39"/>
        <v>33.333333333333329</v>
      </c>
      <c r="S309" s="14">
        <f t="shared" si="40"/>
        <v>191.81426856769031</v>
      </c>
      <c r="T309" s="4">
        <f t="shared" si="41"/>
        <v>81.312337875853999</v>
      </c>
      <c r="U309" s="3">
        <f>LEN(A309) - LEN(SUBSTITUTE(A309,"&gt;","")) +1</f>
        <v>4</v>
      </c>
      <c r="V309" s="8">
        <f t="shared" si="42"/>
        <v>1.2178339605178228E-3</v>
      </c>
      <c r="W309" s="14">
        <f t="shared" si="43"/>
        <v>1246.1213957499999</v>
      </c>
      <c r="X309" s="4">
        <f t="shared" si="44"/>
        <v>2.9318988455009594E-4</v>
      </c>
    </row>
    <row r="310" spans="1:24" ht="14.25" customHeight="1" x14ac:dyDescent="0.2">
      <c r="A310" s="5" t="s">
        <v>486</v>
      </c>
      <c r="B310" s="3" t="s">
        <v>68</v>
      </c>
      <c r="C310" s="3" t="s">
        <v>29</v>
      </c>
      <c r="D310" s="3" t="s">
        <v>2349</v>
      </c>
      <c r="E310" s="3" t="s">
        <v>2350</v>
      </c>
      <c r="F310" s="3" t="s">
        <v>263</v>
      </c>
      <c r="G310" s="3" t="s">
        <v>27</v>
      </c>
      <c r="H310" s="3" t="s">
        <v>19</v>
      </c>
      <c r="I310" s="3">
        <v>58938</v>
      </c>
      <c r="J310" s="3">
        <v>6</v>
      </c>
      <c r="K310" s="3">
        <v>41861</v>
      </c>
      <c r="L310" s="3">
        <v>55929</v>
      </c>
      <c r="M310" s="3">
        <v>6</v>
      </c>
      <c r="N310" s="14">
        <v>4881.1982690000004</v>
      </c>
      <c r="O310" s="7">
        <f t="shared" si="36"/>
        <v>1.0180189351521939E-2</v>
      </c>
      <c r="P310" s="14">
        <f t="shared" si="37"/>
        <v>813.53304483333341</v>
      </c>
      <c r="Q310" s="14">
        <f t="shared" si="38"/>
        <v>813.53304483333341</v>
      </c>
      <c r="R310" s="4">
        <f t="shared" si="39"/>
        <v>100</v>
      </c>
      <c r="S310" s="14">
        <f t="shared" si="40"/>
        <v>87.274906917699241</v>
      </c>
      <c r="T310" s="4">
        <f t="shared" si="41"/>
        <v>71.025484407343313</v>
      </c>
      <c r="U310" s="3">
        <f>LEN(A310) - LEN(SUBSTITUTE(A310,"&gt;","")) +1</f>
        <v>4</v>
      </c>
      <c r="V310" s="8">
        <f t="shared" si="42"/>
        <v>1.6966982252536564E-3</v>
      </c>
      <c r="W310" s="14">
        <f t="shared" si="43"/>
        <v>1220.2995672500001</v>
      </c>
      <c r="X310" s="4">
        <f t="shared" si="44"/>
        <v>1.2513553587251678E-3</v>
      </c>
    </row>
    <row r="311" spans="1:24" ht="14.25" customHeight="1" x14ac:dyDescent="0.2">
      <c r="A311" s="5" t="s">
        <v>1756</v>
      </c>
      <c r="B311" s="3" t="s">
        <v>24</v>
      </c>
      <c r="C311" s="3" t="s">
        <v>29</v>
      </c>
      <c r="D311" s="3" t="s">
        <v>2376</v>
      </c>
      <c r="E311" s="3" t="s">
        <v>2377</v>
      </c>
      <c r="F311" s="3" t="s">
        <v>111</v>
      </c>
      <c r="G311" s="3" t="s">
        <v>38</v>
      </c>
      <c r="H311" s="3" t="s">
        <v>19</v>
      </c>
      <c r="I311" s="3">
        <v>36863</v>
      </c>
      <c r="J311" s="3">
        <v>6</v>
      </c>
      <c r="K311" s="3">
        <v>3570</v>
      </c>
      <c r="L311" s="3">
        <v>29458</v>
      </c>
      <c r="M311" s="3">
        <v>5</v>
      </c>
      <c r="N311" s="14">
        <v>4752.8166849999998</v>
      </c>
      <c r="O311" s="7">
        <f t="shared" si="36"/>
        <v>1.6276483194531101E-2</v>
      </c>
      <c r="P311" s="14">
        <f t="shared" si="37"/>
        <v>792.13611416666663</v>
      </c>
      <c r="Q311" s="14">
        <f t="shared" si="38"/>
        <v>950.56333699999993</v>
      </c>
      <c r="R311" s="4">
        <f t="shared" si="39"/>
        <v>83.333333333333343</v>
      </c>
      <c r="S311" s="14">
        <f t="shared" si="40"/>
        <v>161.34213744992871</v>
      </c>
      <c r="T311" s="4">
        <f t="shared" si="41"/>
        <v>9.6845075007460046</v>
      </c>
      <c r="U311" s="3">
        <f>LEN(A311) - LEN(SUBSTITUTE(A311,"&gt;","")) +1</f>
        <v>5</v>
      </c>
      <c r="V311" s="8">
        <f t="shared" si="42"/>
        <v>2.2606226659070976E-3</v>
      </c>
      <c r="W311" s="14">
        <f t="shared" si="43"/>
        <v>950.56333699999993</v>
      </c>
      <c r="X311" s="4">
        <f t="shared" si="44"/>
        <v>1.4269155423404034E-3</v>
      </c>
    </row>
    <row r="312" spans="1:24" ht="14.25" customHeight="1" x14ac:dyDescent="0.2">
      <c r="A312" s="5" t="s">
        <v>1757</v>
      </c>
      <c r="B312" s="3" t="s">
        <v>68</v>
      </c>
      <c r="C312" s="3" t="s">
        <v>29</v>
      </c>
      <c r="D312" s="3" t="s">
        <v>2378</v>
      </c>
      <c r="E312" s="3" t="s">
        <v>2352</v>
      </c>
      <c r="F312" s="3" t="s">
        <v>149</v>
      </c>
      <c r="G312" s="3" t="s">
        <v>27</v>
      </c>
      <c r="H312" s="3" t="s">
        <v>19</v>
      </c>
      <c r="I312" s="3">
        <v>39844</v>
      </c>
      <c r="J312" s="3">
        <v>6</v>
      </c>
      <c r="K312" s="3">
        <v>28001</v>
      </c>
      <c r="L312" s="3">
        <v>36335</v>
      </c>
      <c r="M312" s="3">
        <v>1</v>
      </c>
      <c r="N312" s="14">
        <v>4439.368082</v>
      </c>
      <c r="O312" s="7">
        <f t="shared" si="36"/>
        <v>1.505872904326875E-2</v>
      </c>
      <c r="P312" s="14">
        <f t="shared" si="37"/>
        <v>739.89468033333333</v>
      </c>
      <c r="Q312" s="14">
        <f t="shared" si="38"/>
        <v>4439.368082</v>
      </c>
      <c r="R312" s="4">
        <f t="shared" si="39"/>
        <v>16.666666666666664</v>
      </c>
      <c r="S312" s="14">
        <f t="shared" si="40"/>
        <v>122.17883808999586</v>
      </c>
      <c r="T312" s="4">
        <f t="shared" si="41"/>
        <v>70.276578656761373</v>
      </c>
      <c r="U312" s="3">
        <f>LEN(A312) - LEN(SUBSTITUTE(A312,"&gt;","")) +1</f>
        <v>5</v>
      </c>
      <c r="V312" s="8">
        <f t="shared" si="42"/>
        <v>4.1829802897968741E-4</v>
      </c>
      <c r="W312" s="14">
        <f t="shared" si="43"/>
        <v>887.87361639999995</v>
      </c>
      <c r="X312" s="4">
        <f t="shared" si="44"/>
        <v>5.6534806925661108E-5</v>
      </c>
    </row>
    <row r="313" spans="1:24" ht="14.25" customHeight="1" x14ac:dyDescent="0.2">
      <c r="A313" s="5" t="s">
        <v>1758</v>
      </c>
      <c r="B313" s="3" t="s">
        <v>24</v>
      </c>
      <c r="C313" s="3" t="s">
        <v>29</v>
      </c>
      <c r="D313" s="3" t="s">
        <v>2379</v>
      </c>
      <c r="E313" s="3" t="s">
        <v>2380</v>
      </c>
      <c r="F313" s="3" t="s">
        <v>57</v>
      </c>
      <c r="G313" s="3" t="s">
        <v>38</v>
      </c>
      <c r="H313" s="3" t="s">
        <v>19</v>
      </c>
      <c r="I313" s="3">
        <v>90123</v>
      </c>
      <c r="J313" s="3">
        <v>6</v>
      </c>
      <c r="K313" s="3">
        <v>33421</v>
      </c>
      <c r="L313" s="3">
        <v>66729</v>
      </c>
      <c r="M313" s="3">
        <v>14</v>
      </c>
      <c r="N313" s="14">
        <v>3433.9142870000001</v>
      </c>
      <c r="O313" s="7">
        <f t="shared" si="36"/>
        <v>6.6575679904131019E-3</v>
      </c>
      <c r="P313" s="14">
        <f t="shared" si="37"/>
        <v>572.31904783333334</v>
      </c>
      <c r="Q313" s="14">
        <f t="shared" si="38"/>
        <v>245.27959192857142</v>
      </c>
      <c r="R313" s="4">
        <f t="shared" si="39"/>
        <v>233.33333333333334</v>
      </c>
      <c r="S313" s="14">
        <f t="shared" si="40"/>
        <v>51.460598645266678</v>
      </c>
      <c r="T313" s="4">
        <f t="shared" si="41"/>
        <v>37.083763301266046</v>
      </c>
      <c r="U313" s="3">
        <f>LEN(A313) - LEN(SUBSTITUTE(A313,"&gt;","")) +1</f>
        <v>6</v>
      </c>
      <c r="V313" s="8">
        <f t="shared" si="42"/>
        <v>2.5890542184939841E-3</v>
      </c>
      <c r="W313" s="14">
        <f t="shared" si="43"/>
        <v>572.31904783333334</v>
      </c>
      <c r="X313" s="4">
        <f t="shared" si="44"/>
        <v>6.3333134195231785E-3</v>
      </c>
    </row>
    <row r="314" spans="1:24" ht="14.25" customHeight="1" x14ac:dyDescent="0.2">
      <c r="A314" s="5" t="s">
        <v>1759</v>
      </c>
      <c r="B314" s="3" t="s">
        <v>14</v>
      </c>
      <c r="C314" s="3" t="s">
        <v>35</v>
      </c>
      <c r="D314" s="3" t="s">
        <v>2361</v>
      </c>
      <c r="E314" s="3" t="s">
        <v>2360</v>
      </c>
      <c r="F314" s="3" t="s">
        <v>107</v>
      </c>
      <c r="G314" s="3" t="s">
        <v>27</v>
      </c>
      <c r="H314" s="3" t="s">
        <v>19</v>
      </c>
      <c r="I314" s="3">
        <v>70134</v>
      </c>
      <c r="J314" s="3">
        <v>6</v>
      </c>
      <c r="K314" s="3">
        <v>48862</v>
      </c>
      <c r="L314" s="3">
        <v>66739</v>
      </c>
      <c r="M314" s="3">
        <v>16</v>
      </c>
      <c r="N314" s="14">
        <v>2514.8681160000001</v>
      </c>
      <c r="O314" s="7">
        <f t="shared" si="36"/>
        <v>8.5550517580631376E-3</v>
      </c>
      <c r="P314" s="14">
        <f t="shared" si="37"/>
        <v>419.14468600000004</v>
      </c>
      <c r="Q314" s="14">
        <f t="shared" si="38"/>
        <v>157.17925725000001</v>
      </c>
      <c r="R314" s="4">
        <f t="shared" si="39"/>
        <v>266.66666666666663</v>
      </c>
      <c r="S314" s="14">
        <f t="shared" si="40"/>
        <v>37.682136621765387</v>
      </c>
      <c r="T314" s="4">
        <f t="shared" si="41"/>
        <v>69.669489833746823</v>
      </c>
      <c r="U314" s="3">
        <f>LEN(A314) - LEN(SUBSTITUTE(A314,"&gt;","")) +1</f>
        <v>5</v>
      </c>
      <c r="V314" s="8">
        <f t="shared" si="42"/>
        <v>3.8022452258058377E-3</v>
      </c>
      <c r="W314" s="14">
        <f t="shared" si="43"/>
        <v>502.97362320000002</v>
      </c>
      <c r="X314" s="4">
        <f t="shared" si="44"/>
        <v>1.4514301539515023E-2</v>
      </c>
    </row>
    <row r="315" spans="1:24" ht="14.25" customHeight="1" x14ac:dyDescent="0.2">
      <c r="A315" s="5" t="s">
        <v>1760</v>
      </c>
      <c r="B315" s="3" t="s">
        <v>24</v>
      </c>
      <c r="C315" s="3" t="s">
        <v>15</v>
      </c>
      <c r="D315" s="3" t="s">
        <v>2355</v>
      </c>
      <c r="E315" s="3" t="s">
        <v>2356</v>
      </c>
      <c r="F315" s="3" t="s">
        <v>57</v>
      </c>
      <c r="G315" s="3" t="s">
        <v>41</v>
      </c>
      <c r="H315" s="3" t="s">
        <v>19</v>
      </c>
      <c r="I315" s="3">
        <v>276716</v>
      </c>
      <c r="J315" s="3">
        <v>6</v>
      </c>
      <c r="K315" s="3">
        <v>114927</v>
      </c>
      <c r="L315" s="3">
        <v>255481</v>
      </c>
      <c r="M315" s="3">
        <v>49</v>
      </c>
      <c r="N315" s="14">
        <v>2276.2774709999999</v>
      </c>
      <c r="O315" s="7">
        <f t="shared" si="36"/>
        <v>2.1682880642969688E-3</v>
      </c>
      <c r="P315" s="14">
        <f t="shared" si="37"/>
        <v>379.37957849999998</v>
      </c>
      <c r="Q315" s="14">
        <f t="shared" si="38"/>
        <v>46.45464226530612</v>
      </c>
      <c r="R315" s="4">
        <f t="shared" si="39"/>
        <v>816.66666666666663</v>
      </c>
      <c r="S315" s="14">
        <f t="shared" si="40"/>
        <v>8.9097720417565291</v>
      </c>
      <c r="T315" s="4">
        <f t="shared" si="41"/>
        <v>41.532473727576289</v>
      </c>
      <c r="U315" s="3">
        <f>LEN(A315) - LEN(SUBSTITUTE(A315,"&gt;","")) +1</f>
        <v>4</v>
      </c>
      <c r="V315" s="8">
        <f t="shared" si="42"/>
        <v>2.9512809764042072E-3</v>
      </c>
      <c r="W315" s="14">
        <f t="shared" si="43"/>
        <v>569.06936774999997</v>
      </c>
      <c r="X315" s="4">
        <f t="shared" si="44"/>
        <v>3.8118226715201584E-2</v>
      </c>
    </row>
    <row r="316" spans="1:24" ht="14.25" customHeight="1" x14ac:dyDescent="0.2">
      <c r="A316" s="5" t="s">
        <v>1761</v>
      </c>
      <c r="B316" s="3" t="s">
        <v>14</v>
      </c>
      <c r="C316" s="3" t="s">
        <v>15</v>
      </c>
      <c r="D316" s="3" t="s">
        <v>2363</v>
      </c>
      <c r="E316" s="3" t="s">
        <v>2358</v>
      </c>
      <c r="F316" s="3" t="s">
        <v>244</v>
      </c>
      <c r="G316" s="3" t="s">
        <v>27</v>
      </c>
      <c r="H316" s="3" t="s">
        <v>19</v>
      </c>
      <c r="I316" s="3">
        <v>14890</v>
      </c>
      <c r="J316" s="3">
        <v>6</v>
      </c>
      <c r="K316" s="3">
        <v>6248</v>
      </c>
      <c r="L316" s="3">
        <v>11493</v>
      </c>
      <c r="M316" s="3">
        <v>1</v>
      </c>
      <c r="N316" s="14">
        <v>1982.4164840000001</v>
      </c>
      <c r="O316" s="7">
        <f t="shared" si="36"/>
        <v>4.0295500335795834E-2</v>
      </c>
      <c r="P316" s="14">
        <f t="shared" si="37"/>
        <v>330.40274733333337</v>
      </c>
      <c r="Q316" s="14">
        <f t="shared" si="38"/>
        <v>1982.4164840000001</v>
      </c>
      <c r="R316" s="4">
        <f t="shared" si="39"/>
        <v>16.666666666666664</v>
      </c>
      <c r="S316" s="14">
        <f t="shared" si="40"/>
        <v>172.48903541286001</v>
      </c>
      <c r="T316" s="4">
        <f t="shared" si="41"/>
        <v>41.961047683008729</v>
      </c>
      <c r="U316" s="3">
        <f>LEN(A316) - LEN(SUBSTITUTE(A316,"&gt;","")) +1</f>
        <v>2</v>
      </c>
      <c r="V316" s="8">
        <f t="shared" si="42"/>
        <v>1.1193194537721064E-3</v>
      </c>
      <c r="W316" s="14">
        <f t="shared" si="43"/>
        <v>991.20824200000004</v>
      </c>
      <c r="X316" s="4">
        <f t="shared" si="44"/>
        <v>3.3877425741949378E-4</v>
      </c>
    </row>
    <row r="317" spans="1:24" ht="14.25" customHeight="1" x14ac:dyDescent="0.2">
      <c r="A317" s="5" t="s">
        <v>1762</v>
      </c>
      <c r="B317" s="3" t="s">
        <v>24</v>
      </c>
      <c r="C317" s="3" t="s">
        <v>35</v>
      </c>
      <c r="D317" s="3" t="s">
        <v>2357</v>
      </c>
      <c r="E317" s="3" t="s">
        <v>2358</v>
      </c>
      <c r="F317" s="3" t="s">
        <v>111</v>
      </c>
      <c r="G317" s="3" t="s">
        <v>76</v>
      </c>
      <c r="H317" s="3" t="s">
        <v>19</v>
      </c>
      <c r="I317" s="3">
        <v>15200</v>
      </c>
      <c r="J317" s="3">
        <v>6</v>
      </c>
      <c r="K317" s="3">
        <v>5375</v>
      </c>
      <c r="L317" s="3">
        <v>12040</v>
      </c>
      <c r="M317" s="3">
        <v>1</v>
      </c>
      <c r="N317" s="14">
        <v>1970.3573449999999</v>
      </c>
      <c r="O317" s="7">
        <f t="shared" si="36"/>
        <v>3.9473684210526314E-2</v>
      </c>
      <c r="P317" s="14">
        <f t="shared" si="37"/>
        <v>328.3928908333333</v>
      </c>
      <c r="Q317" s="14">
        <f t="shared" si="38"/>
        <v>1970.3573449999999</v>
      </c>
      <c r="R317" s="4">
        <f t="shared" si="39"/>
        <v>16.666666666666664</v>
      </c>
      <c r="S317" s="14">
        <f t="shared" si="40"/>
        <v>163.6509422757475</v>
      </c>
      <c r="T317" s="4">
        <f t="shared" si="41"/>
        <v>35.361842105263158</v>
      </c>
      <c r="U317" s="3">
        <f>LEN(A317) - LEN(SUBSTITUTE(A317,"&gt;","")) +1</f>
        <v>4</v>
      </c>
      <c r="V317" s="8">
        <f t="shared" si="42"/>
        <v>1.0964912280701754E-3</v>
      </c>
      <c r="W317" s="14">
        <f t="shared" si="43"/>
        <v>492.58933624999997</v>
      </c>
      <c r="X317" s="4">
        <f t="shared" si="44"/>
        <v>3.3389615265047524E-4</v>
      </c>
    </row>
    <row r="318" spans="1:24" ht="14.25" customHeight="1" x14ac:dyDescent="0.2">
      <c r="A318" s="5" t="s">
        <v>1763</v>
      </c>
      <c r="B318" s="3" t="s">
        <v>68</v>
      </c>
      <c r="C318" s="3" t="s">
        <v>32</v>
      </c>
      <c r="D318" s="3" t="s">
        <v>2351</v>
      </c>
      <c r="E318" s="3" t="s">
        <v>2352</v>
      </c>
      <c r="F318" s="3" t="s">
        <v>263</v>
      </c>
      <c r="G318" s="3" t="s">
        <v>22</v>
      </c>
      <c r="H318" s="3" t="s">
        <v>19</v>
      </c>
      <c r="I318" s="3">
        <v>37717</v>
      </c>
      <c r="J318" s="3">
        <v>6</v>
      </c>
      <c r="K318" s="3">
        <v>26541</v>
      </c>
      <c r="L318" s="3">
        <v>35126</v>
      </c>
      <c r="M318" s="3">
        <v>1</v>
      </c>
      <c r="N318" s="14">
        <v>1725.2713630000001</v>
      </c>
      <c r="O318" s="7">
        <f t="shared" si="36"/>
        <v>1.5907946019036508E-2</v>
      </c>
      <c r="P318" s="14">
        <f t="shared" si="37"/>
        <v>287.54522716666668</v>
      </c>
      <c r="Q318" s="14">
        <f t="shared" si="38"/>
        <v>1725.2713630000001</v>
      </c>
      <c r="R318" s="4">
        <f t="shared" si="39"/>
        <v>16.666666666666664</v>
      </c>
      <c r="S318" s="14">
        <f t="shared" si="40"/>
        <v>49.116647582986964</v>
      </c>
      <c r="T318" s="4">
        <f t="shared" si="41"/>
        <v>70.368799215208</v>
      </c>
      <c r="U318" s="3">
        <f>LEN(A318) - LEN(SUBSTITUTE(A318,"&gt;","")) +1</f>
        <v>4</v>
      </c>
      <c r="V318" s="8">
        <f t="shared" si="42"/>
        <v>4.4188738941768074E-4</v>
      </c>
      <c r="W318" s="14">
        <f t="shared" si="43"/>
        <v>431.31784075000002</v>
      </c>
      <c r="X318" s="4">
        <f t="shared" si="44"/>
        <v>1.5367578650907475E-4</v>
      </c>
    </row>
    <row r="319" spans="1:24" ht="14.25" customHeight="1" x14ac:dyDescent="0.2">
      <c r="A319" s="5" t="s">
        <v>1764</v>
      </c>
      <c r="B319" s="3" t="s">
        <v>24</v>
      </c>
      <c r="C319" s="3" t="s">
        <v>29</v>
      </c>
      <c r="D319" s="3" t="s">
        <v>2359</v>
      </c>
      <c r="E319" s="3" t="s">
        <v>2360</v>
      </c>
      <c r="F319" s="3" t="s">
        <v>40</v>
      </c>
      <c r="G319" s="3" t="s">
        <v>27</v>
      </c>
      <c r="H319" s="3" t="s">
        <v>114</v>
      </c>
      <c r="I319" s="3">
        <v>60412</v>
      </c>
      <c r="J319" s="3">
        <v>6</v>
      </c>
      <c r="K319" s="3">
        <v>33457</v>
      </c>
      <c r="L319" s="3">
        <v>52172</v>
      </c>
      <c r="M319" s="3">
        <v>24</v>
      </c>
      <c r="N319" s="14">
        <v>1679.5727079999999</v>
      </c>
      <c r="O319" s="7">
        <f t="shared" si="36"/>
        <v>9.9318016288154672E-3</v>
      </c>
      <c r="P319" s="14">
        <f t="shared" si="37"/>
        <v>279.92878466666667</v>
      </c>
      <c r="Q319" s="14">
        <f t="shared" si="38"/>
        <v>69.982196166666668</v>
      </c>
      <c r="R319" s="4">
        <f t="shared" si="39"/>
        <v>400</v>
      </c>
      <c r="S319" s="14">
        <f t="shared" si="40"/>
        <v>32.192990646323693</v>
      </c>
      <c r="T319" s="4">
        <f t="shared" si="41"/>
        <v>55.381381182546519</v>
      </c>
      <c r="U319" s="3">
        <f>LEN(A319) - LEN(SUBSTITUTE(A319,"&gt;","")) +1</f>
        <v>4</v>
      </c>
      <c r="V319" s="8">
        <f t="shared" si="42"/>
        <v>6.6212010858769784E-3</v>
      </c>
      <c r="W319" s="14">
        <f t="shared" si="43"/>
        <v>419.89317699999998</v>
      </c>
      <c r="X319" s="4">
        <f t="shared" si="44"/>
        <v>5.6767590460649761E-2</v>
      </c>
    </row>
    <row r="320" spans="1:24" ht="14.25" customHeight="1" x14ac:dyDescent="0.2">
      <c r="A320" s="5" t="s">
        <v>1765</v>
      </c>
      <c r="B320" s="3" t="s">
        <v>24</v>
      </c>
      <c r="C320" s="3" t="s">
        <v>29</v>
      </c>
      <c r="D320" s="3" t="s">
        <v>2357</v>
      </c>
      <c r="E320" s="3" t="s">
        <v>2358</v>
      </c>
      <c r="F320" s="3" t="s">
        <v>46</v>
      </c>
      <c r="G320" s="3" t="s">
        <v>27</v>
      </c>
      <c r="H320" s="3" t="s">
        <v>19</v>
      </c>
      <c r="I320" s="3">
        <v>21088</v>
      </c>
      <c r="J320" s="3">
        <v>6</v>
      </c>
      <c r="K320" s="3">
        <v>17930</v>
      </c>
      <c r="L320" s="3">
        <v>19822</v>
      </c>
      <c r="M320" s="3">
        <v>4</v>
      </c>
      <c r="N320" s="14">
        <v>1623.681601</v>
      </c>
      <c r="O320" s="7">
        <f t="shared" si="36"/>
        <v>2.8452200303490136E-2</v>
      </c>
      <c r="P320" s="14">
        <f t="shared" si="37"/>
        <v>270.61360016666669</v>
      </c>
      <c r="Q320" s="14">
        <f t="shared" si="38"/>
        <v>405.92040025</v>
      </c>
      <c r="R320" s="4">
        <f t="shared" si="39"/>
        <v>66.666666666666657</v>
      </c>
      <c r="S320" s="14">
        <f t="shared" si="40"/>
        <v>81.913106699626681</v>
      </c>
      <c r="T320" s="4">
        <f t="shared" si="41"/>
        <v>85.024658573596355</v>
      </c>
      <c r="U320" s="3">
        <f>LEN(A320) - LEN(SUBSTITUTE(A320,"&gt;","")) +1</f>
        <v>4</v>
      </c>
      <c r="V320" s="8">
        <f t="shared" si="42"/>
        <v>3.1613555892766815E-3</v>
      </c>
      <c r="W320" s="14">
        <f t="shared" si="43"/>
        <v>405.92040025</v>
      </c>
      <c r="X320" s="4">
        <f t="shared" si="44"/>
        <v>4.6728702287389132E-3</v>
      </c>
    </row>
    <row r="321" spans="1:24" ht="14.25" customHeight="1" x14ac:dyDescent="0.2">
      <c r="A321" s="5" t="s">
        <v>1766</v>
      </c>
      <c r="B321" s="3" t="s">
        <v>24</v>
      </c>
      <c r="C321" s="3" t="s">
        <v>15</v>
      </c>
      <c r="D321" s="3" t="s">
        <v>2353</v>
      </c>
      <c r="E321" s="3" t="s">
        <v>2354</v>
      </c>
      <c r="F321" s="3" t="s">
        <v>191</v>
      </c>
      <c r="G321" s="3" t="s">
        <v>41</v>
      </c>
      <c r="H321" s="3" t="s">
        <v>19</v>
      </c>
      <c r="I321" s="3">
        <v>109567</v>
      </c>
      <c r="J321" s="3">
        <v>6</v>
      </c>
      <c r="K321" s="3">
        <v>57620</v>
      </c>
      <c r="L321" s="3">
        <v>97903</v>
      </c>
      <c r="M321" s="3">
        <v>5</v>
      </c>
      <c r="N321" s="14">
        <v>1616.7147219999999</v>
      </c>
      <c r="O321" s="7">
        <f t="shared" si="36"/>
        <v>5.4761013808902314E-3</v>
      </c>
      <c r="P321" s="14">
        <f t="shared" si="37"/>
        <v>269.45245366666666</v>
      </c>
      <c r="Q321" s="14">
        <f t="shared" si="38"/>
        <v>323.34294439999996</v>
      </c>
      <c r="R321" s="4">
        <f t="shared" si="39"/>
        <v>83.333333333333343</v>
      </c>
      <c r="S321" s="14">
        <f t="shared" si="40"/>
        <v>16.513433929501652</v>
      </c>
      <c r="T321" s="4">
        <f t="shared" si="41"/>
        <v>52.588826927815859</v>
      </c>
      <c r="U321" s="3">
        <f>LEN(A321) - LEN(SUBSTITUTE(A321,"&gt;","")) +1</f>
        <v>3</v>
      </c>
      <c r="V321" s="8">
        <f t="shared" si="42"/>
        <v>7.6056963623475444E-4</v>
      </c>
      <c r="W321" s="14">
        <f t="shared" si="43"/>
        <v>538.90490733333331</v>
      </c>
      <c r="X321" s="4">
        <f t="shared" si="44"/>
        <v>1.4113243837364298E-3</v>
      </c>
    </row>
    <row r="322" spans="1:24" ht="14.25" customHeight="1" x14ac:dyDescent="0.2">
      <c r="A322" s="5" t="s">
        <v>1767</v>
      </c>
      <c r="B322" s="3" t="s">
        <v>24</v>
      </c>
      <c r="C322" s="3" t="s">
        <v>15</v>
      </c>
      <c r="D322" s="3" t="s">
        <v>2388</v>
      </c>
      <c r="E322" s="3" t="s">
        <v>2356</v>
      </c>
      <c r="F322" s="3" t="s">
        <v>63</v>
      </c>
      <c r="G322" s="3" t="s">
        <v>27</v>
      </c>
      <c r="H322" s="3" t="s">
        <v>19</v>
      </c>
      <c r="I322" s="3">
        <v>77748</v>
      </c>
      <c r="J322" s="3">
        <v>6</v>
      </c>
      <c r="K322" s="3">
        <v>6170</v>
      </c>
      <c r="L322" s="3">
        <v>53603</v>
      </c>
      <c r="M322" s="3">
        <v>3</v>
      </c>
      <c r="N322" s="14">
        <v>1498.3009</v>
      </c>
      <c r="O322" s="7">
        <f t="shared" si="36"/>
        <v>7.7172403148634047E-3</v>
      </c>
      <c r="P322" s="14">
        <f t="shared" si="37"/>
        <v>249.71681666666666</v>
      </c>
      <c r="Q322" s="14">
        <f t="shared" si="38"/>
        <v>499.43363333333332</v>
      </c>
      <c r="R322" s="4">
        <f t="shared" si="39"/>
        <v>50</v>
      </c>
      <c r="S322" s="14">
        <f t="shared" si="40"/>
        <v>27.951810532992557</v>
      </c>
      <c r="T322" s="4">
        <f t="shared" si="41"/>
        <v>7.9358954571178684</v>
      </c>
      <c r="U322" s="3">
        <f>LEN(A322) - LEN(SUBSTITUTE(A322,"&gt;","")) +1</f>
        <v>4</v>
      </c>
      <c r="V322" s="8">
        <f t="shared" si="42"/>
        <v>6.4310335957195035E-4</v>
      </c>
      <c r="W322" s="14">
        <f t="shared" si="43"/>
        <v>374.57522499999999</v>
      </c>
      <c r="X322" s="4">
        <f t="shared" si="44"/>
        <v>7.7259918033120766E-4</v>
      </c>
    </row>
    <row r="323" spans="1:24" ht="14.25" customHeight="1" x14ac:dyDescent="0.2">
      <c r="A323" s="5" t="s">
        <v>1768</v>
      </c>
      <c r="B323" s="3" t="s">
        <v>24</v>
      </c>
      <c r="C323" s="3" t="s">
        <v>35</v>
      </c>
      <c r="D323" s="3" t="s">
        <v>2349</v>
      </c>
      <c r="E323" s="3" t="s">
        <v>2350</v>
      </c>
      <c r="F323" s="3" t="s">
        <v>119</v>
      </c>
      <c r="G323" s="3" t="s">
        <v>81</v>
      </c>
      <c r="H323" s="3" t="s">
        <v>163</v>
      </c>
      <c r="I323" s="3">
        <v>18313</v>
      </c>
      <c r="J323" s="3">
        <v>6</v>
      </c>
      <c r="K323" s="3">
        <v>9481</v>
      </c>
      <c r="L323" s="3">
        <v>16300</v>
      </c>
      <c r="M323" s="3">
        <v>2</v>
      </c>
      <c r="N323" s="14">
        <v>1456.9341870000001</v>
      </c>
      <c r="O323" s="7">
        <f t="shared" ref="O323:O386" si="45">IFERROR((J323/I323)*100, 0)</f>
        <v>3.2763610549882596E-2</v>
      </c>
      <c r="P323" s="14">
        <f t="shared" ref="P323:P386" si="46">IFERROR(N323/J323, 0)</f>
        <v>242.82236450000002</v>
      </c>
      <c r="Q323" s="14">
        <f t="shared" ref="Q323:Q386" si="47">IFERROR(N323/M323, 0)</f>
        <v>728.46709350000003</v>
      </c>
      <c r="R323" s="4">
        <f t="shared" ref="R323:R386" si="48">IFERROR((M323/J323)*100, 0)</f>
        <v>33.333333333333329</v>
      </c>
      <c r="S323" s="14">
        <f t="shared" ref="S323:S386" si="49">IFERROR((N323/L323)*1000, 0)</f>
        <v>89.382465460122702</v>
      </c>
      <c r="T323" s="4">
        <f t="shared" ref="T323:T386" si="50">(K323/I323)*100</f>
        <v>51.771965270572821</v>
      </c>
      <c r="U323" s="3">
        <f>LEN(A323) - LEN(SUBSTITUTE(A323,"&gt;","")) +1</f>
        <v>5</v>
      </c>
      <c r="V323" s="8">
        <f t="shared" ref="V323:V386" si="51">R323/I323</f>
        <v>1.8202005861045884E-3</v>
      </c>
      <c r="W323" s="14">
        <f t="shared" ref="W323:W386" si="52">N323/U323</f>
        <v>291.38683739999999</v>
      </c>
      <c r="X323" s="4">
        <f t="shared" ref="X323:X386" si="53">(O323*R323/Q323)</f>
        <v>1.4992034113930131E-3</v>
      </c>
    </row>
    <row r="324" spans="1:24" ht="14.25" customHeight="1" x14ac:dyDescent="0.2">
      <c r="A324" s="5" t="s">
        <v>1769</v>
      </c>
      <c r="B324" s="3" t="s">
        <v>14</v>
      </c>
      <c r="C324" s="3" t="s">
        <v>15</v>
      </c>
      <c r="D324" s="3" t="s">
        <v>2363</v>
      </c>
      <c r="E324" s="3" t="s">
        <v>2358</v>
      </c>
      <c r="F324" s="3" t="s">
        <v>501</v>
      </c>
      <c r="G324" s="3" t="s">
        <v>64</v>
      </c>
      <c r="H324" s="3" t="s">
        <v>19</v>
      </c>
      <c r="I324" s="3">
        <v>9157</v>
      </c>
      <c r="J324" s="3">
        <v>6</v>
      </c>
      <c r="K324" s="3">
        <v>4520</v>
      </c>
      <c r="L324" s="3">
        <v>8037</v>
      </c>
      <c r="M324" s="3">
        <v>1</v>
      </c>
      <c r="N324" s="14">
        <v>1449.1778039999999</v>
      </c>
      <c r="O324" s="7">
        <f t="shared" si="45"/>
        <v>6.5523643114557176E-2</v>
      </c>
      <c r="P324" s="14">
        <f t="shared" si="46"/>
        <v>241.52963399999999</v>
      </c>
      <c r="Q324" s="14">
        <f t="shared" si="47"/>
        <v>1449.1778039999999</v>
      </c>
      <c r="R324" s="4">
        <f t="shared" si="48"/>
        <v>16.666666666666664</v>
      </c>
      <c r="S324" s="14">
        <f t="shared" si="49"/>
        <v>180.31327659574467</v>
      </c>
      <c r="T324" s="4">
        <f t="shared" si="50"/>
        <v>49.361144479633069</v>
      </c>
      <c r="U324" s="3">
        <f>LEN(A324) - LEN(SUBSTITUTE(A324,"&gt;","")) +1</f>
        <v>4</v>
      </c>
      <c r="V324" s="8">
        <f t="shared" si="51"/>
        <v>1.8201011976265878E-3</v>
      </c>
      <c r="W324" s="14">
        <f t="shared" si="52"/>
        <v>362.29445099999998</v>
      </c>
      <c r="X324" s="4">
        <f t="shared" si="53"/>
        <v>7.5357262273936462E-4</v>
      </c>
    </row>
    <row r="325" spans="1:24" ht="14.25" customHeight="1" x14ac:dyDescent="0.2">
      <c r="A325" s="5" t="s">
        <v>1770</v>
      </c>
      <c r="B325" s="3" t="s">
        <v>14</v>
      </c>
      <c r="C325" s="3" t="s">
        <v>35</v>
      </c>
      <c r="D325" s="3" t="s">
        <v>2400</v>
      </c>
      <c r="E325" s="3" t="s">
        <v>2354</v>
      </c>
      <c r="F325" s="3" t="s">
        <v>504</v>
      </c>
      <c r="G325" s="3" t="s">
        <v>27</v>
      </c>
      <c r="H325" s="3" t="s">
        <v>19</v>
      </c>
      <c r="I325" s="3">
        <v>22180</v>
      </c>
      <c r="J325" s="3">
        <v>6</v>
      </c>
      <c r="K325" s="3">
        <v>4835</v>
      </c>
      <c r="L325" s="3">
        <v>19291</v>
      </c>
      <c r="M325" s="3">
        <v>9</v>
      </c>
      <c r="N325" s="14">
        <v>1441.631095</v>
      </c>
      <c r="O325" s="7">
        <f t="shared" si="45"/>
        <v>2.7051397655545536E-2</v>
      </c>
      <c r="P325" s="14">
        <f t="shared" si="46"/>
        <v>240.27184916666667</v>
      </c>
      <c r="Q325" s="14">
        <f t="shared" si="47"/>
        <v>160.18123277777778</v>
      </c>
      <c r="R325" s="4">
        <f t="shared" si="48"/>
        <v>150</v>
      </c>
      <c r="S325" s="14">
        <f t="shared" si="49"/>
        <v>74.730760199056562</v>
      </c>
      <c r="T325" s="4">
        <f t="shared" si="50"/>
        <v>21.79891794409378</v>
      </c>
      <c r="U325" s="3">
        <f>LEN(A325) - LEN(SUBSTITUTE(A325,"&gt;","")) +1</f>
        <v>3</v>
      </c>
      <c r="V325" s="8">
        <f t="shared" si="51"/>
        <v>6.762849413886384E-3</v>
      </c>
      <c r="W325" s="14">
        <f t="shared" si="52"/>
        <v>480.54369833333334</v>
      </c>
      <c r="X325" s="4">
        <f t="shared" si="53"/>
        <v>2.5331991632010734E-2</v>
      </c>
    </row>
    <row r="326" spans="1:24" ht="14.25" customHeight="1" x14ac:dyDescent="0.2">
      <c r="A326" s="5" t="s">
        <v>1771</v>
      </c>
      <c r="B326" s="3" t="s">
        <v>14</v>
      </c>
      <c r="C326" s="3" t="s">
        <v>35</v>
      </c>
      <c r="D326" s="3" t="s">
        <v>2378</v>
      </c>
      <c r="E326" s="3" t="s">
        <v>2352</v>
      </c>
      <c r="F326" s="3" t="s">
        <v>111</v>
      </c>
      <c r="G326" s="3" t="s">
        <v>41</v>
      </c>
      <c r="H326" s="3" t="s">
        <v>19</v>
      </c>
      <c r="I326" s="3">
        <v>18324</v>
      </c>
      <c r="J326" s="3">
        <v>5</v>
      </c>
      <c r="K326" s="3">
        <v>3145</v>
      </c>
      <c r="L326" s="3">
        <v>13703</v>
      </c>
      <c r="M326" s="3">
        <v>1</v>
      </c>
      <c r="N326" s="14">
        <v>6996.2318379999997</v>
      </c>
      <c r="O326" s="7">
        <f t="shared" si="45"/>
        <v>2.7286618642217854E-2</v>
      </c>
      <c r="P326" s="14">
        <f t="shared" si="46"/>
        <v>1399.2463676</v>
      </c>
      <c r="Q326" s="14">
        <f t="shared" si="47"/>
        <v>6996.2318379999997</v>
      </c>
      <c r="R326" s="4">
        <f t="shared" si="48"/>
        <v>20</v>
      </c>
      <c r="S326" s="14">
        <f t="shared" si="49"/>
        <v>510.56205487849371</v>
      </c>
      <c r="T326" s="4">
        <f t="shared" si="50"/>
        <v>17.163283125955033</v>
      </c>
      <c r="U326" s="3">
        <f>LEN(A326) - LEN(SUBSTITUTE(A326,"&gt;","")) +1</f>
        <v>5</v>
      </c>
      <c r="V326" s="8">
        <f t="shared" si="51"/>
        <v>1.0914647456887142E-3</v>
      </c>
      <c r="W326" s="14">
        <f t="shared" si="52"/>
        <v>1399.2463676</v>
      </c>
      <c r="X326" s="4">
        <f t="shared" si="53"/>
        <v>7.8003757662834197E-5</v>
      </c>
    </row>
    <row r="327" spans="1:24" ht="14.25" customHeight="1" x14ac:dyDescent="0.2">
      <c r="A327" s="5" t="s">
        <v>506</v>
      </c>
      <c r="B327" s="3" t="s">
        <v>24</v>
      </c>
      <c r="C327" s="3" t="s">
        <v>35</v>
      </c>
      <c r="D327" s="3" t="s">
        <v>2368</v>
      </c>
      <c r="E327" s="3" t="s">
        <v>2352</v>
      </c>
      <c r="F327" s="3" t="s">
        <v>166</v>
      </c>
      <c r="G327" s="3" t="s">
        <v>41</v>
      </c>
      <c r="H327" s="3" t="s">
        <v>19</v>
      </c>
      <c r="I327" s="3">
        <v>21280</v>
      </c>
      <c r="J327" s="3">
        <v>5</v>
      </c>
      <c r="K327" s="3">
        <v>15309</v>
      </c>
      <c r="L327" s="3">
        <v>20244</v>
      </c>
      <c r="M327" s="3">
        <v>6</v>
      </c>
      <c r="N327" s="14">
        <v>6837.5106020000003</v>
      </c>
      <c r="O327" s="7">
        <f t="shared" si="45"/>
        <v>2.3496240601503758E-2</v>
      </c>
      <c r="P327" s="14">
        <f t="shared" si="46"/>
        <v>1367.5021204</v>
      </c>
      <c r="Q327" s="14">
        <f t="shared" si="47"/>
        <v>1139.5851003333335</v>
      </c>
      <c r="R327" s="4">
        <f t="shared" si="48"/>
        <v>120</v>
      </c>
      <c r="S327" s="14">
        <f t="shared" si="49"/>
        <v>337.75492007508399</v>
      </c>
      <c r="T327" s="4">
        <f t="shared" si="50"/>
        <v>71.940789473684205</v>
      </c>
      <c r="U327" s="3">
        <f>LEN(A327) - LEN(SUBSTITUTE(A327,"&gt;","")) +1</f>
        <v>4</v>
      </c>
      <c r="V327" s="8">
        <f t="shared" si="51"/>
        <v>5.6390977443609019E-3</v>
      </c>
      <c r="W327" s="14">
        <f t="shared" si="52"/>
        <v>1709.3776505000001</v>
      </c>
      <c r="X327" s="4">
        <f t="shared" si="53"/>
        <v>2.4741889582056849E-3</v>
      </c>
    </row>
    <row r="328" spans="1:24" ht="14.25" customHeight="1" x14ac:dyDescent="0.2">
      <c r="A328" s="5" t="s">
        <v>507</v>
      </c>
      <c r="B328" s="3" t="s">
        <v>24</v>
      </c>
      <c r="C328" s="3" t="s">
        <v>15</v>
      </c>
      <c r="D328" s="3" t="s">
        <v>2369</v>
      </c>
      <c r="E328" s="3" t="s">
        <v>2365</v>
      </c>
      <c r="F328" s="3" t="s">
        <v>403</v>
      </c>
      <c r="G328" s="3" t="s">
        <v>64</v>
      </c>
      <c r="H328" s="3" t="s">
        <v>163</v>
      </c>
      <c r="I328" s="3">
        <v>123430</v>
      </c>
      <c r="J328" s="3">
        <v>5</v>
      </c>
      <c r="K328" s="3">
        <v>45294</v>
      </c>
      <c r="L328" s="3">
        <v>77646</v>
      </c>
      <c r="M328" s="3">
        <v>15</v>
      </c>
      <c r="N328" s="14">
        <v>6808.5625840000002</v>
      </c>
      <c r="O328" s="7">
        <f t="shared" si="45"/>
        <v>4.0508790407518432E-3</v>
      </c>
      <c r="P328" s="14">
        <f t="shared" si="46"/>
        <v>1361.7125168</v>
      </c>
      <c r="Q328" s="14">
        <f t="shared" si="47"/>
        <v>453.90417226666671</v>
      </c>
      <c r="R328" s="4">
        <f t="shared" si="48"/>
        <v>300</v>
      </c>
      <c r="S328" s="14">
        <f t="shared" si="49"/>
        <v>87.687229013728981</v>
      </c>
      <c r="T328" s="4">
        <f t="shared" si="50"/>
        <v>36.696103054362794</v>
      </c>
      <c r="U328" s="3">
        <f>LEN(A328) - LEN(SUBSTITUTE(A328,"&gt;","")) +1</f>
        <v>4</v>
      </c>
      <c r="V328" s="8">
        <f t="shared" si="51"/>
        <v>2.4305274244511058E-3</v>
      </c>
      <c r="W328" s="14">
        <f t="shared" si="52"/>
        <v>1702.1406460000001</v>
      </c>
      <c r="X328" s="4">
        <f t="shared" si="53"/>
        <v>2.6773574390314063E-3</v>
      </c>
    </row>
    <row r="329" spans="1:24" ht="14.25" customHeight="1" x14ac:dyDescent="0.2">
      <c r="A329" s="5" t="s">
        <v>1772</v>
      </c>
      <c r="B329" s="3" t="s">
        <v>24</v>
      </c>
      <c r="C329" s="3" t="s">
        <v>35</v>
      </c>
      <c r="D329" s="3" t="s">
        <v>2353</v>
      </c>
      <c r="E329" s="3" t="s">
        <v>2354</v>
      </c>
      <c r="F329" s="3" t="s">
        <v>509</v>
      </c>
      <c r="G329" s="3" t="s">
        <v>41</v>
      </c>
      <c r="H329" s="3" t="s">
        <v>19</v>
      </c>
      <c r="I329" s="3">
        <v>14451</v>
      </c>
      <c r="J329" s="3">
        <v>5</v>
      </c>
      <c r="K329" s="3">
        <v>5606</v>
      </c>
      <c r="L329" s="3">
        <v>13461</v>
      </c>
      <c r="M329" s="3">
        <v>1</v>
      </c>
      <c r="N329" s="14">
        <v>6397.6025179999997</v>
      </c>
      <c r="O329" s="7">
        <f t="shared" si="45"/>
        <v>3.4599681682928513E-2</v>
      </c>
      <c r="P329" s="14">
        <f t="shared" si="46"/>
        <v>1279.5205036</v>
      </c>
      <c r="Q329" s="14">
        <f t="shared" si="47"/>
        <v>6397.6025179999997</v>
      </c>
      <c r="R329" s="4">
        <f t="shared" si="48"/>
        <v>20</v>
      </c>
      <c r="S329" s="14">
        <f t="shared" si="49"/>
        <v>475.26948354505606</v>
      </c>
      <c r="T329" s="4">
        <f t="shared" si="50"/>
        <v>38.793163102899456</v>
      </c>
      <c r="U329" s="3">
        <f>LEN(A329) - LEN(SUBSTITUTE(A329,"&gt;","")) +1</f>
        <v>6</v>
      </c>
      <c r="V329" s="8">
        <f t="shared" si="51"/>
        <v>1.3839872673171406E-3</v>
      </c>
      <c r="W329" s="14">
        <f t="shared" si="52"/>
        <v>1066.2670863333333</v>
      </c>
      <c r="X329" s="4">
        <f t="shared" si="53"/>
        <v>1.0816452439982148E-4</v>
      </c>
    </row>
    <row r="330" spans="1:24" ht="14.25" customHeight="1" x14ac:dyDescent="0.2">
      <c r="A330" s="5" t="s">
        <v>1773</v>
      </c>
      <c r="B330" s="3" t="s">
        <v>24</v>
      </c>
      <c r="C330" s="3" t="s">
        <v>29</v>
      </c>
      <c r="D330" s="3" t="s">
        <v>2369</v>
      </c>
      <c r="E330" s="3" t="s">
        <v>2365</v>
      </c>
      <c r="F330" s="3" t="s">
        <v>396</v>
      </c>
      <c r="G330" s="3" t="s">
        <v>41</v>
      </c>
      <c r="H330" s="3" t="s">
        <v>114</v>
      </c>
      <c r="I330" s="3">
        <v>48562</v>
      </c>
      <c r="J330" s="3">
        <v>5</v>
      </c>
      <c r="K330" s="3">
        <v>29108</v>
      </c>
      <c r="L330" s="3">
        <v>45570</v>
      </c>
      <c r="M330" s="3">
        <v>11</v>
      </c>
      <c r="N330" s="14">
        <v>6346.6330239999998</v>
      </c>
      <c r="O330" s="7">
        <f t="shared" si="45"/>
        <v>1.029611630492978E-2</v>
      </c>
      <c r="P330" s="14">
        <f t="shared" si="46"/>
        <v>1269.3266048</v>
      </c>
      <c r="Q330" s="14">
        <f t="shared" si="47"/>
        <v>576.96663854545454</v>
      </c>
      <c r="R330" s="4">
        <f t="shared" si="48"/>
        <v>220.00000000000003</v>
      </c>
      <c r="S330" s="14">
        <f t="shared" si="49"/>
        <v>139.27217520298441</v>
      </c>
      <c r="T330" s="4">
        <f t="shared" si="50"/>
        <v>59.939870680779208</v>
      </c>
      <c r="U330" s="3">
        <f>LEN(A330) - LEN(SUBSTITUTE(A330,"&gt;","")) +1</f>
        <v>5</v>
      </c>
      <c r="V330" s="8">
        <f t="shared" si="51"/>
        <v>4.5302911741691041E-3</v>
      </c>
      <c r="W330" s="14">
        <f t="shared" si="52"/>
        <v>1269.3266048</v>
      </c>
      <c r="X330" s="4">
        <f t="shared" si="53"/>
        <v>3.9259559145309224E-3</v>
      </c>
    </row>
    <row r="331" spans="1:24" ht="14.25" customHeight="1" x14ac:dyDescent="0.2">
      <c r="A331" s="5" t="s">
        <v>1774</v>
      </c>
      <c r="B331" s="3" t="s">
        <v>24</v>
      </c>
      <c r="C331" s="3" t="s">
        <v>35</v>
      </c>
      <c r="D331" s="3" t="s">
        <v>2357</v>
      </c>
      <c r="E331" s="3" t="s">
        <v>2358</v>
      </c>
      <c r="F331" s="3" t="s">
        <v>347</v>
      </c>
      <c r="G331" s="3" t="s">
        <v>38</v>
      </c>
      <c r="H331" s="3" t="s">
        <v>163</v>
      </c>
      <c r="I331" s="3">
        <v>7965</v>
      </c>
      <c r="J331" s="3">
        <v>5</v>
      </c>
      <c r="K331" s="3">
        <v>5230</v>
      </c>
      <c r="L331" s="3">
        <v>6923</v>
      </c>
      <c r="M331" s="3">
        <v>10</v>
      </c>
      <c r="N331" s="14">
        <v>6298.5139289999997</v>
      </c>
      <c r="O331" s="7">
        <f t="shared" si="45"/>
        <v>6.2774639045825489E-2</v>
      </c>
      <c r="P331" s="14">
        <f t="shared" si="46"/>
        <v>1259.7027857999999</v>
      </c>
      <c r="Q331" s="14">
        <f t="shared" si="47"/>
        <v>629.85139289999995</v>
      </c>
      <c r="R331" s="4">
        <f t="shared" si="48"/>
        <v>200</v>
      </c>
      <c r="S331" s="14">
        <f t="shared" si="49"/>
        <v>909.79545413837923</v>
      </c>
      <c r="T331" s="4">
        <f t="shared" si="50"/>
        <v>65.662272441933453</v>
      </c>
      <c r="U331" s="3">
        <f>LEN(A331) - LEN(SUBSTITUTE(A331,"&gt;","")) +1</f>
        <v>6</v>
      </c>
      <c r="V331" s="8">
        <f t="shared" si="51"/>
        <v>2.5109855618330193E-2</v>
      </c>
      <c r="W331" s="14">
        <f t="shared" si="52"/>
        <v>1049.7523214999999</v>
      </c>
      <c r="X331" s="4">
        <f t="shared" si="53"/>
        <v>1.9933158758860467E-2</v>
      </c>
    </row>
    <row r="332" spans="1:24" ht="14.25" customHeight="1" x14ac:dyDescent="0.2">
      <c r="A332" s="5" t="s">
        <v>1775</v>
      </c>
      <c r="B332" s="3" t="s">
        <v>24</v>
      </c>
      <c r="C332" s="3" t="s">
        <v>29</v>
      </c>
      <c r="D332" s="3" t="s">
        <v>2370</v>
      </c>
      <c r="E332" s="3" t="s">
        <v>2360</v>
      </c>
      <c r="F332" s="3" t="s">
        <v>40</v>
      </c>
      <c r="G332" s="3" t="s">
        <v>18</v>
      </c>
      <c r="H332" s="3" t="s">
        <v>114</v>
      </c>
      <c r="I332" s="3">
        <v>117518</v>
      </c>
      <c r="J332" s="3">
        <v>5</v>
      </c>
      <c r="K332" s="3">
        <v>66458</v>
      </c>
      <c r="L332" s="3">
        <v>86571</v>
      </c>
      <c r="M332" s="3">
        <v>1</v>
      </c>
      <c r="N332" s="14">
        <v>5999.9937810000001</v>
      </c>
      <c r="O332" s="7">
        <f t="shared" si="45"/>
        <v>4.2546673701050058E-3</v>
      </c>
      <c r="P332" s="14">
        <f t="shared" si="46"/>
        <v>1199.9987562000001</v>
      </c>
      <c r="Q332" s="14">
        <f t="shared" si="47"/>
        <v>5999.9937810000001</v>
      </c>
      <c r="R332" s="4">
        <f t="shared" si="48"/>
        <v>20</v>
      </c>
      <c r="S332" s="14">
        <f t="shared" si="49"/>
        <v>69.307201961395847</v>
      </c>
      <c r="T332" s="4">
        <f t="shared" si="50"/>
        <v>56.551336816487684</v>
      </c>
      <c r="U332" s="3">
        <f>LEN(A332) - LEN(SUBSTITUTE(A332,"&gt;","")) +1</f>
        <v>5</v>
      </c>
      <c r="V332" s="8">
        <f t="shared" si="51"/>
        <v>1.7018669480420022E-4</v>
      </c>
      <c r="W332" s="14">
        <f t="shared" si="52"/>
        <v>1199.9987562000001</v>
      </c>
      <c r="X332" s="4">
        <f t="shared" si="53"/>
        <v>1.4182239266907686E-5</v>
      </c>
    </row>
    <row r="333" spans="1:24" ht="14.25" customHeight="1" x14ac:dyDescent="0.2">
      <c r="A333" s="5" t="s">
        <v>513</v>
      </c>
      <c r="B333" s="3" t="s">
        <v>24</v>
      </c>
      <c r="C333" s="3" t="s">
        <v>29</v>
      </c>
      <c r="D333" s="3" t="s">
        <v>2349</v>
      </c>
      <c r="E333" s="3" t="s">
        <v>2350</v>
      </c>
      <c r="F333" s="3" t="s">
        <v>72</v>
      </c>
      <c r="G333" s="3" t="s">
        <v>27</v>
      </c>
      <c r="H333" s="3" t="s">
        <v>19</v>
      </c>
      <c r="I333" s="3">
        <v>161178</v>
      </c>
      <c r="J333" s="3">
        <v>5</v>
      </c>
      <c r="K333" s="3">
        <v>70181</v>
      </c>
      <c r="L333" s="3">
        <v>150003</v>
      </c>
      <c r="M333" s="3">
        <v>11</v>
      </c>
      <c r="N333" s="14">
        <v>5892.48218</v>
      </c>
      <c r="O333" s="7">
        <f t="shared" si="45"/>
        <v>3.102160344463885E-3</v>
      </c>
      <c r="P333" s="14">
        <f t="shared" si="46"/>
        <v>1178.4964359999999</v>
      </c>
      <c r="Q333" s="14">
        <f t="shared" si="47"/>
        <v>535.68019818181813</v>
      </c>
      <c r="R333" s="4">
        <f t="shared" si="48"/>
        <v>220.00000000000003</v>
      </c>
      <c r="S333" s="14">
        <f t="shared" si="49"/>
        <v>39.282428884755639</v>
      </c>
      <c r="T333" s="4">
        <f t="shared" si="50"/>
        <v>43.542543026963976</v>
      </c>
      <c r="U333" s="3">
        <f>LEN(A333) - LEN(SUBSTITUTE(A333,"&gt;","")) +1</f>
        <v>4</v>
      </c>
      <c r="V333" s="8">
        <f t="shared" si="51"/>
        <v>1.3649505515641095E-3</v>
      </c>
      <c r="W333" s="14">
        <f t="shared" si="52"/>
        <v>1473.120545</v>
      </c>
      <c r="X333" s="4">
        <f t="shared" si="53"/>
        <v>1.2740349150453609E-3</v>
      </c>
    </row>
    <row r="334" spans="1:24" ht="14.25" customHeight="1" x14ac:dyDescent="0.2">
      <c r="A334" s="5" t="s">
        <v>1776</v>
      </c>
      <c r="B334" s="3" t="s">
        <v>14</v>
      </c>
      <c r="C334" s="3" t="s">
        <v>35</v>
      </c>
      <c r="D334" s="3" t="s">
        <v>2349</v>
      </c>
      <c r="E334" s="3" t="s">
        <v>2350</v>
      </c>
      <c r="F334" s="3" t="s">
        <v>379</v>
      </c>
      <c r="G334" s="3" t="s">
        <v>27</v>
      </c>
      <c r="H334" s="3" t="s">
        <v>19</v>
      </c>
      <c r="I334" s="3">
        <v>25835</v>
      </c>
      <c r="J334" s="3">
        <v>5</v>
      </c>
      <c r="K334" s="3">
        <v>3753</v>
      </c>
      <c r="L334" s="3">
        <v>20808</v>
      </c>
      <c r="M334" s="3">
        <v>11</v>
      </c>
      <c r="N334" s="14">
        <v>5751.9122969999999</v>
      </c>
      <c r="O334" s="7">
        <f t="shared" si="45"/>
        <v>1.9353590090961874E-2</v>
      </c>
      <c r="P334" s="14">
        <f t="shared" si="46"/>
        <v>1150.3824594</v>
      </c>
      <c r="Q334" s="14">
        <f t="shared" si="47"/>
        <v>522.90111790909089</v>
      </c>
      <c r="R334" s="4">
        <f t="shared" si="48"/>
        <v>220.00000000000003</v>
      </c>
      <c r="S334" s="14">
        <f t="shared" si="49"/>
        <v>276.42792661476358</v>
      </c>
      <c r="T334" s="4">
        <f t="shared" si="50"/>
        <v>14.526804722275982</v>
      </c>
      <c r="U334" s="3">
        <f>LEN(A334) - LEN(SUBSTITUTE(A334,"&gt;","")) +1</f>
        <v>5</v>
      </c>
      <c r="V334" s="8">
        <f t="shared" si="51"/>
        <v>8.5155796400232259E-3</v>
      </c>
      <c r="W334" s="14">
        <f t="shared" si="52"/>
        <v>1150.3824594</v>
      </c>
      <c r="X334" s="4">
        <f t="shared" si="53"/>
        <v>8.1426290252296848E-3</v>
      </c>
    </row>
    <row r="335" spans="1:24" ht="14.25" customHeight="1" x14ac:dyDescent="0.2">
      <c r="A335" s="5" t="s">
        <v>1777</v>
      </c>
      <c r="B335" s="3" t="s">
        <v>14</v>
      </c>
      <c r="C335" s="3" t="s">
        <v>15</v>
      </c>
      <c r="D335" s="3" t="s">
        <v>2351</v>
      </c>
      <c r="E335" s="3" t="s">
        <v>2352</v>
      </c>
      <c r="F335" s="3" t="s">
        <v>17</v>
      </c>
      <c r="G335" s="3" t="s">
        <v>22</v>
      </c>
      <c r="H335" s="3" t="s">
        <v>19</v>
      </c>
      <c r="I335" s="3">
        <v>35178</v>
      </c>
      <c r="J335" s="3">
        <v>5</v>
      </c>
      <c r="K335" s="3">
        <v>23374</v>
      </c>
      <c r="L335" s="3">
        <v>33779</v>
      </c>
      <c r="M335" s="3">
        <v>5</v>
      </c>
      <c r="N335" s="14">
        <v>5738.8090890000003</v>
      </c>
      <c r="O335" s="7">
        <f t="shared" si="45"/>
        <v>1.4213428847575189E-2</v>
      </c>
      <c r="P335" s="14">
        <f t="shared" si="46"/>
        <v>1147.7618178</v>
      </c>
      <c r="Q335" s="14">
        <f t="shared" si="47"/>
        <v>1147.7618178</v>
      </c>
      <c r="R335" s="4">
        <f t="shared" si="48"/>
        <v>100</v>
      </c>
      <c r="S335" s="14">
        <f t="shared" si="49"/>
        <v>169.89280585570918</v>
      </c>
      <c r="T335" s="4">
        <f t="shared" si="50"/>
        <v>66.444937176644487</v>
      </c>
      <c r="U335" s="3">
        <f>LEN(A335) - LEN(SUBSTITUTE(A335,"&gt;","")) +1</f>
        <v>5</v>
      </c>
      <c r="V335" s="8">
        <f t="shared" si="51"/>
        <v>2.8426857695150378E-3</v>
      </c>
      <c r="W335" s="14">
        <f t="shared" si="52"/>
        <v>1147.7618178</v>
      </c>
      <c r="X335" s="4">
        <f t="shared" si="53"/>
        <v>1.2383604879642293E-3</v>
      </c>
    </row>
    <row r="336" spans="1:24" ht="14.25" customHeight="1" x14ac:dyDescent="0.2">
      <c r="A336" s="5" t="s">
        <v>1778</v>
      </c>
      <c r="B336" s="3" t="s">
        <v>14</v>
      </c>
      <c r="C336" s="3" t="s">
        <v>29</v>
      </c>
      <c r="D336" s="3" t="s">
        <v>2361</v>
      </c>
      <c r="E336" s="3" t="s">
        <v>2360</v>
      </c>
      <c r="F336" s="3" t="s">
        <v>517</v>
      </c>
      <c r="G336" s="3" t="s">
        <v>41</v>
      </c>
      <c r="H336" s="3" t="s">
        <v>19</v>
      </c>
      <c r="I336" s="3">
        <v>12214</v>
      </c>
      <c r="J336" s="3">
        <v>5</v>
      </c>
      <c r="K336" s="3">
        <v>5376</v>
      </c>
      <c r="L336" s="3">
        <v>11490</v>
      </c>
      <c r="M336" s="3">
        <v>1</v>
      </c>
      <c r="N336" s="14">
        <v>5616.3094019999999</v>
      </c>
      <c r="O336" s="7">
        <f t="shared" si="45"/>
        <v>4.0936630096610443E-2</v>
      </c>
      <c r="P336" s="14">
        <f t="shared" si="46"/>
        <v>1123.2618803999999</v>
      </c>
      <c r="Q336" s="14">
        <f t="shared" si="47"/>
        <v>5616.3094019999999</v>
      </c>
      <c r="R336" s="4">
        <f t="shared" si="48"/>
        <v>20</v>
      </c>
      <c r="S336" s="14">
        <f t="shared" si="49"/>
        <v>488.7997738903394</v>
      </c>
      <c r="T336" s="4">
        <f t="shared" si="50"/>
        <v>44.015064679875557</v>
      </c>
      <c r="U336" s="3">
        <f>LEN(A336) - LEN(SUBSTITUTE(A336,"&gt;","")) +1</f>
        <v>5</v>
      </c>
      <c r="V336" s="8">
        <f t="shared" si="51"/>
        <v>1.6374652038644178E-3</v>
      </c>
      <c r="W336" s="14">
        <f t="shared" si="52"/>
        <v>1123.2618803999999</v>
      </c>
      <c r="X336" s="4">
        <f t="shared" si="53"/>
        <v>1.4577768839456272E-4</v>
      </c>
    </row>
    <row r="337" spans="1:24" ht="14.25" customHeight="1" x14ac:dyDescent="0.2">
      <c r="A337" s="5" t="s">
        <v>1779</v>
      </c>
      <c r="B337" s="3" t="s">
        <v>14</v>
      </c>
      <c r="C337" s="3" t="s">
        <v>35</v>
      </c>
      <c r="D337" s="3" t="s">
        <v>2353</v>
      </c>
      <c r="E337" s="3" t="s">
        <v>2354</v>
      </c>
      <c r="F337" s="3" t="s">
        <v>191</v>
      </c>
      <c r="G337" s="3" t="s">
        <v>27</v>
      </c>
      <c r="H337" s="3" t="s">
        <v>19</v>
      </c>
      <c r="I337" s="3">
        <v>232470</v>
      </c>
      <c r="J337" s="3">
        <v>5</v>
      </c>
      <c r="K337" s="3">
        <v>40870</v>
      </c>
      <c r="L337" s="3">
        <v>195447</v>
      </c>
      <c r="M337" s="3">
        <v>36</v>
      </c>
      <c r="N337" s="14">
        <v>5401.3650850000004</v>
      </c>
      <c r="O337" s="7">
        <f t="shared" si="45"/>
        <v>2.1508151589452401E-3</v>
      </c>
      <c r="P337" s="14">
        <f t="shared" si="46"/>
        <v>1080.273017</v>
      </c>
      <c r="Q337" s="14">
        <f t="shared" si="47"/>
        <v>150.03791902777778</v>
      </c>
      <c r="R337" s="4">
        <f t="shared" si="48"/>
        <v>720</v>
      </c>
      <c r="S337" s="14">
        <f t="shared" si="49"/>
        <v>27.635958009076631</v>
      </c>
      <c r="T337" s="4">
        <f t="shared" si="50"/>
        <v>17.580763109218395</v>
      </c>
      <c r="U337" s="3">
        <f>LEN(A337) - LEN(SUBSTITUTE(A337,"&gt;","")) +1</f>
        <v>5</v>
      </c>
      <c r="V337" s="8">
        <f t="shared" si="51"/>
        <v>3.097173828881146E-3</v>
      </c>
      <c r="W337" s="14">
        <f t="shared" si="52"/>
        <v>1080.273017</v>
      </c>
      <c r="X337" s="4">
        <f t="shared" si="53"/>
        <v>1.0321303604283327E-2</v>
      </c>
    </row>
    <row r="338" spans="1:24" ht="14.25" customHeight="1" x14ac:dyDescent="0.2">
      <c r="A338" s="5" t="s">
        <v>519</v>
      </c>
      <c r="B338" s="3" t="s">
        <v>24</v>
      </c>
      <c r="C338" s="3" t="s">
        <v>29</v>
      </c>
      <c r="D338" s="3" t="s">
        <v>2357</v>
      </c>
      <c r="E338" s="3" t="s">
        <v>2358</v>
      </c>
      <c r="F338" s="3" t="s">
        <v>520</v>
      </c>
      <c r="G338" s="3" t="s">
        <v>27</v>
      </c>
      <c r="H338" s="3" t="s">
        <v>19</v>
      </c>
      <c r="I338" s="3">
        <v>7921</v>
      </c>
      <c r="J338" s="3">
        <v>5</v>
      </c>
      <c r="K338" s="3">
        <v>4727</v>
      </c>
      <c r="L338" s="3">
        <v>6513</v>
      </c>
      <c r="M338" s="3">
        <v>1</v>
      </c>
      <c r="N338" s="14">
        <v>5379.00144</v>
      </c>
      <c r="O338" s="7">
        <f t="shared" si="45"/>
        <v>6.3123343012245925E-2</v>
      </c>
      <c r="P338" s="14">
        <f t="shared" si="46"/>
        <v>1075.8002879999999</v>
      </c>
      <c r="Q338" s="14">
        <f t="shared" si="47"/>
        <v>5379.00144</v>
      </c>
      <c r="R338" s="4">
        <f t="shared" si="48"/>
        <v>20</v>
      </c>
      <c r="S338" s="14">
        <f t="shared" si="49"/>
        <v>825.88690925840626</v>
      </c>
      <c r="T338" s="4">
        <f t="shared" si="50"/>
        <v>59.6768084837773</v>
      </c>
      <c r="U338" s="3">
        <f>LEN(A338) - LEN(SUBSTITUTE(A338,"&gt;","")) +1</f>
        <v>4</v>
      </c>
      <c r="V338" s="8">
        <f t="shared" si="51"/>
        <v>2.5249337204898371E-3</v>
      </c>
      <c r="W338" s="14">
        <f t="shared" si="52"/>
        <v>1344.75036</v>
      </c>
      <c r="X338" s="4">
        <f t="shared" si="53"/>
        <v>2.3470282994475617E-4</v>
      </c>
    </row>
    <row r="339" spans="1:24" ht="14.25" customHeight="1" x14ac:dyDescent="0.2">
      <c r="A339" s="5" t="s">
        <v>1780</v>
      </c>
      <c r="B339" s="3" t="s">
        <v>24</v>
      </c>
      <c r="C339" s="3" t="s">
        <v>32</v>
      </c>
      <c r="D339" s="3" t="s">
        <v>2368</v>
      </c>
      <c r="E339" s="3" t="s">
        <v>2352</v>
      </c>
      <c r="F339" s="3" t="s">
        <v>72</v>
      </c>
      <c r="G339" s="3" t="s">
        <v>27</v>
      </c>
      <c r="H339" s="3" t="s">
        <v>163</v>
      </c>
      <c r="I339" s="3">
        <v>104538</v>
      </c>
      <c r="J339" s="3">
        <v>5</v>
      </c>
      <c r="K339" s="3">
        <v>49049</v>
      </c>
      <c r="L339" s="3">
        <v>97093</v>
      </c>
      <c r="M339" s="3">
        <v>2</v>
      </c>
      <c r="N339" s="14">
        <v>5266.4242329999997</v>
      </c>
      <c r="O339" s="7">
        <f t="shared" si="45"/>
        <v>4.7829497407641235E-3</v>
      </c>
      <c r="P339" s="14">
        <f t="shared" si="46"/>
        <v>1053.2848466</v>
      </c>
      <c r="Q339" s="14">
        <f t="shared" si="47"/>
        <v>2633.2121164999999</v>
      </c>
      <c r="R339" s="4">
        <f t="shared" si="48"/>
        <v>40</v>
      </c>
      <c r="S339" s="14">
        <f t="shared" si="49"/>
        <v>54.241029044318331</v>
      </c>
      <c r="T339" s="4">
        <f t="shared" si="50"/>
        <v>46.919780366947904</v>
      </c>
      <c r="U339" s="3">
        <f>LEN(A339) - LEN(SUBSTITUTE(A339,"&gt;","")) +1</f>
        <v>5</v>
      </c>
      <c r="V339" s="8">
        <f t="shared" si="51"/>
        <v>3.8263597926112991E-4</v>
      </c>
      <c r="W339" s="14">
        <f t="shared" si="52"/>
        <v>1053.2848466</v>
      </c>
      <c r="X339" s="4">
        <f t="shared" si="53"/>
        <v>7.2655745593659229E-5</v>
      </c>
    </row>
    <row r="340" spans="1:24" ht="14.25" customHeight="1" x14ac:dyDescent="0.2">
      <c r="A340" s="5" t="s">
        <v>522</v>
      </c>
      <c r="B340" s="3" t="s">
        <v>24</v>
      </c>
      <c r="C340" s="3" t="s">
        <v>32</v>
      </c>
      <c r="D340" s="3" t="s">
        <v>2357</v>
      </c>
      <c r="E340" s="3" t="s">
        <v>2358</v>
      </c>
      <c r="F340" s="3" t="s">
        <v>523</v>
      </c>
      <c r="G340" s="3" t="s">
        <v>22</v>
      </c>
      <c r="H340" s="3" t="s">
        <v>114</v>
      </c>
      <c r="I340" s="3">
        <v>25021</v>
      </c>
      <c r="J340" s="3">
        <v>5</v>
      </c>
      <c r="K340" s="3">
        <v>11084</v>
      </c>
      <c r="L340" s="3">
        <v>18079</v>
      </c>
      <c r="M340" s="3">
        <v>9</v>
      </c>
      <c r="N340" s="14">
        <v>4961.4788840000001</v>
      </c>
      <c r="O340" s="7">
        <f t="shared" si="45"/>
        <v>1.9983214100155869E-2</v>
      </c>
      <c r="P340" s="14">
        <f t="shared" si="46"/>
        <v>992.2957768</v>
      </c>
      <c r="Q340" s="14">
        <f t="shared" si="47"/>
        <v>551.27543155555554</v>
      </c>
      <c r="R340" s="4">
        <f t="shared" si="48"/>
        <v>180</v>
      </c>
      <c r="S340" s="14">
        <f t="shared" si="49"/>
        <v>274.43325869793682</v>
      </c>
      <c r="T340" s="4">
        <f t="shared" si="50"/>
        <v>44.298789017225531</v>
      </c>
      <c r="U340" s="3">
        <f>LEN(A340) - LEN(SUBSTITUTE(A340,"&gt;","")) +1</f>
        <v>4</v>
      </c>
      <c r="V340" s="8">
        <f t="shared" si="51"/>
        <v>7.1939570760561128E-3</v>
      </c>
      <c r="W340" s="14">
        <f t="shared" si="52"/>
        <v>1240.369721</v>
      </c>
      <c r="X340" s="4">
        <f t="shared" si="53"/>
        <v>6.5248301160062963E-3</v>
      </c>
    </row>
    <row r="341" spans="1:24" ht="14.25" customHeight="1" x14ac:dyDescent="0.2">
      <c r="A341" s="5" t="s">
        <v>1781</v>
      </c>
      <c r="B341" s="3" t="s">
        <v>14</v>
      </c>
      <c r="C341" s="3" t="s">
        <v>32</v>
      </c>
      <c r="D341" s="3" t="s">
        <v>2353</v>
      </c>
      <c r="E341" s="3" t="s">
        <v>2354</v>
      </c>
      <c r="F341" s="3" t="s">
        <v>266</v>
      </c>
      <c r="G341" s="3" t="s">
        <v>27</v>
      </c>
      <c r="H341" s="3" t="s">
        <v>19</v>
      </c>
      <c r="I341" s="3">
        <v>95289</v>
      </c>
      <c r="J341" s="3">
        <v>5</v>
      </c>
      <c r="K341" s="3">
        <v>19527</v>
      </c>
      <c r="L341" s="3">
        <v>82800</v>
      </c>
      <c r="M341" s="3">
        <v>2</v>
      </c>
      <c r="N341" s="14">
        <v>3223.5359480000002</v>
      </c>
      <c r="O341" s="7">
        <f t="shared" si="45"/>
        <v>5.2471953740725582E-3</v>
      </c>
      <c r="P341" s="14">
        <f t="shared" si="46"/>
        <v>644.70718959999999</v>
      </c>
      <c r="Q341" s="14">
        <f t="shared" si="47"/>
        <v>1611.7679740000001</v>
      </c>
      <c r="R341" s="4">
        <f t="shared" si="48"/>
        <v>40</v>
      </c>
      <c r="S341" s="14">
        <f t="shared" si="49"/>
        <v>38.93159357487923</v>
      </c>
      <c r="T341" s="4">
        <f t="shared" si="50"/>
        <v>20.492396813902968</v>
      </c>
      <c r="U341" s="3">
        <f>LEN(A341) - LEN(SUBSTITUTE(A341,"&gt;","")) +1</f>
        <v>5</v>
      </c>
      <c r="V341" s="8">
        <f t="shared" si="51"/>
        <v>4.1977562992580466E-4</v>
      </c>
      <c r="W341" s="14">
        <f t="shared" si="52"/>
        <v>644.70718959999999</v>
      </c>
      <c r="X341" s="4">
        <f t="shared" si="53"/>
        <v>1.3022210290108562E-4</v>
      </c>
    </row>
    <row r="342" spans="1:24" ht="14.25" customHeight="1" x14ac:dyDescent="0.2">
      <c r="A342" s="5" t="s">
        <v>1782</v>
      </c>
      <c r="B342" s="3" t="s">
        <v>24</v>
      </c>
      <c r="C342" s="3" t="s">
        <v>15</v>
      </c>
      <c r="D342" s="3" t="s">
        <v>2400</v>
      </c>
      <c r="E342" s="3" t="s">
        <v>2354</v>
      </c>
      <c r="F342" s="3" t="s">
        <v>250</v>
      </c>
      <c r="G342" s="3" t="s">
        <v>27</v>
      </c>
      <c r="H342" s="3" t="s">
        <v>19</v>
      </c>
      <c r="I342" s="3">
        <v>15449</v>
      </c>
      <c r="J342" s="3">
        <v>5</v>
      </c>
      <c r="K342" s="3">
        <v>4595</v>
      </c>
      <c r="L342" s="3">
        <v>13765</v>
      </c>
      <c r="M342" s="3">
        <v>1</v>
      </c>
      <c r="N342" s="14">
        <v>3122.9425740000001</v>
      </c>
      <c r="O342" s="7">
        <f t="shared" si="45"/>
        <v>3.236455434008674E-2</v>
      </c>
      <c r="P342" s="14">
        <f t="shared" si="46"/>
        <v>624.58851479999998</v>
      </c>
      <c r="Q342" s="14">
        <f t="shared" si="47"/>
        <v>3122.9425740000001</v>
      </c>
      <c r="R342" s="4">
        <f t="shared" si="48"/>
        <v>20</v>
      </c>
      <c r="S342" s="14">
        <f t="shared" si="49"/>
        <v>226.87559564111879</v>
      </c>
      <c r="T342" s="4">
        <f t="shared" si="50"/>
        <v>29.743025438539711</v>
      </c>
      <c r="U342" s="3">
        <f>LEN(A342) - LEN(SUBSTITUTE(A342,"&gt;","")) +1</f>
        <v>5</v>
      </c>
      <c r="V342" s="8">
        <f t="shared" si="51"/>
        <v>1.2945821736034696E-3</v>
      </c>
      <c r="W342" s="14">
        <f t="shared" si="52"/>
        <v>624.58851479999998</v>
      </c>
      <c r="X342" s="4">
        <f t="shared" si="53"/>
        <v>2.0726960917909429E-4</v>
      </c>
    </row>
    <row r="343" spans="1:24" ht="14.25" customHeight="1" x14ac:dyDescent="0.2">
      <c r="A343" s="5" t="s">
        <v>1783</v>
      </c>
      <c r="B343" s="3" t="s">
        <v>14</v>
      </c>
      <c r="C343" s="3" t="s">
        <v>32</v>
      </c>
      <c r="D343" s="3" t="s">
        <v>2359</v>
      </c>
      <c r="E343" s="3" t="s">
        <v>2360</v>
      </c>
      <c r="F343" s="3" t="s">
        <v>40</v>
      </c>
      <c r="G343" s="3" t="s">
        <v>27</v>
      </c>
      <c r="H343" s="3" t="s">
        <v>19</v>
      </c>
      <c r="I343" s="3">
        <v>58738</v>
      </c>
      <c r="J343" s="3">
        <v>5</v>
      </c>
      <c r="K343" s="3">
        <v>33538</v>
      </c>
      <c r="L343" s="3">
        <v>47535</v>
      </c>
      <c r="M343" s="3">
        <v>14</v>
      </c>
      <c r="N343" s="14">
        <v>2801.584386</v>
      </c>
      <c r="O343" s="7">
        <f t="shared" si="45"/>
        <v>8.5123769961524057E-3</v>
      </c>
      <c r="P343" s="14">
        <f t="shared" si="46"/>
        <v>560.31687720000002</v>
      </c>
      <c r="Q343" s="14">
        <f t="shared" si="47"/>
        <v>200.11317042857144</v>
      </c>
      <c r="R343" s="4">
        <f t="shared" si="48"/>
        <v>280</v>
      </c>
      <c r="S343" s="14">
        <f t="shared" si="49"/>
        <v>58.937296434206374</v>
      </c>
      <c r="T343" s="4">
        <f t="shared" si="50"/>
        <v>57.097619939391876</v>
      </c>
      <c r="U343" s="3">
        <f>LEN(A343) - LEN(SUBSTITUTE(A343,"&gt;","")) +1</f>
        <v>4</v>
      </c>
      <c r="V343" s="8">
        <f t="shared" si="51"/>
        <v>4.7669311178453475E-3</v>
      </c>
      <c r="W343" s="14">
        <f t="shared" si="52"/>
        <v>700.3960965</v>
      </c>
      <c r="X343" s="4">
        <f t="shared" si="53"/>
        <v>1.1910588162778771E-2</v>
      </c>
    </row>
    <row r="344" spans="1:24" ht="14.25" customHeight="1" x14ac:dyDescent="0.2">
      <c r="A344" s="5" t="s">
        <v>527</v>
      </c>
      <c r="B344" s="3" t="s">
        <v>14</v>
      </c>
      <c r="C344" s="3" t="s">
        <v>15</v>
      </c>
      <c r="D344" s="3" t="s">
        <v>2357</v>
      </c>
      <c r="E344" s="3" t="s">
        <v>2358</v>
      </c>
      <c r="F344" s="3" t="s">
        <v>17</v>
      </c>
      <c r="G344" s="3" t="s">
        <v>50</v>
      </c>
      <c r="H344" s="3" t="s">
        <v>19</v>
      </c>
      <c r="I344" s="3">
        <v>3354</v>
      </c>
      <c r="J344" s="3">
        <v>5</v>
      </c>
      <c r="K344" s="3">
        <v>1607</v>
      </c>
      <c r="L344" s="3">
        <v>3014</v>
      </c>
      <c r="M344" s="3">
        <v>13</v>
      </c>
      <c r="N344" s="14">
        <v>2610.7940979999998</v>
      </c>
      <c r="O344" s="7">
        <f t="shared" si="45"/>
        <v>0.1490757304710793</v>
      </c>
      <c r="P344" s="14">
        <f t="shared" si="46"/>
        <v>522.15881960000002</v>
      </c>
      <c r="Q344" s="14">
        <f t="shared" si="47"/>
        <v>200.83031523076923</v>
      </c>
      <c r="R344" s="4">
        <f t="shared" si="48"/>
        <v>260</v>
      </c>
      <c r="S344" s="14">
        <f t="shared" si="49"/>
        <v>866.22232846715315</v>
      </c>
      <c r="T344" s="4">
        <f t="shared" si="50"/>
        <v>47.912939773404887</v>
      </c>
      <c r="U344" s="3">
        <f>LEN(A344) - LEN(SUBSTITUTE(A344,"&gt;","")) +1</f>
        <v>1</v>
      </c>
      <c r="V344" s="8">
        <f t="shared" si="51"/>
        <v>7.7519379844961239E-2</v>
      </c>
      <c r="W344" s="14">
        <f t="shared" si="52"/>
        <v>2610.7940979999998</v>
      </c>
      <c r="X344" s="4">
        <f t="shared" si="53"/>
        <v>0.19299720701002138</v>
      </c>
    </row>
    <row r="345" spans="1:24" ht="14.25" customHeight="1" x14ac:dyDescent="0.2">
      <c r="A345" s="5" t="s">
        <v>1784</v>
      </c>
      <c r="B345" s="3" t="s">
        <v>68</v>
      </c>
      <c r="C345" s="3" t="s">
        <v>15</v>
      </c>
      <c r="D345" s="3" t="s">
        <v>2370</v>
      </c>
      <c r="E345" s="3" t="s">
        <v>2360</v>
      </c>
      <c r="F345" s="3" t="s">
        <v>529</v>
      </c>
      <c r="G345" s="3" t="s">
        <v>27</v>
      </c>
      <c r="H345" s="3" t="s">
        <v>19</v>
      </c>
      <c r="I345" s="3">
        <v>15602</v>
      </c>
      <c r="J345" s="3">
        <v>5</v>
      </c>
      <c r="K345" s="3">
        <v>7676</v>
      </c>
      <c r="L345" s="3">
        <v>13775</v>
      </c>
      <c r="M345" s="3">
        <v>1</v>
      </c>
      <c r="N345" s="14">
        <v>2600.894327</v>
      </c>
      <c r="O345" s="7">
        <f t="shared" si="45"/>
        <v>3.2047173439302655E-2</v>
      </c>
      <c r="P345" s="14">
        <f t="shared" si="46"/>
        <v>520.17886539999995</v>
      </c>
      <c r="Q345" s="14">
        <f t="shared" si="47"/>
        <v>2600.894327</v>
      </c>
      <c r="R345" s="4">
        <f t="shared" si="48"/>
        <v>20</v>
      </c>
      <c r="S345" s="14">
        <f t="shared" si="49"/>
        <v>188.81265531760437</v>
      </c>
      <c r="T345" s="4">
        <f t="shared" si="50"/>
        <v>49.198820664017433</v>
      </c>
      <c r="U345" s="3">
        <f>LEN(A345) - LEN(SUBSTITUTE(A345,"&gt;","")) +1</f>
        <v>4</v>
      </c>
      <c r="V345" s="8">
        <f t="shared" si="51"/>
        <v>1.2818869375721062E-3</v>
      </c>
      <c r="W345" s="14">
        <f t="shared" si="52"/>
        <v>650.22358174999999</v>
      </c>
      <c r="X345" s="4">
        <f t="shared" si="53"/>
        <v>2.4643195309105424E-4</v>
      </c>
    </row>
    <row r="346" spans="1:24" ht="14.25" customHeight="1" x14ac:dyDescent="0.2">
      <c r="A346" s="5" t="s">
        <v>1785</v>
      </c>
      <c r="B346" s="3" t="s">
        <v>14</v>
      </c>
      <c r="C346" s="3" t="s">
        <v>15</v>
      </c>
      <c r="D346" s="3" t="s">
        <v>2357</v>
      </c>
      <c r="E346" s="3" t="s">
        <v>2358</v>
      </c>
      <c r="F346" s="3" t="s">
        <v>79</v>
      </c>
      <c r="G346" s="3" t="s">
        <v>27</v>
      </c>
      <c r="H346" s="3" t="s">
        <v>19</v>
      </c>
      <c r="I346" s="3">
        <v>68008</v>
      </c>
      <c r="J346" s="3">
        <v>5</v>
      </c>
      <c r="K346" s="3">
        <v>2996</v>
      </c>
      <c r="L346" s="3">
        <v>49686</v>
      </c>
      <c r="M346" s="3">
        <v>9</v>
      </c>
      <c r="N346" s="14">
        <v>1923.808141</v>
      </c>
      <c r="O346" s="7">
        <f t="shared" si="45"/>
        <v>7.3520762263263144E-3</v>
      </c>
      <c r="P346" s="14">
        <f t="shared" si="46"/>
        <v>384.76162820000002</v>
      </c>
      <c r="Q346" s="14">
        <f t="shared" si="47"/>
        <v>213.7564601111111</v>
      </c>
      <c r="R346" s="4">
        <f t="shared" si="48"/>
        <v>180</v>
      </c>
      <c r="S346" s="14">
        <f t="shared" si="49"/>
        <v>38.719320150545428</v>
      </c>
      <c r="T346" s="4">
        <f t="shared" si="50"/>
        <v>4.4053640748147282</v>
      </c>
      <c r="U346" s="3">
        <f>LEN(A346) - LEN(SUBSTITUTE(A346,"&gt;","")) +1</f>
        <v>5</v>
      </c>
      <c r="V346" s="8">
        <f t="shared" si="51"/>
        <v>2.6467474414774731E-3</v>
      </c>
      <c r="W346" s="14">
        <f t="shared" si="52"/>
        <v>384.76162820000002</v>
      </c>
      <c r="X346" s="4">
        <f t="shared" si="53"/>
        <v>6.1910349752744027E-3</v>
      </c>
    </row>
    <row r="347" spans="1:24" ht="14.25" customHeight="1" x14ac:dyDescent="0.2">
      <c r="A347" s="5" t="s">
        <v>1786</v>
      </c>
      <c r="B347" s="3" t="s">
        <v>14</v>
      </c>
      <c r="C347" s="3" t="s">
        <v>15</v>
      </c>
      <c r="D347" s="3" t="s">
        <v>2401</v>
      </c>
      <c r="E347" s="3" t="s">
        <v>2375</v>
      </c>
      <c r="F347" s="3" t="s">
        <v>533</v>
      </c>
      <c r="G347" s="3" t="s">
        <v>81</v>
      </c>
      <c r="H347" s="3" t="s">
        <v>19</v>
      </c>
      <c r="I347" s="3">
        <v>3985</v>
      </c>
      <c r="J347" s="3">
        <v>5</v>
      </c>
      <c r="K347" s="3">
        <v>2690</v>
      </c>
      <c r="L347" s="3">
        <v>3766</v>
      </c>
      <c r="M347" s="3">
        <v>15</v>
      </c>
      <c r="N347" s="14">
        <v>1849.6113210000001</v>
      </c>
      <c r="O347" s="7">
        <f t="shared" si="45"/>
        <v>0.12547051442910914</v>
      </c>
      <c r="P347" s="14">
        <f t="shared" si="46"/>
        <v>369.92226420000003</v>
      </c>
      <c r="Q347" s="14">
        <f t="shared" si="47"/>
        <v>123.30742140000001</v>
      </c>
      <c r="R347" s="4">
        <f t="shared" si="48"/>
        <v>300</v>
      </c>
      <c r="S347" s="14">
        <f t="shared" si="49"/>
        <v>491.13417976633036</v>
      </c>
      <c r="T347" s="4">
        <f t="shared" si="50"/>
        <v>67.50313676286072</v>
      </c>
      <c r="U347" s="3">
        <f>LEN(A347) - LEN(SUBSTITUTE(A347,"&gt;","")) +1</f>
        <v>4</v>
      </c>
      <c r="V347" s="8">
        <f t="shared" si="51"/>
        <v>7.5282308657465491E-2</v>
      </c>
      <c r="W347" s="14">
        <f t="shared" si="52"/>
        <v>462.40283025000002</v>
      </c>
      <c r="X347" s="4">
        <f t="shared" si="53"/>
        <v>0.30526268331106909</v>
      </c>
    </row>
    <row r="348" spans="1:24" ht="14.25" customHeight="1" x14ac:dyDescent="0.2">
      <c r="A348" s="5" t="s">
        <v>1787</v>
      </c>
      <c r="B348" s="3" t="s">
        <v>14</v>
      </c>
      <c r="C348" s="3" t="s">
        <v>29</v>
      </c>
      <c r="D348" s="3" t="s">
        <v>2363</v>
      </c>
      <c r="E348" s="3" t="s">
        <v>2358</v>
      </c>
      <c r="F348" s="3" t="s">
        <v>535</v>
      </c>
      <c r="G348" s="3" t="s">
        <v>27</v>
      </c>
      <c r="H348" s="3" t="s">
        <v>19</v>
      </c>
      <c r="I348" s="3">
        <v>11025</v>
      </c>
      <c r="J348" s="3">
        <v>5</v>
      </c>
      <c r="K348" s="3">
        <v>7974</v>
      </c>
      <c r="L348" s="3">
        <v>10311</v>
      </c>
      <c r="M348" s="3">
        <v>4</v>
      </c>
      <c r="N348" s="14">
        <v>1657.159766</v>
      </c>
      <c r="O348" s="7">
        <f t="shared" si="45"/>
        <v>4.5351473922902494E-2</v>
      </c>
      <c r="P348" s="14">
        <f t="shared" si="46"/>
        <v>331.43195320000001</v>
      </c>
      <c r="Q348" s="14">
        <f t="shared" si="47"/>
        <v>414.2899415</v>
      </c>
      <c r="R348" s="4">
        <f t="shared" si="48"/>
        <v>80</v>
      </c>
      <c r="S348" s="14">
        <f t="shared" si="49"/>
        <v>160.71765745320533</v>
      </c>
      <c r="T348" s="4">
        <f t="shared" si="50"/>
        <v>72.326530612244895</v>
      </c>
      <c r="U348" s="3">
        <f>LEN(A348) - LEN(SUBSTITUTE(A348,"&gt;","")) +1</f>
        <v>4</v>
      </c>
      <c r="V348" s="8">
        <f t="shared" si="51"/>
        <v>7.2562358276643995E-3</v>
      </c>
      <c r="W348" s="14">
        <f t="shared" si="52"/>
        <v>414.2899415</v>
      </c>
      <c r="X348" s="4">
        <f t="shared" si="53"/>
        <v>8.7574366413436071E-3</v>
      </c>
    </row>
    <row r="349" spans="1:24" ht="14.25" customHeight="1" x14ac:dyDescent="0.2">
      <c r="A349" s="5" t="s">
        <v>1788</v>
      </c>
      <c r="B349" s="3" t="s">
        <v>24</v>
      </c>
      <c r="C349" s="3" t="s">
        <v>29</v>
      </c>
      <c r="D349" s="3" t="s">
        <v>2381</v>
      </c>
      <c r="E349" s="3" t="s">
        <v>2365</v>
      </c>
      <c r="F349" s="3" t="s">
        <v>263</v>
      </c>
      <c r="G349" s="3" t="s">
        <v>27</v>
      </c>
      <c r="H349" s="3" t="s">
        <v>163</v>
      </c>
      <c r="I349" s="3">
        <v>16236</v>
      </c>
      <c r="J349" s="3">
        <v>5</v>
      </c>
      <c r="K349" s="3">
        <v>8669</v>
      </c>
      <c r="L349" s="3">
        <v>15208</v>
      </c>
      <c r="M349" s="3">
        <v>11</v>
      </c>
      <c r="N349" s="14">
        <v>1639.8136959999999</v>
      </c>
      <c r="O349" s="7">
        <f t="shared" si="45"/>
        <v>3.0795762503079575E-2</v>
      </c>
      <c r="P349" s="14">
        <f t="shared" si="46"/>
        <v>327.96273919999999</v>
      </c>
      <c r="Q349" s="14">
        <f t="shared" si="47"/>
        <v>149.07397236363636</v>
      </c>
      <c r="R349" s="4">
        <f t="shared" si="48"/>
        <v>220.00000000000003</v>
      </c>
      <c r="S349" s="14">
        <f t="shared" si="49"/>
        <v>107.82572961599158</v>
      </c>
      <c r="T349" s="4">
        <f t="shared" si="50"/>
        <v>53.393693027839376</v>
      </c>
      <c r="U349" s="3">
        <f>LEN(A349) - LEN(SUBSTITUTE(A349,"&gt;","")) +1</f>
        <v>3</v>
      </c>
      <c r="V349" s="8">
        <f t="shared" si="51"/>
        <v>1.3550135501355016E-2</v>
      </c>
      <c r="W349" s="14">
        <f t="shared" si="52"/>
        <v>546.60456533333331</v>
      </c>
      <c r="X349" s="4">
        <f t="shared" si="53"/>
        <v>4.5447690453643212E-2</v>
      </c>
    </row>
    <row r="350" spans="1:24" ht="14.25" customHeight="1" x14ac:dyDescent="0.2">
      <c r="A350" s="5" t="s">
        <v>1789</v>
      </c>
      <c r="B350" s="3" t="s">
        <v>14</v>
      </c>
      <c r="C350" s="3" t="s">
        <v>35</v>
      </c>
      <c r="D350" s="3" t="s">
        <v>2353</v>
      </c>
      <c r="E350" s="3" t="s">
        <v>2354</v>
      </c>
      <c r="F350" s="3" t="s">
        <v>72</v>
      </c>
      <c r="G350" s="3" t="s">
        <v>22</v>
      </c>
      <c r="H350" s="3" t="s">
        <v>19</v>
      </c>
      <c r="I350" s="3">
        <v>87287</v>
      </c>
      <c r="J350" s="3">
        <v>5</v>
      </c>
      <c r="K350" s="3">
        <v>40039</v>
      </c>
      <c r="L350" s="3">
        <v>80040</v>
      </c>
      <c r="M350" s="3">
        <v>18</v>
      </c>
      <c r="N350" s="14">
        <v>1579.367346</v>
      </c>
      <c r="O350" s="7">
        <f t="shared" si="45"/>
        <v>5.7282298624079181E-3</v>
      </c>
      <c r="P350" s="14">
        <f t="shared" si="46"/>
        <v>315.87346919999999</v>
      </c>
      <c r="Q350" s="14">
        <f t="shared" si="47"/>
        <v>87.742630333333338</v>
      </c>
      <c r="R350" s="4">
        <f t="shared" si="48"/>
        <v>360</v>
      </c>
      <c r="S350" s="14">
        <f t="shared" si="49"/>
        <v>19.732225712143929</v>
      </c>
      <c r="T350" s="4">
        <f t="shared" si="50"/>
        <v>45.870519092190129</v>
      </c>
      <c r="U350" s="3">
        <f>LEN(A350) - LEN(SUBSTITUTE(A350,"&gt;","")) +1</f>
        <v>4</v>
      </c>
      <c r="V350" s="8">
        <f t="shared" si="51"/>
        <v>4.1243255009337015E-3</v>
      </c>
      <c r="W350" s="14">
        <f t="shared" si="52"/>
        <v>394.8418365</v>
      </c>
      <c r="X350" s="4">
        <f t="shared" si="53"/>
        <v>2.3502404049579047E-2</v>
      </c>
    </row>
    <row r="351" spans="1:24" ht="14.25" customHeight="1" x14ac:dyDescent="0.2">
      <c r="A351" s="5" t="s">
        <v>1790</v>
      </c>
      <c r="B351" s="3" t="s">
        <v>14</v>
      </c>
      <c r="C351" s="3" t="s">
        <v>15</v>
      </c>
      <c r="D351" s="3" t="s">
        <v>2353</v>
      </c>
      <c r="E351" s="3" t="s">
        <v>2354</v>
      </c>
      <c r="F351" s="3" t="s">
        <v>17</v>
      </c>
      <c r="G351" s="3" t="s">
        <v>27</v>
      </c>
      <c r="H351" s="3" t="s">
        <v>19</v>
      </c>
      <c r="I351" s="3">
        <v>21478</v>
      </c>
      <c r="J351" s="3">
        <v>5</v>
      </c>
      <c r="K351" s="3">
        <v>15548</v>
      </c>
      <c r="L351" s="3">
        <v>20651</v>
      </c>
      <c r="M351" s="3">
        <v>24</v>
      </c>
      <c r="N351" s="14">
        <v>1541.2140469999999</v>
      </c>
      <c r="O351" s="7">
        <f t="shared" si="45"/>
        <v>2.3279634975323586E-2</v>
      </c>
      <c r="P351" s="14">
        <f t="shared" si="46"/>
        <v>308.2428094</v>
      </c>
      <c r="Q351" s="14">
        <f t="shared" si="47"/>
        <v>64.217251958333335</v>
      </c>
      <c r="R351" s="4">
        <f t="shared" si="48"/>
        <v>480</v>
      </c>
      <c r="S351" s="14">
        <f t="shared" si="49"/>
        <v>74.631448694978459</v>
      </c>
      <c r="T351" s="4">
        <f t="shared" si="50"/>
        <v>72.390352919266221</v>
      </c>
      <c r="U351" s="3">
        <f>LEN(A351) - LEN(SUBSTITUTE(A351,"&gt;","")) +1</f>
        <v>4</v>
      </c>
      <c r="V351" s="8">
        <f t="shared" si="51"/>
        <v>2.2348449576310644E-2</v>
      </c>
      <c r="W351" s="14">
        <f t="shared" si="52"/>
        <v>385.30351174999998</v>
      </c>
      <c r="X351" s="4">
        <f t="shared" si="53"/>
        <v>0.1740065861959586</v>
      </c>
    </row>
    <row r="352" spans="1:24" ht="14.25" customHeight="1" x14ac:dyDescent="0.2">
      <c r="A352" s="5" t="s">
        <v>1791</v>
      </c>
      <c r="B352" s="3" t="s">
        <v>14</v>
      </c>
      <c r="C352" s="3" t="s">
        <v>29</v>
      </c>
      <c r="D352" s="3" t="s">
        <v>2359</v>
      </c>
      <c r="E352" s="3" t="s">
        <v>2360</v>
      </c>
      <c r="F352" s="3" t="s">
        <v>540</v>
      </c>
      <c r="G352" s="3" t="s">
        <v>22</v>
      </c>
      <c r="H352" s="3" t="s">
        <v>19</v>
      </c>
      <c r="I352" s="3">
        <v>17561</v>
      </c>
      <c r="J352" s="3">
        <v>5</v>
      </c>
      <c r="K352" s="3">
        <v>2960</v>
      </c>
      <c r="L352" s="3">
        <v>9953</v>
      </c>
      <c r="M352" s="3">
        <v>10</v>
      </c>
      <c r="N352" s="14">
        <v>1519.90401</v>
      </c>
      <c r="O352" s="7">
        <f t="shared" si="45"/>
        <v>2.847218267752406E-2</v>
      </c>
      <c r="P352" s="14">
        <f t="shared" si="46"/>
        <v>303.98080199999998</v>
      </c>
      <c r="Q352" s="14">
        <f t="shared" si="47"/>
        <v>151.99040099999999</v>
      </c>
      <c r="R352" s="4">
        <f t="shared" si="48"/>
        <v>200</v>
      </c>
      <c r="S352" s="14">
        <f t="shared" si="49"/>
        <v>152.7081292072742</v>
      </c>
      <c r="T352" s="4">
        <f t="shared" si="50"/>
        <v>16.855532145094244</v>
      </c>
      <c r="U352" s="3">
        <f>LEN(A352) - LEN(SUBSTITUTE(A352,"&gt;","")) +1</f>
        <v>5</v>
      </c>
      <c r="V352" s="8">
        <f t="shared" si="51"/>
        <v>1.1388873071009624E-2</v>
      </c>
      <c r="W352" s="14">
        <f t="shared" si="52"/>
        <v>303.98080199999998</v>
      </c>
      <c r="X352" s="4">
        <f t="shared" si="53"/>
        <v>3.7465764272210926E-2</v>
      </c>
    </row>
    <row r="353" spans="1:24" ht="14.25" customHeight="1" x14ac:dyDescent="0.2">
      <c r="A353" s="5" t="s">
        <v>1792</v>
      </c>
      <c r="B353" s="3" t="s">
        <v>24</v>
      </c>
      <c r="C353" s="3" t="s">
        <v>32</v>
      </c>
      <c r="D353" s="3" t="s">
        <v>2378</v>
      </c>
      <c r="E353" s="3" t="s">
        <v>2352</v>
      </c>
      <c r="F353" s="3" t="s">
        <v>191</v>
      </c>
      <c r="G353" s="3" t="s">
        <v>50</v>
      </c>
      <c r="H353" s="3" t="s">
        <v>114</v>
      </c>
      <c r="I353" s="3">
        <v>74426</v>
      </c>
      <c r="J353" s="3">
        <v>5</v>
      </c>
      <c r="K353" s="3">
        <v>39257</v>
      </c>
      <c r="L353" s="3">
        <v>67151</v>
      </c>
      <c r="M353" s="3">
        <v>15</v>
      </c>
      <c r="N353" s="14">
        <v>1519.596552</v>
      </c>
      <c r="O353" s="7">
        <f t="shared" si="45"/>
        <v>6.7180823905624376E-3</v>
      </c>
      <c r="P353" s="14">
        <f t="shared" si="46"/>
        <v>303.91931039999997</v>
      </c>
      <c r="Q353" s="14">
        <f t="shared" si="47"/>
        <v>101.3064368</v>
      </c>
      <c r="R353" s="4">
        <f t="shared" si="48"/>
        <v>300</v>
      </c>
      <c r="S353" s="14">
        <f t="shared" si="49"/>
        <v>22.629544638203448</v>
      </c>
      <c r="T353" s="4">
        <f t="shared" si="50"/>
        <v>52.746352081261925</v>
      </c>
      <c r="U353" s="3">
        <f>LEN(A353) - LEN(SUBSTITUTE(A353,"&gt;","")) +1</f>
        <v>5</v>
      </c>
      <c r="V353" s="8">
        <f t="shared" si="51"/>
        <v>4.0308494343374631E-3</v>
      </c>
      <c r="W353" s="14">
        <f t="shared" si="52"/>
        <v>303.91931039999997</v>
      </c>
      <c r="X353" s="4">
        <f t="shared" si="53"/>
        <v>1.9894340190323736E-2</v>
      </c>
    </row>
    <row r="354" spans="1:24" ht="14.25" customHeight="1" x14ac:dyDescent="0.2">
      <c r="A354" s="5" t="s">
        <v>1793</v>
      </c>
      <c r="B354" s="3" t="s">
        <v>14</v>
      </c>
      <c r="C354" s="3" t="s">
        <v>32</v>
      </c>
      <c r="D354" s="3" t="s">
        <v>2357</v>
      </c>
      <c r="E354" s="3" t="s">
        <v>2358</v>
      </c>
      <c r="F354" s="3" t="s">
        <v>543</v>
      </c>
      <c r="G354" s="3" t="s">
        <v>27</v>
      </c>
      <c r="H354" s="3" t="s">
        <v>19</v>
      </c>
      <c r="I354" s="3">
        <v>318269</v>
      </c>
      <c r="J354" s="3">
        <v>4</v>
      </c>
      <c r="K354" s="3">
        <v>33355</v>
      </c>
      <c r="L354" s="3">
        <v>295405</v>
      </c>
      <c r="M354" s="3">
        <v>44</v>
      </c>
      <c r="N354" s="14">
        <v>7854.7319909999997</v>
      </c>
      <c r="O354" s="7">
        <f t="shared" si="45"/>
        <v>1.2567984943554038E-3</v>
      </c>
      <c r="P354" s="14">
        <f t="shared" si="46"/>
        <v>1963.6829977499999</v>
      </c>
      <c r="Q354" s="14">
        <f t="shared" si="47"/>
        <v>178.51663615909089</v>
      </c>
      <c r="R354" s="4">
        <f t="shared" si="48"/>
        <v>1100</v>
      </c>
      <c r="S354" s="14">
        <f t="shared" si="49"/>
        <v>26.589705627866827</v>
      </c>
      <c r="T354" s="4">
        <f t="shared" si="50"/>
        <v>10.480128444806123</v>
      </c>
      <c r="U354" s="3">
        <f>LEN(A354) - LEN(SUBSTITUTE(A354,"&gt;","")) +1</f>
        <v>5</v>
      </c>
      <c r="V354" s="8">
        <f t="shared" si="51"/>
        <v>3.4561958594773604E-3</v>
      </c>
      <c r="W354" s="14">
        <f t="shared" si="52"/>
        <v>1570.9463982</v>
      </c>
      <c r="X354" s="4">
        <f t="shared" si="53"/>
        <v>7.7442549531288717E-3</v>
      </c>
    </row>
    <row r="355" spans="1:24" ht="14.25" customHeight="1" x14ac:dyDescent="0.2">
      <c r="A355" s="5" t="s">
        <v>1794</v>
      </c>
      <c r="B355" s="3" t="s">
        <v>68</v>
      </c>
      <c r="C355" s="3" t="s">
        <v>29</v>
      </c>
      <c r="D355" s="3" t="s">
        <v>2353</v>
      </c>
      <c r="E355" s="3" t="s">
        <v>2354</v>
      </c>
      <c r="F355" s="3" t="s">
        <v>349</v>
      </c>
      <c r="G355" s="3" t="s">
        <v>27</v>
      </c>
      <c r="H355" s="3" t="s">
        <v>19</v>
      </c>
      <c r="I355" s="3">
        <v>19461</v>
      </c>
      <c r="J355" s="3">
        <v>4</v>
      </c>
      <c r="K355" s="3">
        <v>14647</v>
      </c>
      <c r="L355" s="3">
        <v>18731</v>
      </c>
      <c r="M355" s="3">
        <v>1</v>
      </c>
      <c r="N355" s="14">
        <v>7311.9987499999997</v>
      </c>
      <c r="O355" s="7">
        <f t="shared" si="45"/>
        <v>2.0553928369559632E-2</v>
      </c>
      <c r="P355" s="14">
        <f t="shared" si="46"/>
        <v>1827.9996874999999</v>
      </c>
      <c r="Q355" s="14">
        <f t="shared" si="47"/>
        <v>7311.9987499999997</v>
      </c>
      <c r="R355" s="4">
        <f t="shared" si="48"/>
        <v>25</v>
      </c>
      <c r="S355" s="14">
        <f t="shared" si="49"/>
        <v>390.36884042496393</v>
      </c>
      <c r="T355" s="4">
        <f t="shared" si="50"/>
        <v>75.263347207234986</v>
      </c>
      <c r="U355" s="3">
        <f>LEN(A355) - LEN(SUBSTITUTE(A355,"&gt;","")) +1</f>
        <v>5</v>
      </c>
      <c r="V355" s="8">
        <f t="shared" si="51"/>
        <v>1.284620523097477E-3</v>
      </c>
      <c r="W355" s="14">
        <f t="shared" si="52"/>
        <v>1462.39975</v>
      </c>
      <c r="X355" s="4">
        <f t="shared" si="53"/>
        <v>7.0274657697252859E-5</v>
      </c>
    </row>
    <row r="356" spans="1:24" ht="14.25" customHeight="1" x14ac:dyDescent="0.2">
      <c r="A356" s="5" t="s">
        <v>1795</v>
      </c>
      <c r="B356" s="3" t="s">
        <v>24</v>
      </c>
      <c r="C356" s="3" t="s">
        <v>35</v>
      </c>
      <c r="D356" s="3" t="s">
        <v>2349</v>
      </c>
      <c r="E356" s="3" t="s">
        <v>2350</v>
      </c>
      <c r="F356" s="3" t="s">
        <v>546</v>
      </c>
      <c r="G356" s="3" t="s">
        <v>41</v>
      </c>
      <c r="H356" s="3" t="s">
        <v>114</v>
      </c>
      <c r="I356" s="3">
        <v>19379</v>
      </c>
      <c r="J356" s="3">
        <v>4</v>
      </c>
      <c r="K356" s="3">
        <v>12168</v>
      </c>
      <c r="L356" s="3">
        <v>16616</v>
      </c>
      <c r="M356" s="3">
        <v>97</v>
      </c>
      <c r="N356" s="14">
        <v>7294.1000009999998</v>
      </c>
      <c r="O356" s="7">
        <f t="shared" si="45"/>
        <v>2.0640899943237527E-2</v>
      </c>
      <c r="P356" s="14">
        <f t="shared" si="46"/>
        <v>1823.5250002499999</v>
      </c>
      <c r="Q356" s="14">
        <f t="shared" si="47"/>
        <v>75.196907226804115</v>
      </c>
      <c r="R356" s="4">
        <f t="shared" si="48"/>
        <v>2425</v>
      </c>
      <c r="S356" s="14">
        <f t="shared" si="49"/>
        <v>438.98050078237844</v>
      </c>
      <c r="T356" s="4">
        <f t="shared" si="50"/>
        <v>62.789617627328553</v>
      </c>
      <c r="U356" s="3">
        <f>LEN(A356) - LEN(SUBSTITUTE(A356,"&gt;","")) +1</f>
        <v>5</v>
      </c>
      <c r="V356" s="8">
        <f t="shared" si="51"/>
        <v>0.12513545590587749</v>
      </c>
      <c r="W356" s="14">
        <f t="shared" si="52"/>
        <v>1458.8200001999999</v>
      </c>
      <c r="X356" s="4">
        <f t="shared" si="53"/>
        <v>0.66564150319880533</v>
      </c>
    </row>
    <row r="357" spans="1:24" ht="14.25" customHeight="1" x14ac:dyDescent="0.2">
      <c r="A357" s="5" t="s">
        <v>1796</v>
      </c>
      <c r="B357" s="3" t="s">
        <v>14</v>
      </c>
      <c r="C357" s="3" t="s">
        <v>32</v>
      </c>
      <c r="D357" s="3" t="s">
        <v>2349</v>
      </c>
      <c r="E357" s="3" t="s">
        <v>2350</v>
      </c>
      <c r="F357" s="3" t="s">
        <v>379</v>
      </c>
      <c r="G357" s="3" t="s">
        <v>81</v>
      </c>
      <c r="H357" s="3" t="s">
        <v>19</v>
      </c>
      <c r="I357" s="3">
        <v>19334</v>
      </c>
      <c r="J357" s="3">
        <v>4</v>
      </c>
      <c r="K357" s="3">
        <v>8673</v>
      </c>
      <c r="L357" s="3">
        <v>18578</v>
      </c>
      <c r="M357" s="3">
        <v>11</v>
      </c>
      <c r="N357" s="14">
        <v>7292.1350590000002</v>
      </c>
      <c r="O357" s="7">
        <f t="shared" si="45"/>
        <v>2.0688941760628944E-2</v>
      </c>
      <c r="P357" s="14">
        <f t="shared" si="46"/>
        <v>1823.03376475</v>
      </c>
      <c r="Q357" s="14">
        <f t="shared" si="47"/>
        <v>662.92136900000003</v>
      </c>
      <c r="R357" s="4">
        <f t="shared" si="48"/>
        <v>275</v>
      </c>
      <c r="S357" s="14">
        <f t="shared" si="49"/>
        <v>392.51453649477878</v>
      </c>
      <c r="T357" s="4">
        <f t="shared" si="50"/>
        <v>44.858797972483707</v>
      </c>
      <c r="U357" s="3">
        <f>LEN(A357) - LEN(SUBSTITUTE(A357,"&gt;","")) +1</f>
        <v>5</v>
      </c>
      <c r="V357" s="8">
        <f t="shared" si="51"/>
        <v>1.42236474604324E-2</v>
      </c>
      <c r="W357" s="14">
        <f t="shared" si="52"/>
        <v>1458.4270117999999</v>
      </c>
      <c r="X357" s="4">
        <f t="shared" si="53"/>
        <v>8.5824039625625025E-3</v>
      </c>
    </row>
    <row r="358" spans="1:24" ht="14.25" customHeight="1" x14ac:dyDescent="0.2">
      <c r="A358" s="5" t="s">
        <v>1797</v>
      </c>
      <c r="B358" s="3" t="s">
        <v>24</v>
      </c>
      <c r="C358" s="3" t="s">
        <v>15</v>
      </c>
      <c r="D358" s="3" t="s">
        <v>2353</v>
      </c>
      <c r="E358" s="3" t="s">
        <v>2354</v>
      </c>
      <c r="F358" s="3" t="s">
        <v>549</v>
      </c>
      <c r="G358" s="3" t="s">
        <v>22</v>
      </c>
      <c r="H358" s="3" t="s">
        <v>19</v>
      </c>
      <c r="I358" s="3">
        <v>8362</v>
      </c>
      <c r="J358" s="3">
        <v>4</v>
      </c>
      <c r="K358" s="3">
        <v>5959</v>
      </c>
      <c r="L358" s="3">
        <v>7947</v>
      </c>
      <c r="M358" s="3">
        <v>7</v>
      </c>
      <c r="N358" s="14">
        <v>6997.4689630000003</v>
      </c>
      <c r="O358" s="7">
        <f t="shared" si="45"/>
        <v>4.7835446065534561E-2</v>
      </c>
      <c r="P358" s="14">
        <f t="shared" si="46"/>
        <v>1749.3672407500001</v>
      </c>
      <c r="Q358" s="14">
        <f t="shared" si="47"/>
        <v>999.63842328571434</v>
      </c>
      <c r="R358" s="4">
        <f t="shared" si="48"/>
        <v>175</v>
      </c>
      <c r="S358" s="14">
        <f t="shared" si="49"/>
        <v>880.5170458034479</v>
      </c>
      <c r="T358" s="4">
        <f t="shared" si="50"/>
        <v>71.26285577613011</v>
      </c>
      <c r="U358" s="3">
        <f>LEN(A358) - LEN(SUBSTITUTE(A358,"&gt;","")) +1</f>
        <v>5</v>
      </c>
      <c r="V358" s="8">
        <f t="shared" si="51"/>
        <v>2.0928007653671369E-2</v>
      </c>
      <c r="W358" s="14">
        <f t="shared" si="52"/>
        <v>1399.4937926</v>
      </c>
      <c r="X358" s="4">
        <f t="shared" si="53"/>
        <v>8.3742309883940019E-3</v>
      </c>
    </row>
    <row r="359" spans="1:24" ht="14.25" customHeight="1" x14ac:dyDescent="0.2">
      <c r="A359" s="5" t="s">
        <v>1798</v>
      </c>
      <c r="B359" s="3" t="s">
        <v>68</v>
      </c>
      <c r="C359" s="3" t="s">
        <v>35</v>
      </c>
      <c r="D359" s="3" t="s">
        <v>2359</v>
      </c>
      <c r="E359" s="3" t="s">
        <v>2360</v>
      </c>
      <c r="F359" s="3" t="s">
        <v>269</v>
      </c>
      <c r="G359" s="3" t="s">
        <v>38</v>
      </c>
      <c r="H359" s="3" t="s">
        <v>19</v>
      </c>
      <c r="I359" s="3">
        <v>23488</v>
      </c>
      <c r="J359" s="3">
        <v>4</v>
      </c>
      <c r="K359" s="3">
        <v>4620</v>
      </c>
      <c r="L359" s="3">
        <v>22254</v>
      </c>
      <c r="M359" s="3">
        <v>1</v>
      </c>
      <c r="N359" s="14">
        <v>6667.727715</v>
      </c>
      <c r="O359" s="7">
        <f t="shared" si="45"/>
        <v>1.7029972752043595E-2</v>
      </c>
      <c r="P359" s="14">
        <f t="shared" si="46"/>
        <v>1666.93192875</v>
      </c>
      <c r="Q359" s="14">
        <f t="shared" si="47"/>
        <v>6667.727715</v>
      </c>
      <c r="R359" s="4">
        <f t="shared" si="48"/>
        <v>25</v>
      </c>
      <c r="S359" s="14">
        <f t="shared" si="49"/>
        <v>299.61929158802911</v>
      </c>
      <c r="T359" s="4">
        <f t="shared" si="50"/>
        <v>19.669618528610357</v>
      </c>
      <c r="U359" s="3">
        <f>LEN(A359) - LEN(SUBSTITUTE(A359,"&gt;","")) +1</f>
        <v>5</v>
      </c>
      <c r="V359" s="8">
        <f t="shared" si="51"/>
        <v>1.0643732970027249E-3</v>
      </c>
      <c r="W359" s="14">
        <f t="shared" si="52"/>
        <v>1333.545543</v>
      </c>
      <c r="X359" s="4">
        <f t="shared" si="53"/>
        <v>6.385223527399092E-5</v>
      </c>
    </row>
    <row r="360" spans="1:24" ht="14.25" customHeight="1" x14ac:dyDescent="0.2">
      <c r="A360" s="5" t="s">
        <v>551</v>
      </c>
      <c r="B360" s="3" t="s">
        <v>14</v>
      </c>
      <c r="C360" s="3" t="s">
        <v>35</v>
      </c>
      <c r="D360" s="3" t="s">
        <v>2370</v>
      </c>
      <c r="E360" s="3" t="s">
        <v>2360</v>
      </c>
      <c r="F360" s="3" t="s">
        <v>250</v>
      </c>
      <c r="G360" s="3" t="s">
        <v>76</v>
      </c>
      <c r="H360" s="3" t="s">
        <v>19</v>
      </c>
      <c r="I360" s="3">
        <v>44889</v>
      </c>
      <c r="J360" s="3">
        <v>4</v>
      </c>
      <c r="K360" s="3">
        <v>17477</v>
      </c>
      <c r="L360" s="3">
        <v>38621</v>
      </c>
      <c r="M360" s="3">
        <v>1</v>
      </c>
      <c r="N360" s="14">
        <v>6644.954146</v>
      </c>
      <c r="O360" s="7">
        <f t="shared" si="45"/>
        <v>8.910869032502395E-3</v>
      </c>
      <c r="P360" s="14">
        <f t="shared" si="46"/>
        <v>1661.2385365</v>
      </c>
      <c r="Q360" s="14">
        <f t="shared" si="47"/>
        <v>6644.954146</v>
      </c>
      <c r="R360" s="4">
        <f t="shared" si="48"/>
        <v>25</v>
      </c>
      <c r="S360" s="14">
        <f t="shared" si="49"/>
        <v>172.05546583464954</v>
      </c>
      <c r="T360" s="4">
        <f t="shared" si="50"/>
        <v>38.933814520261087</v>
      </c>
      <c r="U360" s="3">
        <f>LEN(A360) - LEN(SUBSTITUTE(A360,"&gt;","")) +1</f>
        <v>4</v>
      </c>
      <c r="V360" s="8">
        <f t="shared" si="51"/>
        <v>5.5692931453139968E-4</v>
      </c>
      <c r="W360" s="14">
        <f t="shared" si="52"/>
        <v>1661.2385365</v>
      </c>
      <c r="X360" s="4">
        <f t="shared" si="53"/>
        <v>3.3524945532793432E-5</v>
      </c>
    </row>
    <row r="361" spans="1:24" ht="14.25" customHeight="1" x14ac:dyDescent="0.2">
      <c r="A361" s="5" t="s">
        <v>552</v>
      </c>
      <c r="B361" s="3" t="s">
        <v>14</v>
      </c>
      <c r="C361" s="3" t="s">
        <v>35</v>
      </c>
      <c r="D361" s="3" t="s">
        <v>2367</v>
      </c>
      <c r="E361" s="3" t="s">
        <v>2352</v>
      </c>
      <c r="F361" s="3" t="s">
        <v>57</v>
      </c>
      <c r="G361" s="3" t="s">
        <v>22</v>
      </c>
      <c r="H361" s="3" t="s">
        <v>19</v>
      </c>
      <c r="I361" s="3">
        <v>120603</v>
      </c>
      <c r="J361" s="3">
        <v>4</v>
      </c>
      <c r="K361" s="3">
        <v>47405</v>
      </c>
      <c r="L361" s="3">
        <v>100881</v>
      </c>
      <c r="M361" s="3">
        <v>10</v>
      </c>
      <c r="N361" s="14">
        <v>6633.5326349999996</v>
      </c>
      <c r="O361" s="7">
        <f t="shared" si="45"/>
        <v>3.316667081250052E-3</v>
      </c>
      <c r="P361" s="14">
        <f t="shared" si="46"/>
        <v>1658.3831587499999</v>
      </c>
      <c r="Q361" s="14">
        <f t="shared" si="47"/>
        <v>663.35326349999991</v>
      </c>
      <c r="R361" s="4">
        <f t="shared" si="48"/>
        <v>250</v>
      </c>
      <c r="S361" s="14">
        <f t="shared" si="49"/>
        <v>65.756015850358338</v>
      </c>
      <c r="T361" s="4">
        <f t="shared" si="50"/>
        <v>39.30665074666468</v>
      </c>
      <c r="U361" s="3">
        <f>LEN(A361) - LEN(SUBSTITUTE(A361,"&gt;","")) +1</f>
        <v>4</v>
      </c>
      <c r="V361" s="8">
        <f t="shared" si="51"/>
        <v>2.0729169257812825E-3</v>
      </c>
      <c r="W361" s="14">
        <f t="shared" si="52"/>
        <v>1658.3831587499999</v>
      </c>
      <c r="X361" s="4">
        <f t="shared" si="53"/>
        <v>1.2499626005269711E-3</v>
      </c>
    </row>
    <row r="362" spans="1:24" ht="14.25" customHeight="1" x14ac:dyDescent="0.2">
      <c r="A362" s="5" t="s">
        <v>1799</v>
      </c>
      <c r="B362" s="3" t="s">
        <v>14</v>
      </c>
      <c r="C362" s="3" t="s">
        <v>29</v>
      </c>
      <c r="D362" s="3" t="s">
        <v>2349</v>
      </c>
      <c r="E362" s="3" t="s">
        <v>2350</v>
      </c>
      <c r="F362" s="3" t="s">
        <v>554</v>
      </c>
      <c r="G362" s="3" t="s">
        <v>27</v>
      </c>
      <c r="H362" s="3" t="s">
        <v>19</v>
      </c>
      <c r="I362" s="3">
        <v>19093</v>
      </c>
      <c r="J362" s="3">
        <v>4</v>
      </c>
      <c r="K362" s="3">
        <v>9626</v>
      </c>
      <c r="L362" s="3">
        <v>17815</v>
      </c>
      <c r="M362" s="3">
        <v>10</v>
      </c>
      <c r="N362" s="14">
        <v>6612.1456900000003</v>
      </c>
      <c r="O362" s="7">
        <f t="shared" si="45"/>
        <v>2.0950086419106478E-2</v>
      </c>
      <c r="P362" s="14">
        <f t="shared" si="46"/>
        <v>1653.0364225000001</v>
      </c>
      <c r="Q362" s="14">
        <f t="shared" si="47"/>
        <v>661.21456899999998</v>
      </c>
      <c r="R362" s="4">
        <f t="shared" si="48"/>
        <v>250</v>
      </c>
      <c r="S362" s="14">
        <f t="shared" si="49"/>
        <v>371.15608700533261</v>
      </c>
      <c r="T362" s="4">
        <f t="shared" si="50"/>
        <v>50.416382967579743</v>
      </c>
      <c r="U362" s="3">
        <f>LEN(A362) - LEN(SUBSTITUTE(A362,"&gt;","")) +1</f>
        <v>5</v>
      </c>
      <c r="V362" s="8">
        <f t="shared" si="51"/>
        <v>1.3093804011941549E-2</v>
      </c>
      <c r="W362" s="14">
        <f t="shared" si="52"/>
        <v>1322.429138</v>
      </c>
      <c r="X362" s="4">
        <f t="shared" si="53"/>
        <v>7.9210620127407091E-3</v>
      </c>
    </row>
    <row r="363" spans="1:24" ht="14.25" customHeight="1" x14ac:dyDescent="0.2">
      <c r="A363" s="5" t="s">
        <v>1800</v>
      </c>
      <c r="B363" s="3" t="s">
        <v>24</v>
      </c>
      <c r="C363" s="3" t="s">
        <v>35</v>
      </c>
      <c r="D363" s="3" t="s">
        <v>2362</v>
      </c>
      <c r="E363" s="3" t="s">
        <v>2352</v>
      </c>
      <c r="F363" s="3" t="s">
        <v>250</v>
      </c>
      <c r="G363" s="3" t="s">
        <v>64</v>
      </c>
      <c r="H363" s="3" t="s">
        <v>19</v>
      </c>
      <c r="I363" s="3">
        <v>69928</v>
      </c>
      <c r="J363" s="3">
        <v>4</v>
      </c>
      <c r="K363" s="3">
        <v>30196</v>
      </c>
      <c r="L363" s="3">
        <v>62327</v>
      </c>
      <c r="M363" s="3">
        <v>7</v>
      </c>
      <c r="N363" s="14">
        <v>6318.4130850000001</v>
      </c>
      <c r="O363" s="7">
        <f t="shared" si="45"/>
        <v>5.7201693170117838E-3</v>
      </c>
      <c r="P363" s="14">
        <f t="shared" si="46"/>
        <v>1579.60327125</v>
      </c>
      <c r="Q363" s="14">
        <f t="shared" si="47"/>
        <v>902.63044071428578</v>
      </c>
      <c r="R363" s="4">
        <f t="shared" si="48"/>
        <v>175</v>
      </c>
      <c r="S363" s="14">
        <f t="shared" si="49"/>
        <v>101.37521595777112</v>
      </c>
      <c r="T363" s="4">
        <f t="shared" si="50"/>
        <v>43.181558174121953</v>
      </c>
      <c r="U363" s="3">
        <f>LEN(A363) - LEN(SUBSTITUTE(A363,"&gt;","")) +1</f>
        <v>5</v>
      </c>
      <c r="V363" s="8">
        <f t="shared" si="51"/>
        <v>2.5025740761926555E-3</v>
      </c>
      <c r="W363" s="14">
        <f t="shared" si="52"/>
        <v>1263.6826169999999</v>
      </c>
      <c r="X363" s="4">
        <f t="shared" si="53"/>
        <v>1.1090138170887626E-3</v>
      </c>
    </row>
    <row r="364" spans="1:24" ht="14.25" customHeight="1" x14ac:dyDescent="0.2">
      <c r="A364" s="5" t="s">
        <v>1801</v>
      </c>
      <c r="B364" s="3" t="s">
        <v>14</v>
      </c>
      <c r="C364" s="3" t="s">
        <v>32</v>
      </c>
      <c r="D364" s="3" t="s">
        <v>2357</v>
      </c>
      <c r="E364" s="3" t="s">
        <v>2358</v>
      </c>
      <c r="F364" s="3" t="s">
        <v>250</v>
      </c>
      <c r="G364" s="3" t="s">
        <v>27</v>
      </c>
      <c r="H364" s="3" t="s">
        <v>19</v>
      </c>
      <c r="I364" s="3">
        <v>40859</v>
      </c>
      <c r="J364" s="3">
        <v>4</v>
      </c>
      <c r="K364" s="3">
        <v>17695</v>
      </c>
      <c r="L364" s="3">
        <v>37108</v>
      </c>
      <c r="M364" s="3">
        <v>1</v>
      </c>
      <c r="N364" s="14">
        <v>6130.3684249999997</v>
      </c>
      <c r="O364" s="7">
        <f t="shared" si="45"/>
        <v>9.7897648009006594E-3</v>
      </c>
      <c r="P364" s="14">
        <f t="shared" si="46"/>
        <v>1532.5921062499999</v>
      </c>
      <c r="Q364" s="14">
        <f t="shared" si="47"/>
        <v>6130.3684249999997</v>
      </c>
      <c r="R364" s="4">
        <f t="shared" si="48"/>
        <v>25</v>
      </c>
      <c r="S364" s="14">
        <f t="shared" si="49"/>
        <v>165.20341772663573</v>
      </c>
      <c r="T364" s="4">
        <f t="shared" si="50"/>
        <v>43.307472037984283</v>
      </c>
      <c r="U364" s="3">
        <f>LEN(A364) - LEN(SUBSTITUTE(A364,"&gt;","")) +1</f>
        <v>5</v>
      </c>
      <c r="V364" s="8">
        <f t="shared" si="51"/>
        <v>6.1186030005629111E-4</v>
      </c>
      <c r="W364" s="14">
        <f t="shared" si="52"/>
        <v>1226.0736849999998</v>
      </c>
      <c r="X364" s="4">
        <f t="shared" si="53"/>
        <v>3.9923231860655503E-5</v>
      </c>
    </row>
    <row r="365" spans="1:24" ht="14.25" customHeight="1" x14ac:dyDescent="0.2">
      <c r="A365" s="5" t="s">
        <v>1802</v>
      </c>
      <c r="B365" s="3" t="s">
        <v>24</v>
      </c>
      <c r="C365" s="3" t="s">
        <v>32</v>
      </c>
      <c r="D365" s="3" t="s">
        <v>2353</v>
      </c>
      <c r="E365" s="3" t="s">
        <v>2354</v>
      </c>
      <c r="F365" s="3" t="s">
        <v>149</v>
      </c>
      <c r="G365" s="3" t="s">
        <v>22</v>
      </c>
      <c r="H365" s="3" t="s">
        <v>19</v>
      </c>
      <c r="I365" s="3">
        <v>14083</v>
      </c>
      <c r="J365" s="3">
        <v>4</v>
      </c>
      <c r="K365" s="3">
        <v>9945</v>
      </c>
      <c r="L365" s="3">
        <v>12878</v>
      </c>
      <c r="M365" s="3">
        <v>1</v>
      </c>
      <c r="N365" s="14">
        <v>5979.67</v>
      </c>
      <c r="O365" s="7">
        <f t="shared" si="45"/>
        <v>2.8403039125186397E-2</v>
      </c>
      <c r="P365" s="14">
        <f t="shared" si="46"/>
        <v>1494.9175</v>
      </c>
      <c r="Q365" s="14">
        <f t="shared" si="47"/>
        <v>5979.67</v>
      </c>
      <c r="R365" s="4">
        <f t="shared" si="48"/>
        <v>25</v>
      </c>
      <c r="S365" s="14">
        <f t="shared" si="49"/>
        <v>464.33219444013048</v>
      </c>
      <c r="T365" s="4">
        <f t="shared" si="50"/>
        <v>70.617056024994667</v>
      </c>
      <c r="U365" s="3">
        <f>LEN(A365) - LEN(SUBSTITUTE(A365,"&gt;","")) +1</f>
        <v>5</v>
      </c>
      <c r="V365" s="8">
        <f t="shared" si="51"/>
        <v>1.7751899453241496E-3</v>
      </c>
      <c r="W365" s="14">
        <f t="shared" si="52"/>
        <v>1195.934</v>
      </c>
      <c r="X365" s="4">
        <f t="shared" si="53"/>
        <v>1.1874835536570746E-4</v>
      </c>
    </row>
    <row r="366" spans="1:24" ht="14.25" customHeight="1" x14ac:dyDescent="0.2">
      <c r="A366" s="5" t="s">
        <v>1803</v>
      </c>
      <c r="B366" s="3" t="s">
        <v>24</v>
      </c>
      <c r="C366" s="3" t="s">
        <v>29</v>
      </c>
      <c r="D366" s="3" t="s">
        <v>2351</v>
      </c>
      <c r="E366" s="3" t="s">
        <v>2352</v>
      </c>
      <c r="F366" s="3" t="s">
        <v>437</v>
      </c>
      <c r="G366" s="3" t="s">
        <v>38</v>
      </c>
      <c r="H366" s="3" t="s">
        <v>19</v>
      </c>
      <c r="I366" s="3">
        <v>57168</v>
      </c>
      <c r="J366" s="3">
        <v>4</v>
      </c>
      <c r="K366" s="3">
        <v>43261</v>
      </c>
      <c r="L366" s="3">
        <v>55261</v>
      </c>
      <c r="M366" s="3">
        <v>12</v>
      </c>
      <c r="N366" s="14">
        <v>5841.1513599999998</v>
      </c>
      <c r="O366" s="7">
        <f t="shared" si="45"/>
        <v>6.9969213546039744E-3</v>
      </c>
      <c r="P366" s="14">
        <f t="shared" si="46"/>
        <v>1460.28784</v>
      </c>
      <c r="Q366" s="14">
        <f t="shared" si="47"/>
        <v>486.76261333333332</v>
      </c>
      <c r="R366" s="4">
        <f t="shared" si="48"/>
        <v>300</v>
      </c>
      <c r="S366" s="14">
        <f t="shared" si="49"/>
        <v>105.70115198783952</v>
      </c>
      <c r="T366" s="4">
        <f t="shared" si="50"/>
        <v>75.673453680380632</v>
      </c>
      <c r="U366" s="3">
        <f>LEN(A366) - LEN(SUBSTITUTE(A366,"&gt;","")) +1</f>
        <v>5</v>
      </c>
      <c r="V366" s="8">
        <f t="shared" si="51"/>
        <v>5.2476910159529808E-3</v>
      </c>
      <c r="W366" s="14">
        <f t="shared" si="52"/>
        <v>1168.230272</v>
      </c>
      <c r="X366" s="4">
        <f t="shared" si="53"/>
        <v>4.312320521099167E-3</v>
      </c>
    </row>
    <row r="367" spans="1:24" ht="14.25" customHeight="1" x14ac:dyDescent="0.2">
      <c r="A367" s="5" t="s">
        <v>559</v>
      </c>
      <c r="B367" s="3" t="s">
        <v>24</v>
      </c>
      <c r="C367" s="3" t="s">
        <v>32</v>
      </c>
      <c r="D367" s="3" t="s">
        <v>2357</v>
      </c>
      <c r="E367" s="3" t="s">
        <v>2358</v>
      </c>
      <c r="F367" s="3" t="s">
        <v>72</v>
      </c>
      <c r="G367" s="3" t="s">
        <v>38</v>
      </c>
      <c r="H367" s="3" t="s">
        <v>163</v>
      </c>
      <c r="I367" s="3">
        <v>161222</v>
      </c>
      <c r="J367" s="3">
        <v>4</v>
      </c>
      <c r="K367" s="3">
        <v>66740</v>
      </c>
      <c r="L367" s="3">
        <v>149743</v>
      </c>
      <c r="M367" s="3">
        <v>19</v>
      </c>
      <c r="N367" s="14">
        <v>5767.7973810000003</v>
      </c>
      <c r="O367" s="7">
        <f t="shared" si="45"/>
        <v>2.4810509731922445E-3</v>
      </c>
      <c r="P367" s="14">
        <f t="shared" si="46"/>
        <v>1441.9493452500001</v>
      </c>
      <c r="Q367" s="14">
        <f t="shared" si="47"/>
        <v>303.56828321052632</v>
      </c>
      <c r="R367" s="4">
        <f t="shared" si="48"/>
        <v>475</v>
      </c>
      <c r="S367" s="14">
        <f t="shared" si="49"/>
        <v>38.517976673367038</v>
      </c>
      <c r="T367" s="4">
        <f t="shared" si="50"/>
        <v>41.396335487712591</v>
      </c>
      <c r="U367" s="3">
        <f>LEN(A367) - LEN(SUBSTITUTE(A367,"&gt;","")) +1</f>
        <v>4</v>
      </c>
      <c r="V367" s="8">
        <f t="shared" si="51"/>
        <v>2.9462480306657901E-3</v>
      </c>
      <c r="W367" s="14">
        <f t="shared" si="52"/>
        <v>1441.9493452500001</v>
      </c>
      <c r="X367" s="4">
        <f t="shared" si="53"/>
        <v>3.8821552759153704E-3</v>
      </c>
    </row>
    <row r="368" spans="1:24" ht="14.25" customHeight="1" x14ac:dyDescent="0.2">
      <c r="A368" s="5" t="s">
        <v>1804</v>
      </c>
      <c r="B368" s="3" t="s">
        <v>24</v>
      </c>
      <c r="C368" s="3" t="s">
        <v>35</v>
      </c>
      <c r="D368" s="3" t="s">
        <v>2368</v>
      </c>
      <c r="E368" s="3" t="s">
        <v>2352</v>
      </c>
      <c r="F368" s="3" t="s">
        <v>561</v>
      </c>
      <c r="G368" s="3" t="s">
        <v>22</v>
      </c>
      <c r="H368" s="3" t="s">
        <v>19</v>
      </c>
      <c r="I368" s="3">
        <v>9702</v>
      </c>
      <c r="J368" s="3">
        <v>4</v>
      </c>
      <c r="K368" s="3">
        <v>5564</v>
      </c>
      <c r="L368" s="3">
        <v>8210</v>
      </c>
      <c r="M368" s="3">
        <v>1</v>
      </c>
      <c r="N368" s="14">
        <v>5711.3920099999996</v>
      </c>
      <c r="O368" s="7">
        <f t="shared" si="45"/>
        <v>4.1228612657184083E-2</v>
      </c>
      <c r="P368" s="14">
        <f t="shared" si="46"/>
        <v>1427.8480024999999</v>
      </c>
      <c r="Q368" s="14">
        <f t="shared" si="47"/>
        <v>5711.3920099999996</v>
      </c>
      <c r="R368" s="4">
        <f t="shared" si="48"/>
        <v>25</v>
      </c>
      <c r="S368" s="14">
        <f t="shared" si="49"/>
        <v>695.6628514007308</v>
      </c>
      <c r="T368" s="4">
        <f t="shared" si="50"/>
        <v>57.34900020614306</v>
      </c>
      <c r="U368" s="3">
        <f>LEN(A368) - LEN(SUBSTITUTE(A368,"&gt;","")) +1</f>
        <v>5</v>
      </c>
      <c r="V368" s="8">
        <f t="shared" si="51"/>
        <v>2.5767882910740052E-3</v>
      </c>
      <c r="W368" s="14">
        <f t="shared" si="52"/>
        <v>1142.2784019999999</v>
      </c>
      <c r="X368" s="4">
        <f t="shared" si="53"/>
        <v>1.8046656832956597E-4</v>
      </c>
    </row>
    <row r="369" spans="1:24" ht="14.25" customHeight="1" x14ac:dyDescent="0.2">
      <c r="A369" s="5" t="s">
        <v>1805</v>
      </c>
      <c r="B369" s="3" t="s">
        <v>14</v>
      </c>
      <c r="C369" s="3" t="s">
        <v>15</v>
      </c>
      <c r="D369" s="3" t="s">
        <v>2388</v>
      </c>
      <c r="E369" s="3" t="s">
        <v>2356</v>
      </c>
      <c r="F369" s="3" t="s">
        <v>563</v>
      </c>
      <c r="G369" s="3" t="s">
        <v>27</v>
      </c>
      <c r="H369" s="3" t="s">
        <v>19</v>
      </c>
      <c r="I369" s="3">
        <v>14011</v>
      </c>
      <c r="J369" s="3">
        <v>4</v>
      </c>
      <c r="K369" s="3">
        <v>5060</v>
      </c>
      <c r="L369" s="3">
        <v>12459</v>
      </c>
      <c r="M369" s="3">
        <v>1</v>
      </c>
      <c r="N369" s="14">
        <v>5632.0879729999997</v>
      </c>
      <c r="O369" s="7">
        <f t="shared" si="45"/>
        <v>2.8548997216472773E-2</v>
      </c>
      <c r="P369" s="14">
        <f t="shared" si="46"/>
        <v>1408.0219932499999</v>
      </c>
      <c r="Q369" s="14">
        <f t="shared" si="47"/>
        <v>5632.0879729999997</v>
      </c>
      <c r="R369" s="4">
        <f t="shared" si="48"/>
        <v>25</v>
      </c>
      <c r="S369" s="14">
        <f t="shared" si="49"/>
        <v>452.04976105626451</v>
      </c>
      <c r="T369" s="4">
        <f t="shared" si="50"/>
        <v>36.114481478838059</v>
      </c>
      <c r="U369" s="3">
        <f>LEN(A369) - LEN(SUBSTITUTE(A369,"&gt;","")) +1</f>
        <v>5</v>
      </c>
      <c r="V369" s="8">
        <f t="shared" si="51"/>
        <v>1.7843123260295481E-3</v>
      </c>
      <c r="W369" s="14">
        <f t="shared" si="52"/>
        <v>1126.4175946</v>
      </c>
      <c r="X369" s="4">
        <f t="shared" si="53"/>
        <v>1.2672474823429385E-4</v>
      </c>
    </row>
    <row r="370" spans="1:24" ht="14.25" customHeight="1" x14ac:dyDescent="0.2">
      <c r="A370" s="5" t="s">
        <v>564</v>
      </c>
      <c r="B370" s="3" t="s">
        <v>24</v>
      </c>
      <c r="C370" s="3" t="s">
        <v>29</v>
      </c>
      <c r="D370" s="3" t="s">
        <v>2353</v>
      </c>
      <c r="E370" s="3" t="s">
        <v>2354</v>
      </c>
      <c r="F370" s="3" t="s">
        <v>79</v>
      </c>
      <c r="G370" s="3" t="s">
        <v>41</v>
      </c>
      <c r="H370" s="3" t="s">
        <v>114</v>
      </c>
      <c r="I370" s="3">
        <v>26439</v>
      </c>
      <c r="J370" s="3">
        <v>4</v>
      </c>
      <c r="K370" s="3">
        <v>7093</v>
      </c>
      <c r="L370" s="3">
        <v>19681</v>
      </c>
      <c r="M370" s="3">
        <v>1</v>
      </c>
      <c r="N370" s="14">
        <v>5330.7819689999997</v>
      </c>
      <c r="O370" s="7">
        <f t="shared" si="45"/>
        <v>1.5129165248307425E-2</v>
      </c>
      <c r="P370" s="14">
        <f t="shared" si="46"/>
        <v>1332.6954922499999</v>
      </c>
      <c r="Q370" s="14">
        <f t="shared" si="47"/>
        <v>5330.7819689999997</v>
      </c>
      <c r="R370" s="4">
        <f t="shared" si="48"/>
        <v>25</v>
      </c>
      <c r="S370" s="14">
        <f t="shared" si="49"/>
        <v>270.85930435445351</v>
      </c>
      <c r="T370" s="4">
        <f t="shared" si="50"/>
        <v>26.827792276561141</v>
      </c>
      <c r="U370" s="3">
        <f>LEN(A370) - LEN(SUBSTITUTE(A370,"&gt;","")) +1</f>
        <v>4</v>
      </c>
      <c r="V370" s="8">
        <f t="shared" si="51"/>
        <v>9.4557282801921406E-4</v>
      </c>
      <c r="W370" s="14">
        <f t="shared" si="52"/>
        <v>1332.6954922499999</v>
      </c>
      <c r="X370" s="4">
        <f t="shared" si="53"/>
        <v>7.0951904130987667E-5</v>
      </c>
    </row>
    <row r="371" spans="1:24" ht="14.25" customHeight="1" x14ac:dyDescent="0.2">
      <c r="A371" s="5" t="s">
        <v>565</v>
      </c>
      <c r="B371" s="3" t="s">
        <v>68</v>
      </c>
      <c r="C371" s="3" t="s">
        <v>15</v>
      </c>
      <c r="D371" s="3" t="s">
        <v>2349</v>
      </c>
      <c r="E371" s="3" t="s">
        <v>2350</v>
      </c>
      <c r="F371" s="3" t="s">
        <v>40</v>
      </c>
      <c r="G371" s="3" t="s">
        <v>22</v>
      </c>
      <c r="H371" s="3" t="s">
        <v>19</v>
      </c>
      <c r="I371" s="3">
        <v>13946</v>
      </c>
      <c r="J371" s="3">
        <v>4</v>
      </c>
      <c r="K371" s="3">
        <v>3142</v>
      </c>
      <c r="L371" s="3">
        <v>8823</v>
      </c>
      <c r="M371" s="3">
        <v>1</v>
      </c>
      <c r="N371" s="14">
        <v>4920.2346299999999</v>
      </c>
      <c r="O371" s="7">
        <f t="shared" si="45"/>
        <v>2.8682059371862901E-2</v>
      </c>
      <c r="P371" s="14">
        <f t="shared" si="46"/>
        <v>1230.0586575</v>
      </c>
      <c r="Q371" s="14">
        <f t="shared" si="47"/>
        <v>4920.2346299999999</v>
      </c>
      <c r="R371" s="4">
        <f t="shared" si="48"/>
        <v>25</v>
      </c>
      <c r="S371" s="14">
        <f t="shared" si="49"/>
        <v>557.66005100306018</v>
      </c>
      <c r="T371" s="4">
        <f t="shared" si="50"/>
        <v>22.529757636598308</v>
      </c>
      <c r="U371" s="3">
        <f>LEN(A371) - LEN(SUBSTITUTE(A371,"&gt;","")) +1</f>
        <v>4</v>
      </c>
      <c r="V371" s="8">
        <f t="shared" si="51"/>
        <v>1.7926287107414313E-3</v>
      </c>
      <c r="W371" s="14">
        <f t="shared" si="52"/>
        <v>1230.0586575</v>
      </c>
      <c r="X371" s="4">
        <f t="shared" si="53"/>
        <v>1.4573522163445536E-4</v>
      </c>
    </row>
    <row r="372" spans="1:24" ht="14.25" customHeight="1" x14ac:dyDescent="0.2">
      <c r="A372" s="5" t="s">
        <v>1806</v>
      </c>
      <c r="B372" s="3" t="s">
        <v>14</v>
      </c>
      <c r="C372" s="3" t="s">
        <v>15</v>
      </c>
      <c r="D372" s="3" t="s">
        <v>2353</v>
      </c>
      <c r="E372" s="3" t="s">
        <v>2354</v>
      </c>
      <c r="F372" s="3" t="s">
        <v>79</v>
      </c>
      <c r="G372" s="3" t="s">
        <v>27</v>
      </c>
      <c r="H372" s="3" t="s">
        <v>19</v>
      </c>
      <c r="I372" s="3">
        <v>43327</v>
      </c>
      <c r="J372" s="3">
        <v>4</v>
      </c>
      <c r="K372" s="3">
        <v>4689</v>
      </c>
      <c r="L372" s="3">
        <v>31363</v>
      </c>
      <c r="M372" s="3">
        <v>1</v>
      </c>
      <c r="N372" s="14">
        <v>4554.8768840000002</v>
      </c>
      <c r="O372" s="7">
        <f t="shared" si="45"/>
        <v>9.2321185404020591E-3</v>
      </c>
      <c r="P372" s="14">
        <f t="shared" si="46"/>
        <v>1138.7192210000001</v>
      </c>
      <c r="Q372" s="14">
        <f t="shared" si="47"/>
        <v>4554.8768840000002</v>
      </c>
      <c r="R372" s="4">
        <f t="shared" si="48"/>
        <v>25</v>
      </c>
      <c r="S372" s="14">
        <f t="shared" si="49"/>
        <v>145.23090533431113</v>
      </c>
      <c r="T372" s="4">
        <f t="shared" si="50"/>
        <v>10.822350958986314</v>
      </c>
      <c r="U372" s="3">
        <f>LEN(A372) - LEN(SUBSTITUTE(A372,"&gt;","")) +1</f>
        <v>6</v>
      </c>
      <c r="V372" s="8">
        <f t="shared" si="51"/>
        <v>5.770074087751287E-4</v>
      </c>
      <c r="W372" s="14">
        <f t="shared" si="52"/>
        <v>759.14614733333337</v>
      </c>
      <c r="X372" s="4">
        <f t="shared" si="53"/>
        <v>5.067161404972268E-5</v>
      </c>
    </row>
    <row r="373" spans="1:24" ht="14.25" customHeight="1" x14ac:dyDescent="0.2">
      <c r="A373" s="5" t="s">
        <v>567</v>
      </c>
      <c r="B373" s="3" t="s">
        <v>24</v>
      </c>
      <c r="C373" s="3" t="s">
        <v>35</v>
      </c>
      <c r="D373" s="3" t="s">
        <v>2353</v>
      </c>
      <c r="E373" s="3" t="s">
        <v>2354</v>
      </c>
      <c r="F373" s="3" t="s">
        <v>57</v>
      </c>
      <c r="G373" s="3" t="s">
        <v>22</v>
      </c>
      <c r="H373" s="3" t="s">
        <v>163</v>
      </c>
      <c r="I373" s="3">
        <v>7584</v>
      </c>
      <c r="J373" s="3">
        <v>4</v>
      </c>
      <c r="K373" s="3">
        <v>3093</v>
      </c>
      <c r="L373" s="3">
        <v>6897</v>
      </c>
      <c r="M373" s="3">
        <v>2</v>
      </c>
      <c r="N373" s="14">
        <v>4467.0807580000001</v>
      </c>
      <c r="O373" s="7">
        <f t="shared" si="45"/>
        <v>5.2742616033755269E-2</v>
      </c>
      <c r="P373" s="14">
        <f t="shared" si="46"/>
        <v>1116.7701895</v>
      </c>
      <c r="Q373" s="14">
        <f t="shared" si="47"/>
        <v>2233.540379</v>
      </c>
      <c r="R373" s="4">
        <f t="shared" si="48"/>
        <v>50</v>
      </c>
      <c r="S373" s="14">
        <f t="shared" si="49"/>
        <v>647.68461041032333</v>
      </c>
      <c r="T373" s="4">
        <f t="shared" si="50"/>
        <v>40.783227848101269</v>
      </c>
      <c r="U373" s="3">
        <f>LEN(A373) - LEN(SUBSTITUTE(A373,"&gt;","")) +1</f>
        <v>4</v>
      </c>
      <c r="V373" s="8">
        <f t="shared" si="51"/>
        <v>6.5928270042194094E-3</v>
      </c>
      <c r="W373" s="14">
        <f t="shared" si="52"/>
        <v>1116.7701895</v>
      </c>
      <c r="X373" s="4">
        <f t="shared" si="53"/>
        <v>1.1806953778325953E-3</v>
      </c>
    </row>
    <row r="374" spans="1:24" ht="14.25" customHeight="1" x14ac:dyDescent="0.2">
      <c r="A374" s="5" t="s">
        <v>1807</v>
      </c>
      <c r="B374" s="3" t="s">
        <v>24</v>
      </c>
      <c r="C374" s="3" t="s">
        <v>35</v>
      </c>
      <c r="D374" s="3" t="s">
        <v>2359</v>
      </c>
      <c r="E374" s="3" t="s">
        <v>2360</v>
      </c>
      <c r="F374" s="3" t="s">
        <v>239</v>
      </c>
      <c r="G374" s="3" t="s">
        <v>27</v>
      </c>
      <c r="H374" s="3" t="s">
        <v>114</v>
      </c>
      <c r="I374" s="3">
        <v>4603</v>
      </c>
      <c r="J374" s="3">
        <v>4</v>
      </c>
      <c r="K374" s="3">
        <v>3444</v>
      </c>
      <c r="L374" s="3">
        <v>4131</v>
      </c>
      <c r="M374" s="3">
        <v>2</v>
      </c>
      <c r="N374" s="14">
        <v>3098.1363769999998</v>
      </c>
      <c r="O374" s="7">
        <f t="shared" si="45"/>
        <v>8.689984792526613E-2</v>
      </c>
      <c r="P374" s="14">
        <f t="shared" si="46"/>
        <v>774.53409424999995</v>
      </c>
      <c r="Q374" s="14">
        <f t="shared" si="47"/>
        <v>1549.0681884999999</v>
      </c>
      <c r="R374" s="4">
        <f t="shared" si="48"/>
        <v>50</v>
      </c>
      <c r="S374" s="14">
        <f t="shared" si="49"/>
        <v>749.97249503752118</v>
      </c>
      <c r="T374" s="4">
        <f t="shared" si="50"/>
        <v>74.82076906365414</v>
      </c>
      <c r="U374" s="3">
        <f>LEN(A374) - LEN(SUBSTITUTE(A374,"&gt;","")) +1</f>
        <v>6</v>
      </c>
      <c r="V374" s="8">
        <f t="shared" si="51"/>
        <v>1.0862480990658266E-2</v>
      </c>
      <c r="W374" s="14">
        <f t="shared" si="52"/>
        <v>516.35606283333334</v>
      </c>
      <c r="X374" s="4">
        <f t="shared" si="53"/>
        <v>2.8049071232110622E-3</v>
      </c>
    </row>
    <row r="375" spans="1:24" ht="14.25" customHeight="1" x14ac:dyDescent="0.2">
      <c r="A375" s="5" t="s">
        <v>1808</v>
      </c>
      <c r="B375" s="3" t="s">
        <v>24</v>
      </c>
      <c r="C375" s="3" t="s">
        <v>35</v>
      </c>
      <c r="D375" s="3" t="s">
        <v>2357</v>
      </c>
      <c r="E375" s="3" t="s">
        <v>2358</v>
      </c>
      <c r="F375" s="3" t="s">
        <v>570</v>
      </c>
      <c r="G375" s="3" t="s">
        <v>27</v>
      </c>
      <c r="H375" s="3" t="s">
        <v>19</v>
      </c>
      <c r="I375" s="3">
        <v>12391</v>
      </c>
      <c r="J375" s="3">
        <v>4</v>
      </c>
      <c r="K375" s="3">
        <v>5756</v>
      </c>
      <c r="L375" s="3">
        <v>11636</v>
      </c>
      <c r="M375" s="3">
        <v>1</v>
      </c>
      <c r="N375" s="14">
        <v>3069.1234829999999</v>
      </c>
      <c r="O375" s="7">
        <f t="shared" si="45"/>
        <v>3.228149463320152E-2</v>
      </c>
      <c r="P375" s="14">
        <f t="shared" si="46"/>
        <v>767.28087074999996</v>
      </c>
      <c r="Q375" s="14">
        <f t="shared" si="47"/>
        <v>3069.1234829999999</v>
      </c>
      <c r="R375" s="4">
        <f t="shared" si="48"/>
        <v>25</v>
      </c>
      <c r="S375" s="14">
        <f t="shared" si="49"/>
        <v>263.76104185287039</v>
      </c>
      <c r="T375" s="4">
        <f t="shared" si="50"/>
        <v>46.453070777176983</v>
      </c>
      <c r="U375" s="3">
        <f>LEN(A375) - LEN(SUBSTITUTE(A375,"&gt;","")) +1</f>
        <v>5</v>
      </c>
      <c r="V375" s="8">
        <f t="shared" si="51"/>
        <v>2.017593414575095E-3</v>
      </c>
      <c r="W375" s="14">
        <f t="shared" si="52"/>
        <v>613.82469659999992</v>
      </c>
      <c r="X375" s="4">
        <f t="shared" si="53"/>
        <v>2.6295369681286887E-4</v>
      </c>
    </row>
    <row r="376" spans="1:24" ht="14.25" customHeight="1" x14ac:dyDescent="0.2">
      <c r="A376" s="5" t="s">
        <v>1809</v>
      </c>
      <c r="B376" s="3" t="s">
        <v>14</v>
      </c>
      <c r="C376" s="3" t="s">
        <v>35</v>
      </c>
      <c r="D376" s="3" t="s">
        <v>2353</v>
      </c>
      <c r="E376" s="3" t="s">
        <v>2354</v>
      </c>
      <c r="F376" s="3" t="s">
        <v>247</v>
      </c>
      <c r="G376" s="3" t="s">
        <v>33</v>
      </c>
      <c r="H376" s="3" t="s">
        <v>19</v>
      </c>
      <c r="I376" s="3">
        <v>20548</v>
      </c>
      <c r="J376" s="3">
        <v>4</v>
      </c>
      <c r="K376" s="3">
        <v>14259</v>
      </c>
      <c r="L376" s="3">
        <v>19654</v>
      </c>
      <c r="M376" s="3">
        <v>13</v>
      </c>
      <c r="N376" s="14">
        <v>3060.4247690000002</v>
      </c>
      <c r="O376" s="7">
        <f t="shared" si="45"/>
        <v>1.9466614755693987E-2</v>
      </c>
      <c r="P376" s="14">
        <f t="shared" si="46"/>
        <v>765.10619225000005</v>
      </c>
      <c r="Q376" s="14">
        <f t="shared" si="47"/>
        <v>235.41728992307694</v>
      </c>
      <c r="R376" s="4">
        <f t="shared" si="48"/>
        <v>325</v>
      </c>
      <c r="S376" s="14">
        <f t="shared" si="49"/>
        <v>155.71510985041215</v>
      </c>
      <c r="T376" s="4">
        <f t="shared" si="50"/>
        <v>69.393614950360131</v>
      </c>
      <c r="U376" s="3">
        <f>LEN(A376) - LEN(SUBSTITUTE(A376,"&gt;","")) +1</f>
        <v>6</v>
      </c>
      <c r="V376" s="8">
        <f t="shared" si="51"/>
        <v>1.5816624489001362E-2</v>
      </c>
      <c r="W376" s="14">
        <f t="shared" si="52"/>
        <v>510.07079483333337</v>
      </c>
      <c r="X376" s="4">
        <f t="shared" si="53"/>
        <v>2.6874193470104901E-2</v>
      </c>
    </row>
    <row r="377" spans="1:24" ht="14.25" customHeight="1" x14ac:dyDescent="0.2">
      <c r="A377" s="5" t="s">
        <v>1810</v>
      </c>
      <c r="B377" s="3" t="s">
        <v>14</v>
      </c>
      <c r="C377" s="3" t="s">
        <v>29</v>
      </c>
      <c r="D377" s="3" t="s">
        <v>2389</v>
      </c>
      <c r="E377" s="3" t="s">
        <v>2390</v>
      </c>
      <c r="F377" s="3" t="s">
        <v>263</v>
      </c>
      <c r="G377" s="3" t="s">
        <v>22</v>
      </c>
      <c r="H377" s="3" t="s">
        <v>19</v>
      </c>
      <c r="I377" s="3">
        <v>69523</v>
      </c>
      <c r="J377" s="3">
        <v>4</v>
      </c>
      <c r="K377" s="3">
        <v>48273</v>
      </c>
      <c r="L377" s="3">
        <v>65800</v>
      </c>
      <c r="M377" s="3">
        <v>9</v>
      </c>
      <c r="N377" s="14">
        <v>2649.9978030000002</v>
      </c>
      <c r="O377" s="7">
        <f t="shared" si="45"/>
        <v>5.7534916502452425E-3</v>
      </c>
      <c r="P377" s="14">
        <f t="shared" si="46"/>
        <v>662.49945075000005</v>
      </c>
      <c r="Q377" s="14">
        <f t="shared" si="47"/>
        <v>294.44420033333336</v>
      </c>
      <c r="R377" s="4">
        <f t="shared" si="48"/>
        <v>225</v>
      </c>
      <c r="S377" s="14">
        <f t="shared" si="49"/>
        <v>40.273522841945294</v>
      </c>
      <c r="T377" s="4">
        <f t="shared" si="50"/>
        <v>69.434575608072151</v>
      </c>
      <c r="U377" s="3">
        <f>LEN(A377) - LEN(SUBSTITUTE(A377,"&gt;","")) +1</f>
        <v>5</v>
      </c>
      <c r="V377" s="8">
        <f t="shared" si="51"/>
        <v>3.2363390532629491E-3</v>
      </c>
      <c r="W377" s="14">
        <f t="shared" si="52"/>
        <v>529.9995606</v>
      </c>
      <c r="X377" s="4">
        <f t="shared" si="53"/>
        <v>4.3965397173374998E-3</v>
      </c>
    </row>
    <row r="378" spans="1:24" ht="14.25" customHeight="1" x14ac:dyDescent="0.2">
      <c r="A378" s="5" t="s">
        <v>1811</v>
      </c>
      <c r="B378" s="3" t="s">
        <v>14</v>
      </c>
      <c r="C378" s="3" t="s">
        <v>29</v>
      </c>
      <c r="D378" s="3" t="s">
        <v>2349</v>
      </c>
      <c r="E378" s="3" t="s">
        <v>2350</v>
      </c>
      <c r="F378" s="3" t="s">
        <v>79</v>
      </c>
      <c r="G378" s="3" t="s">
        <v>27</v>
      </c>
      <c r="H378" s="3" t="s">
        <v>19</v>
      </c>
      <c r="I378" s="3">
        <v>12512</v>
      </c>
      <c r="J378" s="3">
        <v>4</v>
      </c>
      <c r="K378" s="3">
        <v>6240</v>
      </c>
      <c r="L378" s="3">
        <v>9672</v>
      </c>
      <c r="M378" s="3">
        <v>1</v>
      </c>
      <c r="N378" s="14">
        <v>2298.8889650000001</v>
      </c>
      <c r="O378" s="7">
        <f t="shared" si="45"/>
        <v>3.1969309462915603E-2</v>
      </c>
      <c r="P378" s="14">
        <f t="shared" si="46"/>
        <v>574.72224125000002</v>
      </c>
      <c r="Q378" s="14">
        <f t="shared" si="47"/>
        <v>2298.8889650000001</v>
      </c>
      <c r="R378" s="4">
        <f t="shared" si="48"/>
        <v>25</v>
      </c>
      <c r="S378" s="14">
        <f t="shared" si="49"/>
        <v>237.6849632961125</v>
      </c>
      <c r="T378" s="4">
        <f t="shared" si="50"/>
        <v>49.872122762148337</v>
      </c>
      <c r="U378" s="3">
        <f>LEN(A378) - LEN(SUBSTITUTE(A378,"&gt;","")) +1</f>
        <v>3</v>
      </c>
      <c r="V378" s="8">
        <f t="shared" si="51"/>
        <v>1.9980818414322252E-3</v>
      </c>
      <c r="W378" s="14">
        <f t="shared" si="52"/>
        <v>766.2963216666667</v>
      </c>
      <c r="X378" s="4">
        <f t="shared" si="53"/>
        <v>3.4766043455817364E-4</v>
      </c>
    </row>
    <row r="379" spans="1:24" ht="14.25" customHeight="1" x14ac:dyDescent="0.2">
      <c r="A379" s="5" t="s">
        <v>1812</v>
      </c>
      <c r="B379" s="3" t="s">
        <v>24</v>
      </c>
      <c r="C379" s="3" t="s">
        <v>35</v>
      </c>
      <c r="D379" s="3" t="s">
        <v>2357</v>
      </c>
      <c r="E379" s="3" t="s">
        <v>2358</v>
      </c>
      <c r="F379" s="3" t="s">
        <v>107</v>
      </c>
      <c r="G379" s="3" t="s">
        <v>27</v>
      </c>
      <c r="H379" s="3" t="s">
        <v>114</v>
      </c>
      <c r="I379" s="3">
        <v>51889</v>
      </c>
      <c r="J379" s="3">
        <v>4</v>
      </c>
      <c r="K379" s="3">
        <v>33879</v>
      </c>
      <c r="L379" s="3">
        <v>49382</v>
      </c>
      <c r="M379" s="3">
        <v>1</v>
      </c>
      <c r="N379" s="14">
        <v>2172.8417469999999</v>
      </c>
      <c r="O379" s="7">
        <f t="shared" si="45"/>
        <v>7.7087629362678021E-3</v>
      </c>
      <c r="P379" s="14">
        <f t="shared" si="46"/>
        <v>543.21043674999999</v>
      </c>
      <c r="Q379" s="14">
        <f t="shared" si="47"/>
        <v>2172.8417469999999</v>
      </c>
      <c r="R379" s="4">
        <f t="shared" si="48"/>
        <v>25</v>
      </c>
      <c r="S379" s="14">
        <f t="shared" si="49"/>
        <v>44.000683386659105</v>
      </c>
      <c r="T379" s="4">
        <f t="shared" si="50"/>
        <v>65.291294879454227</v>
      </c>
      <c r="U379" s="3">
        <f>LEN(A379) - LEN(SUBSTITUTE(A379,"&gt;","")) +1</f>
        <v>4</v>
      </c>
      <c r="V379" s="8">
        <f t="shared" si="51"/>
        <v>4.8179768351673763E-4</v>
      </c>
      <c r="W379" s="14">
        <f t="shared" si="52"/>
        <v>543.21043674999999</v>
      </c>
      <c r="X379" s="4">
        <f t="shared" si="53"/>
        <v>8.8694482086778065E-5</v>
      </c>
    </row>
    <row r="380" spans="1:24" ht="14.25" customHeight="1" x14ac:dyDescent="0.2">
      <c r="A380" s="5" t="s">
        <v>1813</v>
      </c>
      <c r="B380" s="3" t="s">
        <v>24</v>
      </c>
      <c r="C380" s="3" t="s">
        <v>29</v>
      </c>
      <c r="D380" s="3" t="s">
        <v>2368</v>
      </c>
      <c r="E380" s="3" t="s">
        <v>2352</v>
      </c>
      <c r="F380" s="3" t="s">
        <v>546</v>
      </c>
      <c r="G380" s="3" t="s">
        <v>27</v>
      </c>
      <c r="H380" s="3" t="s">
        <v>19</v>
      </c>
      <c r="I380" s="3">
        <v>8716</v>
      </c>
      <c r="J380" s="3">
        <v>4</v>
      </c>
      <c r="K380" s="3">
        <v>6490</v>
      </c>
      <c r="L380" s="3">
        <v>7862</v>
      </c>
      <c r="M380" s="3">
        <v>1</v>
      </c>
      <c r="N380" s="14">
        <v>2100.8201370000002</v>
      </c>
      <c r="O380" s="7">
        <f t="shared" si="45"/>
        <v>4.5892611289582379E-2</v>
      </c>
      <c r="P380" s="14">
        <f t="shared" si="46"/>
        <v>525.20503425000004</v>
      </c>
      <c r="Q380" s="14">
        <f t="shared" si="47"/>
        <v>2100.8201370000002</v>
      </c>
      <c r="R380" s="4">
        <f t="shared" si="48"/>
        <v>25</v>
      </c>
      <c r="S380" s="14">
        <f t="shared" si="49"/>
        <v>267.2119227931824</v>
      </c>
      <c r="T380" s="4">
        <f t="shared" si="50"/>
        <v>74.460761817347404</v>
      </c>
      <c r="U380" s="3">
        <f>LEN(A380) - LEN(SUBSTITUTE(A380,"&gt;","")) +1</f>
        <v>4</v>
      </c>
      <c r="V380" s="8">
        <f t="shared" si="51"/>
        <v>2.8682882055988987E-3</v>
      </c>
      <c r="W380" s="14">
        <f t="shared" si="52"/>
        <v>525.20503425000004</v>
      </c>
      <c r="X380" s="4">
        <f t="shared" si="53"/>
        <v>5.4612732524448346E-4</v>
      </c>
    </row>
    <row r="381" spans="1:24" ht="14.25" customHeight="1" x14ac:dyDescent="0.2">
      <c r="A381" s="5" t="s">
        <v>1814</v>
      </c>
      <c r="B381" s="3" t="s">
        <v>24</v>
      </c>
      <c r="C381" s="3" t="s">
        <v>15</v>
      </c>
      <c r="D381" s="3" t="s">
        <v>2368</v>
      </c>
      <c r="E381" s="3" t="s">
        <v>2352</v>
      </c>
      <c r="F381" s="3" t="s">
        <v>179</v>
      </c>
      <c r="G381" s="3" t="s">
        <v>27</v>
      </c>
      <c r="H381" s="3" t="s">
        <v>114</v>
      </c>
      <c r="I381" s="3">
        <v>56737</v>
      </c>
      <c r="J381" s="3">
        <v>4</v>
      </c>
      <c r="K381" s="3">
        <v>41296</v>
      </c>
      <c r="L381" s="3">
        <v>53472</v>
      </c>
      <c r="M381" s="3">
        <v>2</v>
      </c>
      <c r="N381" s="14">
        <v>2028.370144</v>
      </c>
      <c r="O381" s="7">
        <f t="shared" si="45"/>
        <v>7.0500731445088749E-3</v>
      </c>
      <c r="P381" s="14">
        <f t="shared" si="46"/>
        <v>507.092536</v>
      </c>
      <c r="Q381" s="14">
        <f t="shared" si="47"/>
        <v>1014.185072</v>
      </c>
      <c r="R381" s="4">
        <f t="shared" si="48"/>
        <v>50</v>
      </c>
      <c r="S381" s="14">
        <f t="shared" si="49"/>
        <v>37.933313584679837</v>
      </c>
      <c r="T381" s="4">
        <f t="shared" si="50"/>
        <v>72.784955143909613</v>
      </c>
      <c r="U381" s="3">
        <f>LEN(A381) - LEN(SUBSTITUTE(A381,"&gt;","")) +1</f>
        <v>5</v>
      </c>
      <c r="V381" s="8">
        <f t="shared" si="51"/>
        <v>8.8125914306360926E-4</v>
      </c>
      <c r="W381" s="14">
        <f t="shared" si="52"/>
        <v>405.67402879999997</v>
      </c>
      <c r="X381" s="4">
        <f t="shared" si="53"/>
        <v>3.4757330487057665E-4</v>
      </c>
    </row>
    <row r="382" spans="1:24" ht="14.25" customHeight="1" x14ac:dyDescent="0.2">
      <c r="A382" s="5" t="s">
        <v>1815</v>
      </c>
      <c r="B382" s="3" t="s">
        <v>14</v>
      </c>
      <c r="C382" s="3" t="s">
        <v>15</v>
      </c>
      <c r="D382" s="3" t="s">
        <v>2393</v>
      </c>
      <c r="E382" s="3" t="s">
        <v>2394</v>
      </c>
      <c r="F382" s="3" t="s">
        <v>392</v>
      </c>
      <c r="G382" s="3" t="s">
        <v>64</v>
      </c>
      <c r="H382" s="3" t="s">
        <v>19</v>
      </c>
      <c r="I382" s="3">
        <v>16227</v>
      </c>
      <c r="J382" s="3">
        <v>4</v>
      </c>
      <c r="K382" s="3">
        <v>9438</v>
      </c>
      <c r="L382" s="3">
        <v>15611</v>
      </c>
      <c r="M382" s="3">
        <v>3</v>
      </c>
      <c r="N382" s="14">
        <v>1991.9438399999999</v>
      </c>
      <c r="O382" s="7">
        <f t="shared" si="45"/>
        <v>2.4650274234300856E-2</v>
      </c>
      <c r="P382" s="14">
        <f t="shared" si="46"/>
        <v>497.98595999999998</v>
      </c>
      <c r="Q382" s="14">
        <f t="shared" si="47"/>
        <v>663.98127999999997</v>
      </c>
      <c r="R382" s="4">
        <f t="shared" si="48"/>
        <v>75</v>
      </c>
      <c r="S382" s="14">
        <f t="shared" si="49"/>
        <v>127.59873422586637</v>
      </c>
      <c r="T382" s="4">
        <f t="shared" si="50"/>
        <v>58.162322055832874</v>
      </c>
      <c r="U382" s="3">
        <f>LEN(A382) - LEN(SUBSTITUTE(A382,"&gt;","")) +1</f>
        <v>4</v>
      </c>
      <c r="V382" s="8">
        <f t="shared" si="51"/>
        <v>4.6219264189314106E-3</v>
      </c>
      <c r="W382" s="14">
        <f t="shared" si="52"/>
        <v>497.98595999999998</v>
      </c>
      <c r="X382" s="4">
        <f t="shared" si="53"/>
        <v>2.7843715226016077E-3</v>
      </c>
    </row>
    <row r="383" spans="1:24" ht="14.25" customHeight="1" x14ac:dyDescent="0.2">
      <c r="A383" s="5" t="s">
        <v>1816</v>
      </c>
      <c r="B383" s="3" t="s">
        <v>14</v>
      </c>
      <c r="C383" s="3" t="s">
        <v>35</v>
      </c>
      <c r="D383" s="3" t="s">
        <v>2355</v>
      </c>
      <c r="E383" s="3" t="s">
        <v>2356</v>
      </c>
      <c r="F383" s="3" t="s">
        <v>579</v>
      </c>
      <c r="G383" s="3" t="s">
        <v>323</v>
      </c>
      <c r="H383" s="3" t="s">
        <v>19</v>
      </c>
      <c r="I383" s="3">
        <v>12148</v>
      </c>
      <c r="J383" s="3">
        <v>4</v>
      </c>
      <c r="K383" s="3">
        <v>7950</v>
      </c>
      <c r="L383" s="3">
        <v>11360</v>
      </c>
      <c r="M383" s="3">
        <v>9</v>
      </c>
      <c r="N383" s="14">
        <v>1936.008049</v>
      </c>
      <c r="O383" s="7">
        <f t="shared" si="45"/>
        <v>3.2927230819888048E-2</v>
      </c>
      <c r="P383" s="14">
        <f t="shared" si="46"/>
        <v>484.00201225000001</v>
      </c>
      <c r="Q383" s="14">
        <f t="shared" si="47"/>
        <v>215.11200544444443</v>
      </c>
      <c r="R383" s="4">
        <f t="shared" si="48"/>
        <v>225</v>
      </c>
      <c r="S383" s="14">
        <f t="shared" si="49"/>
        <v>170.42324375000001</v>
      </c>
      <c r="T383" s="4">
        <f t="shared" si="50"/>
        <v>65.442871254527489</v>
      </c>
      <c r="U383" s="3">
        <f>LEN(A383) - LEN(SUBSTITUTE(A383,"&gt;","")) +1</f>
        <v>4</v>
      </c>
      <c r="V383" s="8">
        <f t="shared" si="51"/>
        <v>1.8521567336187025E-2</v>
      </c>
      <c r="W383" s="14">
        <f t="shared" si="52"/>
        <v>484.00201225000001</v>
      </c>
      <c r="X383" s="4">
        <f t="shared" si="53"/>
        <v>3.4440787808043508E-2</v>
      </c>
    </row>
    <row r="384" spans="1:24" ht="14.25" customHeight="1" x14ac:dyDescent="0.2">
      <c r="A384" s="5" t="s">
        <v>1817</v>
      </c>
      <c r="B384" s="3" t="s">
        <v>68</v>
      </c>
      <c r="C384" s="3" t="s">
        <v>15</v>
      </c>
      <c r="D384" s="3" t="s">
        <v>2367</v>
      </c>
      <c r="E384" s="3" t="s">
        <v>2352</v>
      </c>
      <c r="F384" s="3" t="s">
        <v>161</v>
      </c>
      <c r="G384" s="3" t="s">
        <v>27</v>
      </c>
      <c r="H384" s="3" t="s">
        <v>19</v>
      </c>
      <c r="I384" s="3">
        <v>63415</v>
      </c>
      <c r="J384" s="3">
        <v>4</v>
      </c>
      <c r="K384" s="3">
        <v>28161</v>
      </c>
      <c r="L384" s="3">
        <v>59169</v>
      </c>
      <c r="M384" s="3">
        <v>9</v>
      </c>
      <c r="N384" s="14">
        <v>1924.162675</v>
      </c>
      <c r="O384" s="7">
        <f t="shared" si="45"/>
        <v>6.3076559173697068E-3</v>
      </c>
      <c r="P384" s="14">
        <f t="shared" si="46"/>
        <v>481.04066875000001</v>
      </c>
      <c r="Q384" s="14">
        <f t="shared" si="47"/>
        <v>213.79585277777778</v>
      </c>
      <c r="R384" s="4">
        <f t="shared" si="48"/>
        <v>225</v>
      </c>
      <c r="S384" s="14">
        <f t="shared" si="49"/>
        <v>32.51977682570265</v>
      </c>
      <c r="T384" s="4">
        <f t="shared" si="50"/>
        <v>44.407474572262082</v>
      </c>
      <c r="U384" s="3">
        <f>LEN(A384) - LEN(SUBSTITUTE(A384,"&gt;","")) +1</f>
        <v>3</v>
      </c>
      <c r="V384" s="8">
        <f t="shared" si="51"/>
        <v>3.5480564535204603E-3</v>
      </c>
      <c r="W384" s="14">
        <f t="shared" si="52"/>
        <v>641.38755833333335</v>
      </c>
      <c r="X384" s="4">
        <f t="shared" si="53"/>
        <v>6.6382138052197984E-3</v>
      </c>
    </row>
    <row r="385" spans="1:24" ht="14.25" customHeight="1" x14ac:dyDescent="0.2">
      <c r="A385" s="5" t="s">
        <v>1818</v>
      </c>
      <c r="B385" s="3" t="s">
        <v>24</v>
      </c>
      <c r="C385" s="3" t="s">
        <v>29</v>
      </c>
      <c r="D385" s="3" t="s">
        <v>2357</v>
      </c>
      <c r="E385" s="3" t="s">
        <v>2358</v>
      </c>
      <c r="F385" s="3" t="s">
        <v>210</v>
      </c>
      <c r="G385" s="3" t="s">
        <v>27</v>
      </c>
      <c r="H385" s="3" t="s">
        <v>19</v>
      </c>
      <c r="I385" s="3">
        <v>12864</v>
      </c>
      <c r="J385" s="3">
        <v>4</v>
      </c>
      <c r="K385" s="3">
        <v>5549</v>
      </c>
      <c r="L385" s="3">
        <v>11852</v>
      </c>
      <c r="M385" s="3">
        <v>1</v>
      </c>
      <c r="N385" s="14">
        <v>1905.8896930000001</v>
      </c>
      <c r="O385" s="7">
        <f t="shared" si="45"/>
        <v>3.109452736318408E-2</v>
      </c>
      <c r="P385" s="14">
        <f t="shared" si="46"/>
        <v>476.47242325000002</v>
      </c>
      <c r="Q385" s="14">
        <f t="shared" si="47"/>
        <v>1905.8896930000001</v>
      </c>
      <c r="R385" s="4">
        <f t="shared" si="48"/>
        <v>25</v>
      </c>
      <c r="S385" s="14">
        <f t="shared" si="49"/>
        <v>160.80743275396557</v>
      </c>
      <c r="T385" s="4">
        <f t="shared" si="50"/>
        <v>43.135883084577117</v>
      </c>
      <c r="U385" s="3">
        <f>LEN(A385) - LEN(SUBSTITUTE(A385,"&gt;","")) +1</f>
        <v>4</v>
      </c>
      <c r="V385" s="8">
        <f t="shared" si="51"/>
        <v>1.943407960199005E-3</v>
      </c>
      <c r="W385" s="14">
        <f t="shared" si="52"/>
        <v>476.47242325000002</v>
      </c>
      <c r="X385" s="4">
        <f t="shared" si="53"/>
        <v>4.0787417390141792E-4</v>
      </c>
    </row>
    <row r="386" spans="1:24" ht="14.25" customHeight="1" x14ac:dyDescent="0.2">
      <c r="A386" s="5" t="s">
        <v>1819</v>
      </c>
      <c r="B386" s="3" t="s">
        <v>24</v>
      </c>
      <c r="C386" s="3" t="s">
        <v>15</v>
      </c>
      <c r="D386" s="3" t="s">
        <v>2349</v>
      </c>
      <c r="E386" s="3" t="s">
        <v>2350</v>
      </c>
      <c r="F386" s="3" t="s">
        <v>583</v>
      </c>
      <c r="G386" s="3" t="s">
        <v>27</v>
      </c>
      <c r="H386" s="3" t="s">
        <v>114</v>
      </c>
      <c r="I386" s="3">
        <v>20459</v>
      </c>
      <c r="J386" s="3">
        <v>4</v>
      </c>
      <c r="K386" s="3">
        <v>12668</v>
      </c>
      <c r="L386" s="3">
        <v>18613</v>
      </c>
      <c r="M386" s="3">
        <v>2</v>
      </c>
      <c r="N386" s="14">
        <v>1842.6065129999999</v>
      </c>
      <c r="O386" s="7">
        <f t="shared" si="45"/>
        <v>1.955129771738599E-2</v>
      </c>
      <c r="P386" s="14">
        <f t="shared" si="46"/>
        <v>460.65162824999999</v>
      </c>
      <c r="Q386" s="14">
        <f t="shared" si="47"/>
        <v>921.30325649999997</v>
      </c>
      <c r="R386" s="4">
        <f t="shared" si="48"/>
        <v>50</v>
      </c>
      <c r="S386" s="14">
        <f t="shared" si="49"/>
        <v>98.995675764250791</v>
      </c>
      <c r="T386" s="4">
        <f t="shared" si="50"/>
        <v>61.91895987096143</v>
      </c>
      <c r="U386" s="3">
        <f>LEN(A386) - LEN(SUBSTITUTE(A386,"&gt;","")) +1</f>
        <v>4</v>
      </c>
      <c r="V386" s="8">
        <f t="shared" si="51"/>
        <v>2.4439122146732491E-3</v>
      </c>
      <c r="W386" s="14">
        <f t="shared" si="52"/>
        <v>460.65162824999999</v>
      </c>
      <c r="X386" s="4">
        <f t="shared" si="53"/>
        <v>1.0610674378630067E-3</v>
      </c>
    </row>
    <row r="387" spans="1:24" ht="14.25" customHeight="1" x14ac:dyDescent="0.2">
      <c r="A387" s="5" t="s">
        <v>1501</v>
      </c>
      <c r="B387" s="3" t="s">
        <v>14</v>
      </c>
      <c r="C387" s="3" t="s">
        <v>32</v>
      </c>
      <c r="D387" s="3" t="s">
        <v>2349</v>
      </c>
      <c r="E387" s="3" t="s">
        <v>2350</v>
      </c>
      <c r="F387" s="3" t="s">
        <v>585</v>
      </c>
      <c r="G387" s="3" t="s">
        <v>41</v>
      </c>
      <c r="H387" s="3" t="s">
        <v>19</v>
      </c>
      <c r="I387" s="3">
        <v>16137</v>
      </c>
      <c r="J387" s="3">
        <v>4</v>
      </c>
      <c r="K387" s="3">
        <v>7938</v>
      </c>
      <c r="L387" s="3">
        <v>14030</v>
      </c>
      <c r="M387" s="3">
        <v>1</v>
      </c>
      <c r="N387" s="14">
        <v>1835.048738</v>
      </c>
      <c r="O387" s="7">
        <f t="shared" ref="O387:O450" si="54">IFERROR((J387/I387)*100, 0)</f>
        <v>2.4787754849104542E-2</v>
      </c>
      <c r="P387" s="14">
        <f t="shared" ref="P387:P450" si="55">IFERROR(N387/J387, 0)</f>
        <v>458.76218449999999</v>
      </c>
      <c r="Q387" s="14">
        <f t="shared" ref="Q387:Q450" si="56">IFERROR(N387/M387, 0)</f>
        <v>1835.048738</v>
      </c>
      <c r="R387" s="4">
        <f t="shared" ref="R387:R450" si="57">IFERROR((M387/J387)*100, 0)</f>
        <v>25</v>
      </c>
      <c r="S387" s="14">
        <f t="shared" ref="S387:S450" si="58">IFERROR((N387/L387)*1000, 0)</f>
        <v>130.79463563791873</v>
      </c>
      <c r="T387" s="4">
        <f t="shared" ref="T387:T450" si="59">(K387/I387)*100</f>
        <v>49.191299498047961</v>
      </c>
      <c r="U387" s="3">
        <f>LEN(A387) - LEN(SUBSTITUTE(A387,"&gt;","")) +1</f>
        <v>2</v>
      </c>
      <c r="V387" s="8">
        <f t="shared" ref="V387:V450" si="60">R387/I387</f>
        <v>1.5492346780690339E-3</v>
      </c>
      <c r="W387" s="14">
        <f t="shared" ref="W387:W450" si="61">N387/U387</f>
        <v>917.52436899999998</v>
      </c>
      <c r="X387" s="4">
        <f t="shared" ref="X387:X450" si="62">(O387*R387/Q387)</f>
        <v>3.3769886237627195E-4</v>
      </c>
    </row>
    <row r="388" spans="1:24" ht="14.25" customHeight="1" x14ac:dyDescent="0.2">
      <c r="A388" s="5" t="s">
        <v>586</v>
      </c>
      <c r="B388" s="3" t="s">
        <v>24</v>
      </c>
      <c r="C388" s="3" t="s">
        <v>29</v>
      </c>
      <c r="D388" s="3" t="s">
        <v>2359</v>
      </c>
      <c r="E388" s="3" t="s">
        <v>2360</v>
      </c>
      <c r="F388" s="3" t="s">
        <v>481</v>
      </c>
      <c r="G388" s="3" t="s">
        <v>27</v>
      </c>
      <c r="H388" s="3" t="s">
        <v>19</v>
      </c>
      <c r="I388" s="3">
        <v>12280</v>
      </c>
      <c r="J388" s="3">
        <v>4</v>
      </c>
      <c r="K388" s="3">
        <v>9613</v>
      </c>
      <c r="L388" s="3">
        <v>11247</v>
      </c>
      <c r="M388" s="3">
        <v>1</v>
      </c>
      <c r="N388" s="14">
        <v>1765.3987099999999</v>
      </c>
      <c r="O388" s="7">
        <f t="shared" si="54"/>
        <v>3.2573289902280131E-2</v>
      </c>
      <c r="P388" s="14">
        <f t="shared" si="55"/>
        <v>441.34967749999998</v>
      </c>
      <c r="Q388" s="14">
        <f t="shared" si="56"/>
        <v>1765.3987099999999</v>
      </c>
      <c r="R388" s="4">
        <f t="shared" si="57"/>
        <v>25</v>
      </c>
      <c r="S388" s="14">
        <f t="shared" si="58"/>
        <v>156.96618742775851</v>
      </c>
      <c r="T388" s="4">
        <f t="shared" si="59"/>
        <v>78.281758957654716</v>
      </c>
      <c r="U388" s="3">
        <f>LEN(A388) - LEN(SUBSTITUTE(A388,"&gt;","")) +1</f>
        <v>1</v>
      </c>
      <c r="V388" s="8">
        <f t="shared" si="60"/>
        <v>2.0358306188925082E-3</v>
      </c>
      <c r="W388" s="14">
        <f t="shared" si="61"/>
        <v>1765.3987099999999</v>
      </c>
      <c r="X388" s="4">
        <f t="shared" si="62"/>
        <v>4.6127384309519706E-4</v>
      </c>
    </row>
    <row r="389" spans="1:24" ht="14.25" customHeight="1" x14ac:dyDescent="0.2">
      <c r="A389" s="5" t="s">
        <v>587</v>
      </c>
      <c r="B389" s="3" t="s">
        <v>24</v>
      </c>
      <c r="C389" s="3" t="s">
        <v>29</v>
      </c>
      <c r="D389" s="3" t="s">
        <v>2357</v>
      </c>
      <c r="E389" s="3" t="s">
        <v>2358</v>
      </c>
      <c r="F389" s="3" t="s">
        <v>588</v>
      </c>
      <c r="G389" s="3" t="s">
        <v>323</v>
      </c>
      <c r="H389" s="3" t="s">
        <v>19</v>
      </c>
      <c r="I389" s="3">
        <v>9149</v>
      </c>
      <c r="J389" s="3">
        <v>4</v>
      </c>
      <c r="K389" s="3">
        <v>4568</v>
      </c>
      <c r="L389" s="3">
        <v>8648</v>
      </c>
      <c r="M389" s="3">
        <v>1</v>
      </c>
      <c r="N389" s="14">
        <v>1758.0983650000001</v>
      </c>
      <c r="O389" s="7">
        <f t="shared" si="54"/>
        <v>4.3720625204940432E-2</v>
      </c>
      <c r="P389" s="14">
        <f t="shared" si="55"/>
        <v>439.52459125000001</v>
      </c>
      <c r="Q389" s="14">
        <f t="shared" si="56"/>
        <v>1758.0983650000001</v>
      </c>
      <c r="R389" s="4">
        <f t="shared" si="57"/>
        <v>25</v>
      </c>
      <c r="S389" s="14">
        <f t="shared" si="58"/>
        <v>203.29537060592045</v>
      </c>
      <c r="T389" s="4">
        <f t="shared" si="59"/>
        <v>49.928953984041975</v>
      </c>
      <c r="U389" s="3">
        <f>LEN(A389) - LEN(SUBSTITUTE(A389,"&gt;","")) +1</f>
        <v>1</v>
      </c>
      <c r="V389" s="8">
        <f t="shared" si="60"/>
        <v>2.732539075308777E-3</v>
      </c>
      <c r="W389" s="14">
        <f t="shared" si="61"/>
        <v>1758.0983650000001</v>
      </c>
      <c r="X389" s="4">
        <f t="shared" si="62"/>
        <v>6.2170334259056706E-4</v>
      </c>
    </row>
    <row r="390" spans="1:24" ht="14.25" customHeight="1" x14ac:dyDescent="0.2">
      <c r="A390" s="5" t="s">
        <v>1820</v>
      </c>
      <c r="B390" s="3" t="s">
        <v>14</v>
      </c>
      <c r="C390" s="3" t="s">
        <v>35</v>
      </c>
      <c r="D390" s="3" t="s">
        <v>2397</v>
      </c>
      <c r="E390" s="3" t="s">
        <v>2360</v>
      </c>
      <c r="F390" s="3" t="s">
        <v>107</v>
      </c>
      <c r="G390" s="3" t="s">
        <v>27</v>
      </c>
      <c r="H390" s="3" t="s">
        <v>19</v>
      </c>
      <c r="I390" s="3">
        <v>91593</v>
      </c>
      <c r="J390" s="3">
        <v>4</v>
      </c>
      <c r="K390" s="3">
        <v>51004</v>
      </c>
      <c r="L390" s="3">
        <v>82985</v>
      </c>
      <c r="M390" s="3">
        <v>18</v>
      </c>
      <c r="N390" s="14">
        <v>1731.5848619999999</v>
      </c>
      <c r="O390" s="7">
        <f t="shared" si="54"/>
        <v>4.3671459609358797E-3</v>
      </c>
      <c r="P390" s="14">
        <f t="shared" si="55"/>
        <v>432.89621549999998</v>
      </c>
      <c r="Q390" s="14">
        <f t="shared" si="56"/>
        <v>96.199158999999995</v>
      </c>
      <c r="R390" s="4">
        <f t="shared" si="57"/>
        <v>450</v>
      </c>
      <c r="S390" s="14">
        <f t="shared" si="58"/>
        <v>20.866239223956136</v>
      </c>
      <c r="T390" s="4">
        <f t="shared" si="59"/>
        <v>55.685478147893399</v>
      </c>
      <c r="U390" s="3">
        <f>LEN(A390) - LEN(SUBSTITUTE(A390,"&gt;","")) +1</f>
        <v>4</v>
      </c>
      <c r="V390" s="8">
        <f t="shared" si="60"/>
        <v>4.9130392060528641E-3</v>
      </c>
      <c r="W390" s="14">
        <f t="shared" si="61"/>
        <v>432.89621549999998</v>
      </c>
      <c r="X390" s="4">
        <f t="shared" si="62"/>
        <v>2.042861603832884E-2</v>
      </c>
    </row>
    <row r="391" spans="1:24" ht="14.25" customHeight="1" x14ac:dyDescent="0.2">
      <c r="A391" s="5" t="s">
        <v>1821</v>
      </c>
      <c r="B391" s="3" t="s">
        <v>24</v>
      </c>
      <c r="C391" s="3" t="s">
        <v>15</v>
      </c>
      <c r="D391" s="3" t="s">
        <v>2349</v>
      </c>
      <c r="E391" s="3" t="s">
        <v>2350</v>
      </c>
      <c r="F391" s="3" t="s">
        <v>591</v>
      </c>
      <c r="G391" s="3" t="s">
        <v>38</v>
      </c>
      <c r="H391" s="3" t="s">
        <v>19</v>
      </c>
      <c r="I391" s="3">
        <v>13642</v>
      </c>
      <c r="J391" s="3">
        <v>4</v>
      </c>
      <c r="K391" s="3">
        <v>9830</v>
      </c>
      <c r="L391" s="3">
        <v>11658</v>
      </c>
      <c r="M391" s="3">
        <v>1</v>
      </c>
      <c r="N391" s="14">
        <v>1731.2718480000001</v>
      </c>
      <c r="O391" s="7">
        <f t="shared" si="54"/>
        <v>2.9321213898255385E-2</v>
      </c>
      <c r="P391" s="14">
        <f t="shared" si="55"/>
        <v>432.81796200000002</v>
      </c>
      <c r="Q391" s="14">
        <f t="shared" si="56"/>
        <v>1731.2718480000001</v>
      </c>
      <c r="R391" s="4">
        <f t="shared" si="57"/>
        <v>25</v>
      </c>
      <c r="S391" s="14">
        <f t="shared" si="58"/>
        <v>148.50504786412762</v>
      </c>
      <c r="T391" s="4">
        <f t="shared" si="59"/>
        <v>72.05688315496262</v>
      </c>
      <c r="U391" s="3">
        <f>LEN(A391) - LEN(SUBSTITUTE(A391,"&gt;","")) +1</f>
        <v>4</v>
      </c>
      <c r="V391" s="8">
        <f t="shared" si="60"/>
        <v>1.8325758686409618E-3</v>
      </c>
      <c r="W391" s="14">
        <f t="shared" si="61"/>
        <v>432.81796200000002</v>
      </c>
      <c r="X391" s="4">
        <f t="shared" si="62"/>
        <v>4.2340568773367162E-4</v>
      </c>
    </row>
    <row r="392" spans="1:24" ht="14.25" customHeight="1" x14ac:dyDescent="0.2">
      <c r="A392" s="5" t="s">
        <v>1822</v>
      </c>
      <c r="B392" s="3" t="s">
        <v>24</v>
      </c>
      <c r="C392" s="3" t="s">
        <v>15</v>
      </c>
      <c r="D392" s="3" t="s">
        <v>2357</v>
      </c>
      <c r="E392" s="3" t="s">
        <v>2358</v>
      </c>
      <c r="F392" s="3" t="s">
        <v>481</v>
      </c>
      <c r="G392" s="3" t="s">
        <v>38</v>
      </c>
      <c r="H392" s="3" t="s">
        <v>114</v>
      </c>
      <c r="I392" s="3">
        <v>22934</v>
      </c>
      <c r="J392" s="3">
        <v>4</v>
      </c>
      <c r="K392" s="3">
        <v>18536</v>
      </c>
      <c r="L392" s="3">
        <v>21019</v>
      </c>
      <c r="M392" s="3">
        <v>1</v>
      </c>
      <c r="N392" s="14">
        <v>1711.1063380000001</v>
      </c>
      <c r="O392" s="7">
        <f t="shared" si="54"/>
        <v>1.7441353449027645E-2</v>
      </c>
      <c r="P392" s="14">
        <f t="shared" si="55"/>
        <v>427.77658450000001</v>
      </c>
      <c r="Q392" s="14">
        <f t="shared" si="56"/>
        <v>1711.1063380000001</v>
      </c>
      <c r="R392" s="4">
        <f t="shared" si="57"/>
        <v>25</v>
      </c>
      <c r="S392" s="14">
        <f t="shared" si="58"/>
        <v>81.407599695513582</v>
      </c>
      <c r="T392" s="4">
        <f t="shared" si="59"/>
        <v>80.823231882794104</v>
      </c>
      <c r="U392" s="3">
        <f>LEN(A392) - LEN(SUBSTITUTE(A392,"&gt;","")) +1</f>
        <v>4</v>
      </c>
      <c r="V392" s="8">
        <f t="shared" si="60"/>
        <v>1.0900845905642278E-3</v>
      </c>
      <c r="W392" s="14">
        <f t="shared" si="61"/>
        <v>427.77658450000001</v>
      </c>
      <c r="X392" s="4">
        <f t="shared" si="62"/>
        <v>2.5482568005407688E-4</v>
      </c>
    </row>
    <row r="393" spans="1:24" ht="14.25" customHeight="1" x14ac:dyDescent="0.2">
      <c r="A393" s="5" t="s">
        <v>593</v>
      </c>
      <c r="B393" s="3" t="s">
        <v>24</v>
      </c>
      <c r="C393" s="3" t="s">
        <v>35</v>
      </c>
      <c r="D393" s="3" t="s">
        <v>2362</v>
      </c>
      <c r="E393" s="3" t="s">
        <v>2352</v>
      </c>
      <c r="F393" s="3" t="s">
        <v>478</v>
      </c>
      <c r="G393" s="3" t="s">
        <v>22</v>
      </c>
      <c r="H393" s="3" t="s">
        <v>19</v>
      </c>
      <c r="I393" s="3">
        <v>12319</v>
      </c>
      <c r="J393" s="3">
        <v>4</v>
      </c>
      <c r="K393" s="3">
        <v>7028</v>
      </c>
      <c r="L393" s="3">
        <v>10191</v>
      </c>
      <c r="M393" s="3">
        <v>1</v>
      </c>
      <c r="N393" s="14">
        <v>1668.0160000000001</v>
      </c>
      <c r="O393" s="7">
        <f t="shared" si="54"/>
        <v>3.247016803311957E-2</v>
      </c>
      <c r="P393" s="14">
        <f t="shared" si="55"/>
        <v>417.00400000000002</v>
      </c>
      <c r="Q393" s="14">
        <f t="shared" si="56"/>
        <v>1668.0160000000001</v>
      </c>
      <c r="R393" s="4">
        <f t="shared" si="57"/>
        <v>25</v>
      </c>
      <c r="S393" s="14">
        <f t="shared" si="58"/>
        <v>163.67539986262389</v>
      </c>
      <c r="T393" s="4">
        <f t="shared" si="59"/>
        <v>57.050085234191087</v>
      </c>
      <c r="U393" s="3">
        <f>LEN(A393) - LEN(SUBSTITUTE(A393,"&gt;","")) +1</f>
        <v>1</v>
      </c>
      <c r="V393" s="8">
        <f t="shared" si="60"/>
        <v>2.0293855020699731E-3</v>
      </c>
      <c r="W393" s="14">
        <f t="shared" si="61"/>
        <v>1668.0160000000001</v>
      </c>
      <c r="X393" s="4">
        <f t="shared" si="62"/>
        <v>4.8665852175757855E-4</v>
      </c>
    </row>
    <row r="394" spans="1:24" ht="14.25" customHeight="1" x14ac:dyDescent="0.2">
      <c r="A394" s="5" t="s">
        <v>1823</v>
      </c>
      <c r="B394" s="3" t="s">
        <v>24</v>
      </c>
      <c r="C394" s="3" t="s">
        <v>29</v>
      </c>
      <c r="D394" s="3" t="s">
        <v>2357</v>
      </c>
      <c r="E394" s="3" t="s">
        <v>2358</v>
      </c>
      <c r="F394" s="3" t="s">
        <v>595</v>
      </c>
      <c r="G394" s="3" t="s">
        <v>22</v>
      </c>
      <c r="H394" s="3" t="s">
        <v>163</v>
      </c>
      <c r="I394" s="3">
        <v>12001</v>
      </c>
      <c r="J394" s="3">
        <v>4</v>
      </c>
      <c r="K394" s="3">
        <v>7173</v>
      </c>
      <c r="L394" s="3">
        <v>11432</v>
      </c>
      <c r="M394" s="3">
        <v>2</v>
      </c>
      <c r="N394" s="14">
        <v>1659.9327129999999</v>
      </c>
      <c r="O394" s="7">
        <f t="shared" si="54"/>
        <v>3.3330555787017754E-2</v>
      </c>
      <c r="P394" s="14">
        <f t="shared" si="55"/>
        <v>414.98317824999998</v>
      </c>
      <c r="Q394" s="14">
        <f t="shared" si="56"/>
        <v>829.96635649999996</v>
      </c>
      <c r="R394" s="4">
        <f t="shared" si="57"/>
        <v>50</v>
      </c>
      <c r="S394" s="14">
        <f t="shared" si="58"/>
        <v>145.20055222183345</v>
      </c>
      <c r="T394" s="4">
        <f t="shared" si="59"/>
        <v>59.770019165069577</v>
      </c>
      <c r="U394" s="3">
        <f>LEN(A394) - LEN(SUBSTITUTE(A394,"&gt;","")) +1</f>
        <v>4</v>
      </c>
      <c r="V394" s="8">
        <f t="shared" si="60"/>
        <v>4.1663194733772184E-3</v>
      </c>
      <c r="W394" s="14">
        <f t="shared" si="61"/>
        <v>414.98317824999998</v>
      </c>
      <c r="X394" s="4">
        <f t="shared" si="62"/>
        <v>2.0079461972153899E-3</v>
      </c>
    </row>
    <row r="395" spans="1:24" ht="14.25" customHeight="1" x14ac:dyDescent="0.2">
      <c r="A395" s="5" t="s">
        <v>1824</v>
      </c>
      <c r="B395" s="3" t="s">
        <v>24</v>
      </c>
      <c r="C395" s="3" t="s">
        <v>29</v>
      </c>
      <c r="D395" s="3" t="s">
        <v>2396</v>
      </c>
      <c r="E395" s="3" t="s">
        <v>2394</v>
      </c>
      <c r="F395" s="3" t="s">
        <v>597</v>
      </c>
      <c r="G395" s="3" t="s">
        <v>27</v>
      </c>
      <c r="H395" s="3" t="s">
        <v>114</v>
      </c>
      <c r="I395" s="3">
        <v>38070</v>
      </c>
      <c r="J395" s="3">
        <v>4</v>
      </c>
      <c r="K395" s="3">
        <v>15253</v>
      </c>
      <c r="L395" s="3">
        <v>35453</v>
      </c>
      <c r="M395" s="3">
        <v>1</v>
      </c>
      <c r="N395" s="14">
        <v>1653.510777</v>
      </c>
      <c r="O395" s="7">
        <f t="shared" si="54"/>
        <v>1.050696086157079E-2</v>
      </c>
      <c r="P395" s="14">
        <f t="shared" si="55"/>
        <v>413.37769424999999</v>
      </c>
      <c r="Q395" s="14">
        <f t="shared" si="56"/>
        <v>1653.510777</v>
      </c>
      <c r="R395" s="4">
        <f t="shared" si="57"/>
        <v>25</v>
      </c>
      <c r="S395" s="14">
        <f t="shared" si="58"/>
        <v>46.639516458409723</v>
      </c>
      <c r="T395" s="4">
        <f t="shared" si="59"/>
        <v>40.065668505384814</v>
      </c>
      <c r="U395" s="3">
        <f>LEN(A395) - LEN(SUBSTITUTE(A395,"&gt;","")) +1</f>
        <v>3</v>
      </c>
      <c r="V395" s="8">
        <f t="shared" si="60"/>
        <v>6.5668505384817446E-4</v>
      </c>
      <c r="W395" s="14">
        <f t="shared" si="61"/>
        <v>551.17025899999999</v>
      </c>
      <c r="X395" s="4">
        <f t="shared" si="62"/>
        <v>1.5885836681140043E-4</v>
      </c>
    </row>
    <row r="396" spans="1:24" ht="14.25" customHeight="1" x14ac:dyDescent="0.2">
      <c r="A396" s="5" t="s">
        <v>1825</v>
      </c>
      <c r="B396" s="3" t="s">
        <v>14</v>
      </c>
      <c r="C396" s="3" t="s">
        <v>29</v>
      </c>
      <c r="D396" s="3" t="s">
        <v>2368</v>
      </c>
      <c r="E396" s="3" t="s">
        <v>2352</v>
      </c>
      <c r="F396" s="3" t="s">
        <v>191</v>
      </c>
      <c r="G396" s="3" t="s">
        <v>27</v>
      </c>
      <c r="H396" s="3" t="s">
        <v>19</v>
      </c>
      <c r="I396" s="3">
        <v>52582</v>
      </c>
      <c r="J396" s="3">
        <v>4</v>
      </c>
      <c r="K396" s="3">
        <v>22065</v>
      </c>
      <c r="L396" s="3">
        <v>46126</v>
      </c>
      <c r="M396" s="3">
        <v>14</v>
      </c>
      <c r="N396" s="14">
        <v>1631.741712</v>
      </c>
      <c r="O396" s="7">
        <f t="shared" si="54"/>
        <v>7.6071659503252065E-3</v>
      </c>
      <c r="P396" s="14">
        <f t="shared" si="55"/>
        <v>407.935428</v>
      </c>
      <c r="Q396" s="14">
        <f t="shared" si="56"/>
        <v>116.55297942857143</v>
      </c>
      <c r="R396" s="4">
        <f t="shared" si="57"/>
        <v>350</v>
      </c>
      <c r="S396" s="14">
        <f t="shared" si="58"/>
        <v>35.375747127433549</v>
      </c>
      <c r="T396" s="4">
        <f t="shared" si="59"/>
        <v>41.963029173481416</v>
      </c>
      <c r="U396" s="3">
        <f>LEN(A396) - LEN(SUBSTITUTE(A396,"&gt;","")) +1</f>
        <v>4</v>
      </c>
      <c r="V396" s="8">
        <f t="shared" si="60"/>
        <v>6.6562702065345557E-3</v>
      </c>
      <c r="W396" s="14">
        <f t="shared" si="61"/>
        <v>407.935428</v>
      </c>
      <c r="X396" s="4">
        <f t="shared" si="62"/>
        <v>2.2843758226236674E-2</v>
      </c>
    </row>
    <row r="397" spans="1:24" ht="14.25" customHeight="1" x14ac:dyDescent="0.2">
      <c r="A397" s="5" t="s">
        <v>1826</v>
      </c>
      <c r="B397" s="3" t="s">
        <v>24</v>
      </c>
      <c r="C397" s="3" t="s">
        <v>15</v>
      </c>
      <c r="D397" s="3" t="s">
        <v>2363</v>
      </c>
      <c r="E397" s="3" t="s">
        <v>2358</v>
      </c>
      <c r="F397" s="3" t="s">
        <v>600</v>
      </c>
      <c r="G397" s="3" t="s">
        <v>27</v>
      </c>
      <c r="H397" s="3" t="s">
        <v>114</v>
      </c>
      <c r="I397" s="3">
        <v>16354</v>
      </c>
      <c r="J397" s="3">
        <v>4</v>
      </c>
      <c r="K397" s="3">
        <v>8061</v>
      </c>
      <c r="L397" s="3">
        <v>15667</v>
      </c>
      <c r="M397" s="3">
        <v>1</v>
      </c>
      <c r="N397" s="14">
        <v>1610.3199770000001</v>
      </c>
      <c r="O397" s="7">
        <f t="shared" si="54"/>
        <v>2.4458847988259754E-2</v>
      </c>
      <c r="P397" s="14">
        <f t="shared" si="55"/>
        <v>402.57999425000003</v>
      </c>
      <c r="Q397" s="14">
        <f t="shared" si="56"/>
        <v>1610.3199770000001</v>
      </c>
      <c r="R397" s="4">
        <f t="shared" si="57"/>
        <v>25</v>
      </c>
      <c r="S397" s="14">
        <f t="shared" si="58"/>
        <v>102.78419461288058</v>
      </c>
      <c r="T397" s="4">
        <f t="shared" si="59"/>
        <v>49.290693408340466</v>
      </c>
      <c r="U397" s="3">
        <f>LEN(A397) - LEN(SUBSTITUTE(A397,"&gt;","")) +1</f>
        <v>5</v>
      </c>
      <c r="V397" s="8">
        <f t="shared" si="60"/>
        <v>1.5286779992662346E-3</v>
      </c>
      <c r="W397" s="14">
        <f t="shared" si="61"/>
        <v>322.06399540000001</v>
      </c>
      <c r="X397" s="4">
        <f t="shared" si="62"/>
        <v>3.7972030928018095E-4</v>
      </c>
    </row>
    <row r="398" spans="1:24" ht="14.25" customHeight="1" x14ac:dyDescent="0.2">
      <c r="A398" s="5" t="s">
        <v>1827</v>
      </c>
      <c r="B398" s="3" t="s">
        <v>24</v>
      </c>
      <c r="C398" s="3" t="s">
        <v>32</v>
      </c>
      <c r="D398" s="3" t="s">
        <v>2361</v>
      </c>
      <c r="E398" s="3" t="s">
        <v>2360</v>
      </c>
      <c r="F398" s="3" t="s">
        <v>301</v>
      </c>
      <c r="G398" s="3" t="s">
        <v>22</v>
      </c>
      <c r="H398" s="3" t="s">
        <v>163</v>
      </c>
      <c r="I398" s="3">
        <v>17645</v>
      </c>
      <c r="J398" s="3">
        <v>4</v>
      </c>
      <c r="K398" s="3">
        <v>9673</v>
      </c>
      <c r="L398" s="3">
        <v>15088</v>
      </c>
      <c r="M398" s="3">
        <v>15</v>
      </c>
      <c r="N398" s="14">
        <v>1591.772246</v>
      </c>
      <c r="O398" s="7">
        <f t="shared" si="54"/>
        <v>2.266931141966563E-2</v>
      </c>
      <c r="P398" s="14">
        <f t="shared" si="55"/>
        <v>397.9430615</v>
      </c>
      <c r="Q398" s="14">
        <f t="shared" si="56"/>
        <v>106.11814973333334</v>
      </c>
      <c r="R398" s="4">
        <f t="shared" si="57"/>
        <v>375</v>
      </c>
      <c r="S398" s="14">
        <f t="shared" si="58"/>
        <v>105.49922097030753</v>
      </c>
      <c r="T398" s="4">
        <f t="shared" si="59"/>
        <v>54.820062340606398</v>
      </c>
      <c r="U398" s="3">
        <f>LEN(A398) - LEN(SUBSTITUTE(A398,"&gt;","")) +1</f>
        <v>4</v>
      </c>
      <c r="V398" s="8">
        <f t="shared" si="60"/>
        <v>2.1252479455936526E-2</v>
      </c>
      <c r="W398" s="14">
        <f t="shared" si="61"/>
        <v>397.9430615</v>
      </c>
      <c r="X398" s="4">
        <f t="shared" si="62"/>
        <v>8.0108744863503015E-2</v>
      </c>
    </row>
    <row r="399" spans="1:24" ht="14.25" customHeight="1" x14ac:dyDescent="0.2">
      <c r="A399" s="5" t="s">
        <v>1828</v>
      </c>
      <c r="B399" s="3" t="s">
        <v>14</v>
      </c>
      <c r="C399" s="3" t="s">
        <v>35</v>
      </c>
      <c r="D399" s="3" t="s">
        <v>2349</v>
      </c>
      <c r="E399" s="3" t="s">
        <v>2350</v>
      </c>
      <c r="F399" s="3" t="s">
        <v>159</v>
      </c>
      <c r="G399" s="3" t="s">
        <v>27</v>
      </c>
      <c r="H399" s="3" t="s">
        <v>19</v>
      </c>
      <c r="I399" s="3">
        <v>33069</v>
      </c>
      <c r="J399" s="3">
        <v>4</v>
      </c>
      <c r="K399" s="3">
        <v>17744</v>
      </c>
      <c r="L399" s="3">
        <v>31192</v>
      </c>
      <c r="M399" s="3">
        <v>1</v>
      </c>
      <c r="N399" s="14">
        <v>1543.3106110000001</v>
      </c>
      <c r="O399" s="7">
        <f t="shared" si="54"/>
        <v>1.209592065076053E-2</v>
      </c>
      <c r="P399" s="14">
        <f t="shared" si="55"/>
        <v>385.82765275000003</v>
      </c>
      <c r="Q399" s="14">
        <f t="shared" si="56"/>
        <v>1543.3106110000001</v>
      </c>
      <c r="R399" s="4">
        <f t="shared" si="57"/>
        <v>25</v>
      </c>
      <c r="S399" s="14">
        <f t="shared" si="58"/>
        <v>49.477770293665046</v>
      </c>
      <c r="T399" s="4">
        <f t="shared" si="59"/>
        <v>53.657504006773713</v>
      </c>
      <c r="U399" s="3">
        <f>LEN(A399) - LEN(SUBSTITUTE(A399,"&gt;","")) +1</f>
        <v>4</v>
      </c>
      <c r="V399" s="8">
        <f t="shared" si="60"/>
        <v>7.5599504067253324E-4</v>
      </c>
      <c r="W399" s="14">
        <f t="shared" si="61"/>
        <v>385.82765275000003</v>
      </c>
      <c r="X399" s="4">
        <f t="shared" si="62"/>
        <v>1.959411243035983E-4</v>
      </c>
    </row>
    <row r="400" spans="1:24" ht="14.25" customHeight="1" x14ac:dyDescent="0.2">
      <c r="A400" s="5" t="s">
        <v>1829</v>
      </c>
      <c r="B400" s="3" t="s">
        <v>24</v>
      </c>
      <c r="C400" s="3" t="s">
        <v>29</v>
      </c>
      <c r="D400" s="3" t="s">
        <v>2363</v>
      </c>
      <c r="E400" s="3" t="s">
        <v>2358</v>
      </c>
      <c r="F400" s="3" t="s">
        <v>347</v>
      </c>
      <c r="G400" s="3" t="s">
        <v>27</v>
      </c>
      <c r="H400" s="3" t="s">
        <v>19</v>
      </c>
      <c r="I400" s="3">
        <v>14763</v>
      </c>
      <c r="J400" s="3">
        <v>4</v>
      </c>
      <c r="K400" s="3">
        <v>8955</v>
      </c>
      <c r="L400" s="3">
        <v>13829</v>
      </c>
      <c r="M400" s="3">
        <v>1</v>
      </c>
      <c r="N400" s="14">
        <v>1531.9268850000001</v>
      </c>
      <c r="O400" s="7">
        <f t="shared" si="54"/>
        <v>2.7094763936869201E-2</v>
      </c>
      <c r="P400" s="14">
        <f t="shared" si="55"/>
        <v>382.98172125000002</v>
      </c>
      <c r="Q400" s="14">
        <f t="shared" si="56"/>
        <v>1531.9268850000001</v>
      </c>
      <c r="R400" s="4">
        <f t="shared" si="57"/>
        <v>25</v>
      </c>
      <c r="S400" s="14">
        <f t="shared" si="58"/>
        <v>110.77640357220335</v>
      </c>
      <c r="T400" s="4">
        <f t="shared" si="59"/>
        <v>60.658402763665919</v>
      </c>
      <c r="U400" s="3">
        <f>LEN(A400) - LEN(SUBSTITUTE(A400,"&gt;","")) +1</f>
        <v>2</v>
      </c>
      <c r="V400" s="8">
        <f t="shared" si="60"/>
        <v>1.6934227460543251E-3</v>
      </c>
      <c r="W400" s="14">
        <f t="shared" si="61"/>
        <v>765.96344250000004</v>
      </c>
      <c r="X400" s="4">
        <f t="shared" si="62"/>
        <v>4.4216803364067206E-4</v>
      </c>
    </row>
    <row r="401" spans="1:24" ht="14.25" customHeight="1" x14ac:dyDescent="0.2">
      <c r="A401" s="5" t="s">
        <v>1830</v>
      </c>
      <c r="B401" s="3" t="s">
        <v>14</v>
      </c>
      <c r="C401" s="3" t="s">
        <v>32</v>
      </c>
      <c r="D401" s="3" t="s">
        <v>2362</v>
      </c>
      <c r="E401" s="3" t="s">
        <v>2352</v>
      </c>
      <c r="F401" s="3" t="s">
        <v>46</v>
      </c>
      <c r="G401" s="3" t="s">
        <v>38</v>
      </c>
      <c r="H401" s="3" t="s">
        <v>19</v>
      </c>
      <c r="I401" s="3">
        <v>8278</v>
      </c>
      <c r="J401" s="3">
        <v>4</v>
      </c>
      <c r="K401" s="3">
        <v>6758</v>
      </c>
      <c r="L401" s="3">
        <v>7537</v>
      </c>
      <c r="M401" s="3">
        <v>1</v>
      </c>
      <c r="N401" s="14">
        <v>1526.296619</v>
      </c>
      <c r="O401" s="7">
        <f t="shared" si="54"/>
        <v>4.8320850446967864E-2</v>
      </c>
      <c r="P401" s="14">
        <f t="shared" si="55"/>
        <v>381.57415474999999</v>
      </c>
      <c r="Q401" s="14">
        <f t="shared" si="56"/>
        <v>1526.296619</v>
      </c>
      <c r="R401" s="4">
        <f t="shared" si="57"/>
        <v>25</v>
      </c>
      <c r="S401" s="14">
        <f t="shared" si="58"/>
        <v>202.50718044314715</v>
      </c>
      <c r="T401" s="4">
        <f t="shared" si="59"/>
        <v>81.638076830152201</v>
      </c>
      <c r="U401" s="3">
        <f>LEN(A401) - LEN(SUBSTITUTE(A401,"&gt;","")) +1</f>
        <v>3</v>
      </c>
      <c r="V401" s="8">
        <f t="shared" si="60"/>
        <v>3.0200531529354915E-3</v>
      </c>
      <c r="W401" s="14">
        <f t="shared" si="61"/>
        <v>508.76553966666665</v>
      </c>
      <c r="X401" s="4">
        <f t="shared" si="62"/>
        <v>7.9147214645975479E-4</v>
      </c>
    </row>
    <row r="402" spans="1:24" ht="14.25" customHeight="1" x14ac:dyDescent="0.2">
      <c r="A402" s="5" t="s">
        <v>1831</v>
      </c>
      <c r="B402" s="3" t="s">
        <v>14</v>
      </c>
      <c r="C402" s="3" t="s">
        <v>32</v>
      </c>
      <c r="D402" s="3" t="s">
        <v>2353</v>
      </c>
      <c r="E402" s="3" t="s">
        <v>2354</v>
      </c>
      <c r="F402" s="3" t="s">
        <v>606</v>
      </c>
      <c r="G402" s="3" t="s">
        <v>50</v>
      </c>
      <c r="H402" s="3" t="s">
        <v>19</v>
      </c>
      <c r="I402" s="3">
        <v>16791</v>
      </c>
      <c r="J402" s="3">
        <v>4</v>
      </c>
      <c r="K402" s="3">
        <v>11402</v>
      </c>
      <c r="L402" s="3">
        <v>14231</v>
      </c>
      <c r="M402" s="3">
        <v>3</v>
      </c>
      <c r="N402" s="14">
        <v>1522.5122719999999</v>
      </c>
      <c r="O402" s="7">
        <f t="shared" si="54"/>
        <v>2.3822285748317552E-2</v>
      </c>
      <c r="P402" s="14">
        <f t="shared" si="55"/>
        <v>380.62806799999998</v>
      </c>
      <c r="Q402" s="14">
        <f t="shared" si="56"/>
        <v>507.50409066666663</v>
      </c>
      <c r="R402" s="4">
        <f t="shared" si="57"/>
        <v>75</v>
      </c>
      <c r="S402" s="14">
        <f t="shared" si="58"/>
        <v>106.98561394139554</v>
      </c>
      <c r="T402" s="4">
        <f t="shared" si="59"/>
        <v>67.905425525579176</v>
      </c>
      <c r="U402" s="3">
        <f>LEN(A402) - LEN(SUBSTITUTE(A402,"&gt;","")) +1</f>
        <v>4</v>
      </c>
      <c r="V402" s="8">
        <f t="shared" si="60"/>
        <v>4.4666785778095406E-3</v>
      </c>
      <c r="W402" s="14">
        <f t="shared" si="61"/>
        <v>380.62806799999998</v>
      </c>
      <c r="X402" s="4">
        <f t="shared" si="62"/>
        <v>3.520506462867742E-3</v>
      </c>
    </row>
    <row r="403" spans="1:24" ht="14.25" customHeight="1" x14ac:dyDescent="0.2">
      <c r="A403" s="5" t="s">
        <v>1832</v>
      </c>
      <c r="B403" s="3" t="s">
        <v>24</v>
      </c>
      <c r="C403" s="3" t="s">
        <v>32</v>
      </c>
      <c r="D403" s="3" t="s">
        <v>2353</v>
      </c>
      <c r="E403" s="3" t="s">
        <v>2354</v>
      </c>
      <c r="F403" s="3" t="s">
        <v>396</v>
      </c>
      <c r="G403" s="3" t="s">
        <v>22</v>
      </c>
      <c r="H403" s="3" t="s">
        <v>114</v>
      </c>
      <c r="I403" s="3">
        <v>69757</v>
      </c>
      <c r="J403" s="3">
        <v>4</v>
      </c>
      <c r="K403" s="3">
        <v>41258</v>
      </c>
      <c r="L403" s="3">
        <v>65374</v>
      </c>
      <c r="M403" s="3">
        <v>24</v>
      </c>
      <c r="N403" s="14">
        <v>1510.6153200000001</v>
      </c>
      <c r="O403" s="7">
        <f t="shared" si="54"/>
        <v>5.7341915506687498E-3</v>
      </c>
      <c r="P403" s="14">
        <f t="shared" si="55"/>
        <v>377.65383000000003</v>
      </c>
      <c r="Q403" s="14">
        <f t="shared" si="56"/>
        <v>62.942305000000005</v>
      </c>
      <c r="R403" s="4">
        <f t="shared" si="57"/>
        <v>600</v>
      </c>
      <c r="S403" s="14">
        <f t="shared" si="58"/>
        <v>23.107279958393249</v>
      </c>
      <c r="T403" s="4">
        <f t="shared" si="59"/>
        <v>59.145318749372819</v>
      </c>
      <c r="U403" s="3">
        <f>LEN(A403) - LEN(SUBSTITUTE(A403,"&gt;","")) +1</f>
        <v>6</v>
      </c>
      <c r="V403" s="8">
        <f t="shared" si="60"/>
        <v>8.6012873260031247E-3</v>
      </c>
      <c r="W403" s="14">
        <f t="shared" si="61"/>
        <v>251.76922000000002</v>
      </c>
      <c r="X403" s="4">
        <f t="shared" si="62"/>
        <v>5.4661406670779684E-2</v>
      </c>
    </row>
    <row r="404" spans="1:24" ht="14.25" customHeight="1" x14ac:dyDescent="0.2">
      <c r="A404" s="5" t="s">
        <v>1833</v>
      </c>
      <c r="B404" s="3" t="s">
        <v>24</v>
      </c>
      <c r="C404" s="3" t="s">
        <v>15</v>
      </c>
      <c r="D404" s="3" t="s">
        <v>2359</v>
      </c>
      <c r="E404" s="3" t="s">
        <v>2360</v>
      </c>
      <c r="F404" s="3" t="s">
        <v>119</v>
      </c>
      <c r="G404" s="3" t="s">
        <v>27</v>
      </c>
      <c r="H404" s="3" t="s">
        <v>114</v>
      </c>
      <c r="I404" s="3">
        <v>21531</v>
      </c>
      <c r="J404" s="3">
        <v>4</v>
      </c>
      <c r="K404" s="3">
        <v>15593</v>
      </c>
      <c r="L404" s="3">
        <v>18617</v>
      </c>
      <c r="M404" s="3">
        <v>6</v>
      </c>
      <c r="N404" s="14">
        <v>1470.9719250000001</v>
      </c>
      <c r="O404" s="7">
        <f t="shared" si="54"/>
        <v>1.8577864474478657E-2</v>
      </c>
      <c r="P404" s="14">
        <f t="shared" si="55"/>
        <v>367.74298125000001</v>
      </c>
      <c r="Q404" s="14">
        <f t="shared" si="56"/>
        <v>245.16198750000001</v>
      </c>
      <c r="R404" s="4">
        <f t="shared" si="57"/>
        <v>150</v>
      </c>
      <c r="S404" s="14">
        <f t="shared" si="58"/>
        <v>79.012296556910343</v>
      </c>
      <c r="T404" s="4">
        <f t="shared" si="59"/>
        <v>72.421160187636431</v>
      </c>
      <c r="U404" s="3">
        <f>LEN(A404) - LEN(SUBSTITUTE(A404,"&gt;","")) +1</f>
        <v>4</v>
      </c>
      <c r="V404" s="8">
        <f t="shared" si="60"/>
        <v>6.9666991779294973E-3</v>
      </c>
      <c r="W404" s="14">
        <f t="shared" si="61"/>
        <v>367.74298125000001</v>
      </c>
      <c r="X404" s="4">
        <f t="shared" si="62"/>
        <v>1.1366687387341394E-2</v>
      </c>
    </row>
    <row r="405" spans="1:24" ht="14.25" customHeight="1" x14ac:dyDescent="0.2">
      <c r="A405" s="5" t="s">
        <v>1834</v>
      </c>
      <c r="B405" s="3" t="s">
        <v>14</v>
      </c>
      <c r="C405" s="3" t="s">
        <v>29</v>
      </c>
      <c r="D405" s="3" t="s">
        <v>2357</v>
      </c>
      <c r="E405" s="3" t="s">
        <v>2358</v>
      </c>
      <c r="F405" s="3" t="s">
        <v>610</v>
      </c>
      <c r="G405" s="3" t="s">
        <v>27</v>
      </c>
      <c r="H405" s="3" t="s">
        <v>19</v>
      </c>
      <c r="I405" s="3">
        <v>2472</v>
      </c>
      <c r="J405" s="3">
        <v>3</v>
      </c>
      <c r="K405" s="3">
        <v>1328</v>
      </c>
      <c r="L405" s="3">
        <v>2123</v>
      </c>
      <c r="M405" s="3">
        <v>3</v>
      </c>
      <c r="N405" s="14">
        <v>7247.492217</v>
      </c>
      <c r="O405" s="7">
        <f t="shared" si="54"/>
        <v>0.12135922330097086</v>
      </c>
      <c r="P405" s="14">
        <f t="shared" si="55"/>
        <v>2415.830739</v>
      </c>
      <c r="Q405" s="14">
        <f t="shared" si="56"/>
        <v>2415.830739</v>
      </c>
      <c r="R405" s="4">
        <f t="shared" si="57"/>
        <v>100</v>
      </c>
      <c r="S405" s="14">
        <f t="shared" si="58"/>
        <v>3413.7975586434291</v>
      </c>
      <c r="T405" s="4">
        <f t="shared" si="59"/>
        <v>53.721682847896432</v>
      </c>
      <c r="U405" s="3">
        <f>LEN(A405) - LEN(SUBSTITUTE(A405,"&gt;","")) +1</f>
        <v>5</v>
      </c>
      <c r="V405" s="8">
        <f t="shared" si="60"/>
        <v>4.0453074433656956E-2</v>
      </c>
      <c r="W405" s="14">
        <f t="shared" si="61"/>
        <v>1449.4984434</v>
      </c>
      <c r="X405" s="4">
        <f t="shared" si="62"/>
        <v>5.0234985978862843E-3</v>
      </c>
    </row>
    <row r="406" spans="1:24" ht="14.25" customHeight="1" x14ac:dyDescent="0.2">
      <c r="A406" s="5" t="s">
        <v>611</v>
      </c>
      <c r="B406" s="3" t="s">
        <v>14</v>
      </c>
      <c r="C406" s="3" t="s">
        <v>29</v>
      </c>
      <c r="D406" s="3" t="s">
        <v>2349</v>
      </c>
      <c r="E406" s="3" t="s">
        <v>2350</v>
      </c>
      <c r="F406" s="3" t="s">
        <v>191</v>
      </c>
      <c r="G406" s="3" t="s">
        <v>38</v>
      </c>
      <c r="H406" s="3" t="s">
        <v>19</v>
      </c>
      <c r="I406" s="3">
        <v>76049</v>
      </c>
      <c r="J406" s="3">
        <v>3</v>
      </c>
      <c r="K406" s="3">
        <v>34921</v>
      </c>
      <c r="L406" s="3">
        <v>69138</v>
      </c>
      <c r="M406" s="3">
        <v>4</v>
      </c>
      <c r="N406" s="14">
        <v>6942.8004579999997</v>
      </c>
      <c r="O406" s="7">
        <f t="shared" si="54"/>
        <v>3.9448250470091656E-3</v>
      </c>
      <c r="P406" s="14">
        <f t="shared" si="55"/>
        <v>2314.2668193333334</v>
      </c>
      <c r="Q406" s="14">
        <f t="shared" si="56"/>
        <v>1735.7001144999999</v>
      </c>
      <c r="R406" s="4">
        <f t="shared" si="57"/>
        <v>133.33333333333331</v>
      </c>
      <c r="S406" s="14">
        <f t="shared" si="58"/>
        <v>100.41945757759842</v>
      </c>
      <c r="T406" s="4">
        <f t="shared" si="59"/>
        <v>45.919078488869019</v>
      </c>
      <c r="U406" s="3">
        <f>LEN(A406) - LEN(SUBSTITUTE(A406,"&gt;","")) +1</f>
        <v>4</v>
      </c>
      <c r="V406" s="8">
        <f t="shared" si="60"/>
        <v>1.7532555764485176E-3</v>
      </c>
      <c r="W406" s="14">
        <f t="shared" si="61"/>
        <v>1735.7001144999999</v>
      </c>
      <c r="X406" s="4">
        <f t="shared" si="62"/>
        <v>3.0303430214733405E-4</v>
      </c>
    </row>
    <row r="407" spans="1:24" ht="14.25" customHeight="1" x14ac:dyDescent="0.2">
      <c r="A407" s="5" t="s">
        <v>1835</v>
      </c>
      <c r="B407" s="3" t="s">
        <v>68</v>
      </c>
      <c r="C407" s="3" t="s">
        <v>32</v>
      </c>
      <c r="D407" s="3" t="s">
        <v>2353</v>
      </c>
      <c r="E407" s="3" t="s">
        <v>2354</v>
      </c>
      <c r="F407" s="3" t="s">
        <v>517</v>
      </c>
      <c r="G407" s="3" t="s">
        <v>27</v>
      </c>
      <c r="H407" s="3" t="s">
        <v>19</v>
      </c>
      <c r="I407" s="3">
        <v>7822</v>
      </c>
      <c r="J407" s="3">
        <v>3</v>
      </c>
      <c r="K407" s="3">
        <v>3786</v>
      </c>
      <c r="L407" s="3">
        <v>7232</v>
      </c>
      <c r="M407" s="3">
        <v>13</v>
      </c>
      <c r="N407" s="14">
        <v>6781.8216469999998</v>
      </c>
      <c r="O407" s="7">
        <f t="shared" si="54"/>
        <v>3.8353362311429301E-2</v>
      </c>
      <c r="P407" s="14">
        <f t="shared" si="55"/>
        <v>2260.6072156666664</v>
      </c>
      <c r="Q407" s="14">
        <f t="shared" si="56"/>
        <v>521.67858823076926</v>
      </c>
      <c r="R407" s="4">
        <f t="shared" si="57"/>
        <v>433.33333333333331</v>
      </c>
      <c r="S407" s="14">
        <f t="shared" si="58"/>
        <v>937.75188702986725</v>
      </c>
      <c r="T407" s="4">
        <f t="shared" si="59"/>
        <v>48.401943237023779</v>
      </c>
      <c r="U407" s="3">
        <f>LEN(A407) - LEN(SUBSTITUTE(A407,"&gt;","")) +1</f>
        <v>5</v>
      </c>
      <c r="V407" s="8">
        <f t="shared" si="60"/>
        <v>5.5399301116508988E-2</v>
      </c>
      <c r="W407" s="14">
        <f t="shared" si="61"/>
        <v>1356.3643293999999</v>
      </c>
      <c r="X407" s="4">
        <f t="shared" si="62"/>
        <v>3.1858294953828512E-2</v>
      </c>
    </row>
    <row r="408" spans="1:24" ht="14.25" customHeight="1" x14ac:dyDescent="0.2">
      <c r="A408" s="5" t="s">
        <v>613</v>
      </c>
      <c r="B408" s="3" t="s">
        <v>24</v>
      </c>
      <c r="C408" s="3" t="s">
        <v>15</v>
      </c>
      <c r="D408" s="3" t="s">
        <v>2353</v>
      </c>
      <c r="E408" s="3" t="s">
        <v>2354</v>
      </c>
      <c r="F408" s="3" t="s">
        <v>136</v>
      </c>
      <c r="G408" s="3" t="s">
        <v>41</v>
      </c>
      <c r="H408" s="3" t="s">
        <v>163</v>
      </c>
      <c r="I408" s="3">
        <v>26558</v>
      </c>
      <c r="J408" s="3">
        <v>3</v>
      </c>
      <c r="K408" s="3">
        <v>15761</v>
      </c>
      <c r="L408" s="3">
        <v>23532</v>
      </c>
      <c r="M408" s="3">
        <v>14</v>
      </c>
      <c r="N408" s="14">
        <v>6751.5589810000001</v>
      </c>
      <c r="O408" s="7">
        <f t="shared" si="54"/>
        <v>1.1296031327660216E-2</v>
      </c>
      <c r="P408" s="14">
        <f t="shared" si="55"/>
        <v>2250.5196603333334</v>
      </c>
      <c r="Q408" s="14">
        <f t="shared" si="56"/>
        <v>482.25421292857146</v>
      </c>
      <c r="R408" s="4">
        <f t="shared" si="57"/>
        <v>466.66666666666669</v>
      </c>
      <c r="S408" s="14">
        <f t="shared" si="58"/>
        <v>286.90969662587116</v>
      </c>
      <c r="T408" s="4">
        <f t="shared" si="59"/>
        <v>59.345583251750888</v>
      </c>
      <c r="U408" s="3">
        <f>LEN(A408) - LEN(SUBSTITUTE(A408,"&gt;","")) +1</f>
        <v>4</v>
      </c>
      <c r="V408" s="8">
        <f t="shared" si="60"/>
        <v>1.7571604287471447E-2</v>
      </c>
      <c r="W408" s="14">
        <f t="shared" si="61"/>
        <v>1687.88974525</v>
      </c>
      <c r="X408" s="4">
        <f t="shared" si="62"/>
        <v>1.0930918061305177E-2</v>
      </c>
    </row>
    <row r="409" spans="1:24" ht="14.25" customHeight="1" x14ac:dyDescent="0.2">
      <c r="A409" s="5" t="s">
        <v>1836</v>
      </c>
      <c r="B409" s="3" t="s">
        <v>14</v>
      </c>
      <c r="C409" s="3" t="s">
        <v>15</v>
      </c>
      <c r="D409" s="3" t="s">
        <v>2357</v>
      </c>
      <c r="E409" s="3" t="s">
        <v>2358</v>
      </c>
      <c r="F409" s="3" t="s">
        <v>157</v>
      </c>
      <c r="G409" s="3" t="s">
        <v>38</v>
      </c>
      <c r="H409" s="3" t="s">
        <v>19</v>
      </c>
      <c r="I409" s="3">
        <v>18401</v>
      </c>
      <c r="J409" s="3">
        <v>3</v>
      </c>
      <c r="K409" s="3">
        <v>11051</v>
      </c>
      <c r="L409" s="3">
        <v>17202</v>
      </c>
      <c r="M409" s="3">
        <v>1</v>
      </c>
      <c r="N409" s="14">
        <v>6571.4915520000004</v>
      </c>
      <c r="O409" s="7">
        <f t="shared" si="54"/>
        <v>1.6303461768382155E-2</v>
      </c>
      <c r="P409" s="14">
        <f t="shared" si="55"/>
        <v>2190.4971840000003</v>
      </c>
      <c r="Q409" s="14">
        <f t="shared" si="56"/>
        <v>6571.4915520000004</v>
      </c>
      <c r="R409" s="4">
        <f t="shared" si="57"/>
        <v>33.333333333333329</v>
      </c>
      <c r="S409" s="14">
        <f t="shared" si="58"/>
        <v>382.01904150680156</v>
      </c>
      <c r="T409" s="4">
        <f t="shared" si="59"/>
        <v>60.05651866746372</v>
      </c>
      <c r="U409" s="3">
        <f>LEN(A409) - LEN(SUBSTITUTE(A409,"&gt;","")) +1</f>
        <v>5</v>
      </c>
      <c r="V409" s="8">
        <f t="shared" si="60"/>
        <v>1.8114957520424613E-3</v>
      </c>
      <c r="W409" s="14">
        <f t="shared" si="61"/>
        <v>1314.2983104</v>
      </c>
      <c r="X409" s="4">
        <f t="shared" si="62"/>
        <v>8.2697926538053987E-5</v>
      </c>
    </row>
    <row r="410" spans="1:24" ht="14.25" customHeight="1" x14ac:dyDescent="0.2">
      <c r="A410" s="5" t="s">
        <v>615</v>
      </c>
      <c r="B410" s="3" t="s">
        <v>24</v>
      </c>
      <c r="C410" s="3" t="s">
        <v>32</v>
      </c>
      <c r="D410" s="3" t="s">
        <v>2349</v>
      </c>
      <c r="E410" s="3" t="s">
        <v>2350</v>
      </c>
      <c r="F410" s="3" t="s">
        <v>396</v>
      </c>
      <c r="G410" s="3" t="s">
        <v>22</v>
      </c>
      <c r="H410" s="3" t="s">
        <v>114</v>
      </c>
      <c r="I410" s="3">
        <v>45711</v>
      </c>
      <c r="J410" s="3">
        <v>3</v>
      </c>
      <c r="K410" s="3">
        <v>23052</v>
      </c>
      <c r="L410" s="3">
        <v>42375</v>
      </c>
      <c r="M410" s="3">
        <v>11</v>
      </c>
      <c r="N410" s="14">
        <v>6417.8761690000001</v>
      </c>
      <c r="O410" s="7">
        <f t="shared" si="54"/>
        <v>6.5629717135919146E-3</v>
      </c>
      <c r="P410" s="14">
        <f t="shared" si="55"/>
        <v>2139.2920563333332</v>
      </c>
      <c r="Q410" s="14">
        <f t="shared" si="56"/>
        <v>583.44328809090905</v>
      </c>
      <c r="R410" s="4">
        <f t="shared" si="57"/>
        <v>366.66666666666663</v>
      </c>
      <c r="S410" s="14">
        <f t="shared" si="58"/>
        <v>151.45430487315633</v>
      </c>
      <c r="T410" s="4">
        <f t="shared" si="59"/>
        <v>50.429874647240268</v>
      </c>
      <c r="U410" s="3">
        <f>LEN(A410) - LEN(SUBSTITUTE(A410,"&gt;","")) +1</f>
        <v>4</v>
      </c>
      <c r="V410" s="8">
        <f t="shared" si="60"/>
        <v>8.0214098721678954E-3</v>
      </c>
      <c r="W410" s="14">
        <f t="shared" si="61"/>
        <v>1604.46904225</v>
      </c>
      <c r="X410" s="4">
        <f t="shared" si="62"/>
        <v>4.1245190591264668E-3</v>
      </c>
    </row>
    <row r="411" spans="1:24" ht="14.25" customHeight="1" x14ac:dyDescent="0.2">
      <c r="A411" s="5" t="s">
        <v>1837</v>
      </c>
      <c r="B411" s="3" t="s">
        <v>24</v>
      </c>
      <c r="C411" s="3" t="s">
        <v>15</v>
      </c>
      <c r="D411" s="3" t="s">
        <v>2357</v>
      </c>
      <c r="E411" s="3" t="s">
        <v>2358</v>
      </c>
      <c r="F411" s="3" t="s">
        <v>579</v>
      </c>
      <c r="G411" s="3" t="s">
        <v>64</v>
      </c>
      <c r="H411" s="3" t="s">
        <v>114</v>
      </c>
      <c r="I411" s="3">
        <v>3052</v>
      </c>
      <c r="J411" s="3">
        <v>3</v>
      </c>
      <c r="K411" s="3">
        <v>1715</v>
      </c>
      <c r="L411" s="3">
        <v>2761</v>
      </c>
      <c r="M411" s="3">
        <v>11</v>
      </c>
      <c r="N411" s="14">
        <v>6417.830508</v>
      </c>
      <c r="O411" s="7">
        <f t="shared" si="54"/>
        <v>9.8296199213630392E-2</v>
      </c>
      <c r="P411" s="14">
        <f t="shared" si="55"/>
        <v>2139.276836</v>
      </c>
      <c r="Q411" s="14">
        <f t="shared" si="56"/>
        <v>583.43913709090907</v>
      </c>
      <c r="R411" s="4">
        <f t="shared" si="57"/>
        <v>366.66666666666663</v>
      </c>
      <c r="S411" s="14">
        <f t="shared" si="58"/>
        <v>2324.4587135095981</v>
      </c>
      <c r="T411" s="4">
        <f t="shared" si="59"/>
        <v>56.192660550458719</v>
      </c>
      <c r="U411" s="3">
        <f>LEN(A411) - LEN(SUBSTITUTE(A411,"&gt;","")) +1</f>
        <v>5</v>
      </c>
      <c r="V411" s="8">
        <f t="shared" si="60"/>
        <v>0.1201397990388816</v>
      </c>
      <c r="W411" s="14">
        <f t="shared" si="61"/>
        <v>1283.5661015999999</v>
      </c>
      <c r="X411" s="4">
        <f t="shared" si="62"/>
        <v>6.1774977748961964E-2</v>
      </c>
    </row>
    <row r="412" spans="1:24" ht="14.25" customHeight="1" x14ac:dyDescent="0.2">
      <c r="A412" s="5" t="s">
        <v>1838</v>
      </c>
      <c r="B412" s="3" t="s">
        <v>24</v>
      </c>
      <c r="C412" s="3" t="s">
        <v>15</v>
      </c>
      <c r="D412" s="3" t="s">
        <v>2367</v>
      </c>
      <c r="E412" s="3" t="s">
        <v>2352</v>
      </c>
      <c r="F412" s="3" t="s">
        <v>618</v>
      </c>
      <c r="G412" s="3" t="s">
        <v>27</v>
      </c>
      <c r="H412" s="3" t="s">
        <v>19</v>
      </c>
      <c r="I412" s="3">
        <v>7789</v>
      </c>
      <c r="J412" s="3">
        <v>3</v>
      </c>
      <c r="K412" s="3">
        <v>4655</v>
      </c>
      <c r="L412" s="3">
        <v>7434</v>
      </c>
      <c r="M412" s="3">
        <v>1</v>
      </c>
      <c r="N412" s="14">
        <v>6396.8687630000004</v>
      </c>
      <c r="O412" s="7">
        <f t="shared" si="54"/>
        <v>3.8515855693927334E-2</v>
      </c>
      <c r="P412" s="14">
        <f t="shared" si="55"/>
        <v>2132.2895876666666</v>
      </c>
      <c r="Q412" s="14">
        <f t="shared" si="56"/>
        <v>6396.8687630000004</v>
      </c>
      <c r="R412" s="4">
        <f t="shared" si="57"/>
        <v>33.333333333333329</v>
      </c>
      <c r="S412" s="14">
        <f t="shared" si="58"/>
        <v>860.48813061608826</v>
      </c>
      <c r="T412" s="4">
        <f t="shared" si="59"/>
        <v>59.763769418410583</v>
      </c>
      <c r="U412" s="3">
        <f>LEN(A412) - LEN(SUBSTITUTE(A412,"&gt;","")) +1</f>
        <v>5</v>
      </c>
      <c r="V412" s="8">
        <f t="shared" si="60"/>
        <v>4.2795395215474812E-3</v>
      </c>
      <c r="W412" s="14">
        <f t="shared" si="61"/>
        <v>1279.3737526</v>
      </c>
      <c r="X412" s="4">
        <f t="shared" si="62"/>
        <v>2.0070160949528992E-4</v>
      </c>
    </row>
    <row r="413" spans="1:24" ht="14.25" customHeight="1" x14ac:dyDescent="0.2">
      <c r="A413" s="5" t="s">
        <v>619</v>
      </c>
      <c r="B413" s="3" t="s">
        <v>24</v>
      </c>
      <c r="C413" s="3" t="s">
        <v>35</v>
      </c>
      <c r="D413" s="3" t="s">
        <v>2353</v>
      </c>
      <c r="E413" s="3" t="s">
        <v>2354</v>
      </c>
      <c r="F413" s="3" t="s">
        <v>620</v>
      </c>
      <c r="G413" s="3" t="s">
        <v>27</v>
      </c>
      <c r="H413" s="3" t="s">
        <v>114</v>
      </c>
      <c r="I413" s="3">
        <v>2800</v>
      </c>
      <c r="J413" s="3">
        <v>3</v>
      </c>
      <c r="K413" s="3">
        <v>190</v>
      </c>
      <c r="L413" s="3">
        <v>864</v>
      </c>
      <c r="M413" s="3">
        <v>11</v>
      </c>
      <c r="N413" s="14">
        <v>6351.0588799999996</v>
      </c>
      <c r="O413" s="7">
        <f t="shared" si="54"/>
        <v>0.10714285714285715</v>
      </c>
      <c r="P413" s="14">
        <f t="shared" si="55"/>
        <v>2117.0196266666667</v>
      </c>
      <c r="Q413" s="14">
        <f t="shared" si="56"/>
        <v>577.36898909090905</v>
      </c>
      <c r="R413" s="4">
        <f t="shared" si="57"/>
        <v>366.66666666666663</v>
      </c>
      <c r="S413" s="14">
        <f t="shared" si="58"/>
        <v>7350.7625925925922</v>
      </c>
      <c r="T413" s="4">
        <f t="shared" si="59"/>
        <v>6.7857142857142856</v>
      </c>
      <c r="U413" s="3">
        <f>LEN(A413) - LEN(SUBSTITUTE(A413,"&gt;","")) +1</f>
        <v>4</v>
      </c>
      <c r="V413" s="8">
        <f t="shared" si="60"/>
        <v>0.13095238095238093</v>
      </c>
      <c r="W413" s="14">
        <f t="shared" si="61"/>
        <v>1587.7647199999999</v>
      </c>
      <c r="X413" s="4">
        <f t="shared" si="62"/>
        <v>6.8042646951945299E-2</v>
      </c>
    </row>
    <row r="414" spans="1:24" ht="14.25" customHeight="1" x14ac:dyDescent="0.2">
      <c r="A414" s="5" t="s">
        <v>621</v>
      </c>
      <c r="B414" s="3" t="s">
        <v>24</v>
      </c>
      <c r="C414" s="3" t="s">
        <v>35</v>
      </c>
      <c r="D414" s="3" t="s">
        <v>2353</v>
      </c>
      <c r="E414" s="3" t="s">
        <v>2354</v>
      </c>
      <c r="F414" s="3" t="s">
        <v>79</v>
      </c>
      <c r="G414" s="3" t="s">
        <v>27</v>
      </c>
      <c r="H414" s="3" t="s">
        <v>19</v>
      </c>
      <c r="I414" s="3">
        <v>182114</v>
      </c>
      <c r="J414" s="3">
        <v>3</v>
      </c>
      <c r="K414" s="3">
        <v>14477</v>
      </c>
      <c r="L414" s="3">
        <v>139167</v>
      </c>
      <c r="M414" s="3">
        <v>29</v>
      </c>
      <c r="N414" s="14">
        <v>6307.9007510000001</v>
      </c>
      <c r="O414" s="7">
        <f t="shared" si="54"/>
        <v>1.6473198106680431E-3</v>
      </c>
      <c r="P414" s="14">
        <f t="shared" si="55"/>
        <v>2102.6335836666667</v>
      </c>
      <c r="Q414" s="14">
        <f t="shared" si="56"/>
        <v>217.51381900000001</v>
      </c>
      <c r="R414" s="4">
        <f t="shared" si="57"/>
        <v>966.66666666666663</v>
      </c>
      <c r="S414" s="14">
        <f t="shared" si="58"/>
        <v>45.326124375749998</v>
      </c>
      <c r="T414" s="4">
        <f t="shared" si="59"/>
        <v>7.9494162996804203</v>
      </c>
      <c r="U414" s="3">
        <f>LEN(A414) - LEN(SUBSTITUTE(A414,"&gt;","")) +1</f>
        <v>4</v>
      </c>
      <c r="V414" s="8">
        <f t="shared" si="60"/>
        <v>5.3080305010414722E-3</v>
      </c>
      <c r="W414" s="14">
        <f t="shared" si="61"/>
        <v>1576.97518775</v>
      </c>
      <c r="X414" s="4">
        <f t="shared" si="62"/>
        <v>7.3209562391640115E-3</v>
      </c>
    </row>
    <row r="415" spans="1:24" ht="14.25" customHeight="1" x14ac:dyDescent="0.2">
      <c r="A415" s="5" t="s">
        <v>1839</v>
      </c>
      <c r="B415" s="3" t="s">
        <v>24</v>
      </c>
      <c r="C415" s="3" t="s">
        <v>35</v>
      </c>
      <c r="D415" s="3" t="s">
        <v>2351</v>
      </c>
      <c r="E415" s="3" t="s">
        <v>2352</v>
      </c>
      <c r="F415" s="3" t="s">
        <v>623</v>
      </c>
      <c r="G415" s="3" t="s">
        <v>22</v>
      </c>
      <c r="H415" s="3" t="s">
        <v>19</v>
      </c>
      <c r="I415" s="3">
        <v>12092</v>
      </c>
      <c r="J415" s="3">
        <v>3</v>
      </c>
      <c r="K415" s="3">
        <v>2042</v>
      </c>
      <c r="L415" s="3">
        <v>10315</v>
      </c>
      <c r="M415" s="3">
        <v>8</v>
      </c>
      <c r="N415" s="14">
        <v>6245.1347930000002</v>
      </c>
      <c r="O415" s="7">
        <f t="shared" si="54"/>
        <v>2.4809791597750579E-2</v>
      </c>
      <c r="P415" s="14">
        <f t="shared" si="55"/>
        <v>2081.7115976666669</v>
      </c>
      <c r="Q415" s="14">
        <f t="shared" si="56"/>
        <v>780.64184912500002</v>
      </c>
      <c r="R415" s="4">
        <f t="shared" si="57"/>
        <v>266.66666666666663</v>
      </c>
      <c r="S415" s="14">
        <f t="shared" si="58"/>
        <v>605.4420545807078</v>
      </c>
      <c r="T415" s="4">
        <f t="shared" si="59"/>
        <v>16.88719814753556</v>
      </c>
      <c r="U415" s="3">
        <f>LEN(A415) - LEN(SUBSTITUTE(A415,"&gt;","")) +1</f>
        <v>6</v>
      </c>
      <c r="V415" s="8">
        <f t="shared" si="60"/>
        <v>2.20531480868894E-2</v>
      </c>
      <c r="W415" s="14">
        <f t="shared" si="61"/>
        <v>1040.8557988333334</v>
      </c>
      <c r="X415" s="4">
        <f t="shared" si="62"/>
        <v>8.4750060907988079E-3</v>
      </c>
    </row>
    <row r="416" spans="1:24" ht="14.25" customHeight="1" x14ac:dyDescent="0.2">
      <c r="A416" s="5" t="s">
        <v>1840</v>
      </c>
      <c r="B416" s="3" t="s">
        <v>24</v>
      </c>
      <c r="C416" s="3" t="s">
        <v>32</v>
      </c>
      <c r="D416" s="3" t="s">
        <v>2353</v>
      </c>
      <c r="E416" s="3" t="s">
        <v>2354</v>
      </c>
      <c r="F416" s="3" t="s">
        <v>111</v>
      </c>
      <c r="G416" s="3" t="s">
        <v>38</v>
      </c>
      <c r="H416" s="3" t="s">
        <v>163</v>
      </c>
      <c r="I416" s="3">
        <v>23156</v>
      </c>
      <c r="J416" s="3">
        <v>3</v>
      </c>
      <c r="K416" s="3">
        <v>4468</v>
      </c>
      <c r="L416" s="3">
        <v>18821</v>
      </c>
      <c r="M416" s="3">
        <v>15</v>
      </c>
      <c r="N416" s="14">
        <v>6173.4128899999996</v>
      </c>
      <c r="O416" s="7">
        <f t="shared" si="54"/>
        <v>1.2955605458628432E-2</v>
      </c>
      <c r="P416" s="14">
        <f t="shared" si="55"/>
        <v>2057.8042966666667</v>
      </c>
      <c r="Q416" s="14">
        <f t="shared" si="56"/>
        <v>411.56085933333333</v>
      </c>
      <c r="R416" s="4">
        <f t="shared" si="57"/>
        <v>500</v>
      </c>
      <c r="S416" s="14">
        <f t="shared" si="58"/>
        <v>328.00663567291855</v>
      </c>
      <c r="T416" s="4">
        <f t="shared" si="59"/>
        <v>19.295215063050613</v>
      </c>
      <c r="U416" s="3">
        <f>LEN(A416) - LEN(SUBSTITUTE(A416,"&gt;","")) +1</f>
        <v>5</v>
      </c>
      <c r="V416" s="8">
        <f t="shared" si="60"/>
        <v>2.1592675764380721E-2</v>
      </c>
      <c r="W416" s="14">
        <f t="shared" si="61"/>
        <v>1234.6825779999999</v>
      </c>
      <c r="X416" s="4">
        <f t="shared" si="62"/>
        <v>1.5739598609564771E-2</v>
      </c>
    </row>
    <row r="417" spans="1:24" ht="14.25" customHeight="1" x14ac:dyDescent="0.2">
      <c r="A417" s="5" t="s">
        <v>1841</v>
      </c>
      <c r="B417" s="3" t="s">
        <v>24</v>
      </c>
      <c r="C417" s="3" t="s">
        <v>35</v>
      </c>
      <c r="D417" s="3" t="s">
        <v>2378</v>
      </c>
      <c r="E417" s="3" t="s">
        <v>2352</v>
      </c>
      <c r="F417" s="3" t="s">
        <v>626</v>
      </c>
      <c r="G417" s="3" t="s">
        <v>27</v>
      </c>
      <c r="H417" s="3" t="s">
        <v>19</v>
      </c>
      <c r="I417" s="3">
        <v>1164</v>
      </c>
      <c r="J417" s="3">
        <v>3</v>
      </c>
      <c r="K417" s="3">
        <v>824</v>
      </c>
      <c r="L417" s="3">
        <v>1112</v>
      </c>
      <c r="M417" s="3">
        <v>3</v>
      </c>
      <c r="N417" s="14">
        <v>6115.663579</v>
      </c>
      <c r="O417" s="7">
        <f t="shared" si="54"/>
        <v>0.25773195876288657</v>
      </c>
      <c r="P417" s="14">
        <f t="shared" si="55"/>
        <v>2038.5545263333333</v>
      </c>
      <c r="Q417" s="14">
        <f t="shared" si="56"/>
        <v>2038.5545263333333</v>
      </c>
      <c r="R417" s="4">
        <f t="shared" si="57"/>
        <v>100</v>
      </c>
      <c r="S417" s="14">
        <f t="shared" si="58"/>
        <v>5499.697463129497</v>
      </c>
      <c r="T417" s="4">
        <f t="shared" si="59"/>
        <v>70.790378006872857</v>
      </c>
      <c r="U417" s="3">
        <f>LEN(A417) - LEN(SUBSTITUTE(A417,"&gt;","")) +1</f>
        <v>5</v>
      </c>
      <c r="V417" s="8">
        <f t="shared" si="60"/>
        <v>8.5910652920962199E-2</v>
      </c>
      <c r="W417" s="14">
        <f t="shared" si="61"/>
        <v>1223.1327157999999</v>
      </c>
      <c r="X417" s="4">
        <f t="shared" si="62"/>
        <v>1.2642877854557992E-2</v>
      </c>
    </row>
    <row r="418" spans="1:24" ht="14.25" customHeight="1" x14ac:dyDescent="0.2">
      <c r="A418" s="5" t="s">
        <v>1842</v>
      </c>
      <c r="B418" s="3" t="s">
        <v>24</v>
      </c>
      <c r="C418" s="3" t="s">
        <v>29</v>
      </c>
      <c r="D418" s="3" t="s">
        <v>2353</v>
      </c>
      <c r="E418" s="3" t="s">
        <v>2354</v>
      </c>
      <c r="F418" s="3" t="s">
        <v>250</v>
      </c>
      <c r="G418" s="3" t="s">
        <v>64</v>
      </c>
      <c r="H418" s="3" t="s">
        <v>114</v>
      </c>
      <c r="I418" s="3">
        <v>16978</v>
      </c>
      <c r="J418" s="3">
        <v>3</v>
      </c>
      <c r="K418" s="3">
        <v>8367</v>
      </c>
      <c r="L418" s="3">
        <v>15731</v>
      </c>
      <c r="M418" s="3">
        <v>1</v>
      </c>
      <c r="N418" s="14">
        <v>5886.0711460000002</v>
      </c>
      <c r="O418" s="7">
        <f t="shared" si="54"/>
        <v>1.7669925786311699E-2</v>
      </c>
      <c r="P418" s="14">
        <f t="shared" si="55"/>
        <v>1962.0237153333335</v>
      </c>
      <c r="Q418" s="14">
        <f t="shared" si="56"/>
        <v>5886.0711460000002</v>
      </c>
      <c r="R418" s="4">
        <f t="shared" si="57"/>
        <v>33.333333333333329</v>
      </c>
      <c r="S418" s="14">
        <f t="shared" si="58"/>
        <v>374.17018282372391</v>
      </c>
      <c r="T418" s="4">
        <f t="shared" si="59"/>
        <v>49.281423018023325</v>
      </c>
      <c r="U418" s="3">
        <f>LEN(A418) - LEN(SUBSTITUTE(A418,"&gt;","")) +1</f>
        <v>5</v>
      </c>
      <c r="V418" s="8">
        <f t="shared" si="60"/>
        <v>1.9633250873679663E-3</v>
      </c>
      <c r="W418" s="14">
        <f t="shared" si="61"/>
        <v>1177.2142292000001</v>
      </c>
      <c r="X418" s="4">
        <f t="shared" si="62"/>
        <v>1.0006632804815063E-4</v>
      </c>
    </row>
    <row r="419" spans="1:24" ht="14.25" customHeight="1" x14ac:dyDescent="0.2">
      <c r="A419" s="5" t="s">
        <v>1843</v>
      </c>
      <c r="B419" s="3" t="s">
        <v>14</v>
      </c>
      <c r="C419" s="3" t="s">
        <v>32</v>
      </c>
      <c r="D419" s="3" t="s">
        <v>2401</v>
      </c>
      <c r="E419" s="3" t="s">
        <v>2375</v>
      </c>
      <c r="F419" s="3" t="s">
        <v>406</v>
      </c>
      <c r="G419" s="3" t="s">
        <v>38</v>
      </c>
      <c r="H419" s="3" t="s">
        <v>19</v>
      </c>
      <c r="I419" s="3">
        <v>252170</v>
      </c>
      <c r="J419" s="3">
        <v>3</v>
      </c>
      <c r="K419" s="3">
        <v>9248</v>
      </c>
      <c r="L419" s="3">
        <v>14192</v>
      </c>
      <c r="M419" s="3">
        <v>1</v>
      </c>
      <c r="N419" s="14">
        <v>5874.0047800000002</v>
      </c>
      <c r="O419" s="7">
        <f t="shared" si="54"/>
        <v>1.1896736328667167E-3</v>
      </c>
      <c r="P419" s="14">
        <f t="shared" si="55"/>
        <v>1958.0015933333334</v>
      </c>
      <c r="Q419" s="14">
        <f t="shared" si="56"/>
        <v>5874.0047800000002</v>
      </c>
      <c r="R419" s="4">
        <f t="shared" si="57"/>
        <v>33.333333333333329</v>
      </c>
      <c r="S419" s="14">
        <f t="shared" si="58"/>
        <v>413.8954890078918</v>
      </c>
      <c r="T419" s="4">
        <f t="shared" si="59"/>
        <v>3.6673672522504663</v>
      </c>
      <c r="U419" s="3">
        <f>LEN(A419) - LEN(SUBSTITUTE(A419,"&gt;","")) +1</f>
        <v>5</v>
      </c>
      <c r="V419" s="8">
        <f t="shared" si="60"/>
        <v>1.3218595920741296E-4</v>
      </c>
      <c r="W419" s="14">
        <f t="shared" si="61"/>
        <v>1174.800956</v>
      </c>
      <c r="X419" s="4">
        <f t="shared" si="62"/>
        <v>6.751064945885843E-6</v>
      </c>
    </row>
    <row r="420" spans="1:24" ht="14.25" customHeight="1" x14ac:dyDescent="0.2">
      <c r="A420" s="5" t="s">
        <v>1844</v>
      </c>
      <c r="B420" s="3" t="s">
        <v>14</v>
      </c>
      <c r="C420" s="3" t="s">
        <v>15</v>
      </c>
      <c r="D420" s="3" t="s">
        <v>2395</v>
      </c>
      <c r="E420" s="3" t="s">
        <v>2354</v>
      </c>
      <c r="F420" s="3" t="s">
        <v>630</v>
      </c>
      <c r="G420" s="3" t="s">
        <v>18</v>
      </c>
      <c r="H420" s="3" t="s">
        <v>19</v>
      </c>
      <c r="I420" s="3">
        <v>3070</v>
      </c>
      <c r="J420" s="3">
        <v>3</v>
      </c>
      <c r="K420" s="3">
        <v>1747</v>
      </c>
      <c r="L420" s="3">
        <v>2911</v>
      </c>
      <c r="M420" s="3">
        <v>2</v>
      </c>
      <c r="N420" s="14">
        <v>5766.6148549999998</v>
      </c>
      <c r="O420" s="7">
        <f t="shared" si="54"/>
        <v>9.7719869706840393E-2</v>
      </c>
      <c r="P420" s="14">
        <f t="shared" si="55"/>
        <v>1922.2049516666666</v>
      </c>
      <c r="Q420" s="14">
        <f t="shared" si="56"/>
        <v>2883.3074274999999</v>
      </c>
      <c r="R420" s="4">
        <f t="shared" si="57"/>
        <v>66.666666666666657</v>
      </c>
      <c r="S420" s="14">
        <f t="shared" si="58"/>
        <v>1980.9738423222261</v>
      </c>
      <c r="T420" s="4">
        <f t="shared" si="59"/>
        <v>56.905537459283387</v>
      </c>
      <c r="U420" s="3">
        <f>LEN(A420) - LEN(SUBSTITUTE(A420,"&gt;","")) +1</f>
        <v>5</v>
      </c>
      <c r="V420" s="8">
        <f t="shared" si="60"/>
        <v>2.1715526601520083E-2</v>
      </c>
      <c r="W420" s="14">
        <f t="shared" si="61"/>
        <v>1153.3229710000001</v>
      </c>
      <c r="X420" s="4">
        <f t="shared" si="62"/>
        <v>2.2594392531026853E-3</v>
      </c>
    </row>
    <row r="421" spans="1:24" ht="14.25" customHeight="1" x14ac:dyDescent="0.2">
      <c r="A421" s="5" t="s">
        <v>1845</v>
      </c>
      <c r="B421" s="3" t="s">
        <v>68</v>
      </c>
      <c r="C421" s="3" t="s">
        <v>15</v>
      </c>
      <c r="D421" s="3" t="s">
        <v>2362</v>
      </c>
      <c r="E421" s="3" t="s">
        <v>2352</v>
      </c>
      <c r="F421" s="3" t="s">
        <v>632</v>
      </c>
      <c r="G421" s="3" t="s">
        <v>27</v>
      </c>
      <c r="H421" s="3" t="s">
        <v>19</v>
      </c>
      <c r="I421" s="3">
        <v>10906</v>
      </c>
      <c r="J421" s="3">
        <v>3</v>
      </c>
      <c r="K421" s="3">
        <v>4735</v>
      </c>
      <c r="L421" s="3">
        <v>6390</v>
      </c>
      <c r="M421" s="3">
        <v>3</v>
      </c>
      <c r="N421" s="14">
        <v>5694.2709400000003</v>
      </c>
      <c r="O421" s="7">
        <f t="shared" si="54"/>
        <v>2.7507793874931231E-2</v>
      </c>
      <c r="P421" s="14">
        <f t="shared" si="55"/>
        <v>1898.0903133333334</v>
      </c>
      <c r="Q421" s="14">
        <f t="shared" si="56"/>
        <v>1898.0903133333334</v>
      </c>
      <c r="R421" s="4">
        <f t="shared" si="57"/>
        <v>100</v>
      </c>
      <c r="S421" s="14">
        <f t="shared" si="58"/>
        <v>891.12221283255087</v>
      </c>
      <c r="T421" s="4">
        <f t="shared" si="59"/>
        <v>43.416467999266459</v>
      </c>
      <c r="U421" s="3">
        <f>LEN(A421) - LEN(SUBSTITUTE(A421,"&gt;","")) +1</f>
        <v>5</v>
      </c>
      <c r="V421" s="8">
        <f t="shared" si="60"/>
        <v>9.1692646249770769E-3</v>
      </c>
      <c r="W421" s="14">
        <f t="shared" si="61"/>
        <v>1138.854188</v>
      </c>
      <c r="X421" s="4">
        <f t="shared" si="62"/>
        <v>1.4492352488024338E-3</v>
      </c>
    </row>
    <row r="422" spans="1:24" ht="14.25" customHeight="1" x14ac:dyDescent="0.2">
      <c r="A422" s="5" t="s">
        <v>1846</v>
      </c>
      <c r="B422" s="3" t="s">
        <v>24</v>
      </c>
      <c r="C422" s="3" t="s">
        <v>29</v>
      </c>
      <c r="D422" s="3" t="s">
        <v>2378</v>
      </c>
      <c r="E422" s="3" t="s">
        <v>2352</v>
      </c>
      <c r="F422" s="3" t="s">
        <v>37</v>
      </c>
      <c r="G422" s="3" t="s">
        <v>76</v>
      </c>
      <c r="H422" s="3" t="s">
        <v>19</v>
      </c>
      <c r="I422" s="3">
        <v>14224</v>
      </c>
      <c r="J422" s="3">
        <v>3</v>
      </c>
      <c r="K422" s="3">
        <v>2549</v>
      </c>
      <c r="L422" s="3">
        <v>11974</v>
      </c>
      <c r="M422" s="3">
        <v>1</v>
      </c>
      <c r="N422" s="14">
        <v>5637.3034969999999</v>
      </c>
      <c r="O422" s="7">
        <f t="shared" si="54"/>
        <v>2.1091113610798649E-2</v>
      </c>
      <c r="P422" s="14">
        <f t="shared" si="55"/>
        <v>1879.1011656666667</v>
      </c>
      <c r="Q422" s="14">
        <f t="shared" si="56"/>
        <v>5637.3034969999999</v>
      </c>
      <c r="R422" s="4">
        <f t="shared" si="57"/>
        <v>33.333333333333329</v>
      </c>
      <c r="S422" s="14">
        <f t="shared" si="58"/>
        <v>470.7953480040087</v>
      </c>
      <c r="T422" s="4">
        <f t="shared" si="59"/>
        <v>17.920416197975253</v>
      </c>
      <c r="U422" s="3">
        <f>LEN(A422) - LEN(SUBSTITUTE(A422,"&gt;","")) +1</f>
        <v>5</v>
      </c>
      <c r="V422" s="8">
        <f t="shared" si="60"/>
        <v>2.3434570678665164E-3</v>
      </c>
      <c r="W422" s="14">
        <f t="shared" si="61"/>
        <v>1127.4606994000001</v>
      </c>
      <c r="X422" s="4">
        <f t="shared" si="62"/>
        <v>1.247115967295516E-4</v>
      </c>
    </row>
    <row r="423" spans="1:24" ht="14.25" customHeight="1" x14ac:dyDescent="0.2">
      <c r="A423" s="5" t="s">
        <v>634</v>
      </c>
      <c r="B423" s="3" t="s">
        <v>68</v>
      </c>
      <c r="C423" s="3" t="s">
        <v>35</v>
      </c>
      <c r="D423" s="3" t="s">
        <v>2362</v>
      </c>
      <c r="E423" s="3" t="s">
        <v>2352</v>
      </c>
      <c r="F423" s="3" t="s">
        <v>635</v>
      </c>
      <c r="G423" s="3" t="s">
        <v>41</v>
      </c>
      <c r="H423" s="3" t="s">
        <v>19</v>
      </c>
      <c r="I423" s="3">
        <v>46190</v>
      </c>
      <c r="J423" s="3">
        <v>3</v>
      </c>
      <c r="K423" s="3">
        <v>8618</v>
      </c>
      <c r="L423" s="3">
        <v>41618</v>
      </c>
      <c r="M423" s="3">
        <v>1</v>
      </c>
      <c r="N423" s="14">
        <v>5464.1098169999996</v>
      </c>
      <c r="O423" s="7">
        <f t="shared" si="54"/>
        <v>6.4949123186836986E-3</v>
      </c>
      <c r="P423" s="14">
        <f t="shared" si="55"/>
        <v>1821.3699389999999</v>
      </c>
      <c r="Q423" s="14">
        <f t="shared" si="56"/>
        <v>5464.1098169999996</v>
      </c>
      <c r="R423" s="4">
        <f t="shared" si="57"/>
        <v>33.333333333333329</v>
      </c>
      <c r="S423" s="14">
        <f t="shared" si="58"/>
        <v>131.2919846460666</v>
      </c>
      <c r="T423" s="4">
        <f t="shared" si="59"/>
        <v>18.65771812080537</v>
      </c>
      <c r="U423" s="3">
        <f>LEN(A423) - LEN(SUBSTITUTE(A423,"&gt;","")) +1</f>
        <v>4</v>
      </c>
      <c r="V423" s="8">
        <f t="shared" si="60"/>
        <v>7.2165692429818854E-4</v>
      </c>
      <c r="W423" s="14">
        <f t="shared" si="61"/>
        <v>1366.0274542499999</v>
      </c>
      <c r="X423" s="4">
        <f t="shared" si="62"/>
        <v>3.962165559262525E-5</v>
      </c>
    </row>
    <row r="424" spans="1:24" ht="14.25" customHeight="1" x14ac:dyDescent="0.2">
      <c r="A424" s="5" t="s">
        <v>1847</v>
      </c>
      <c r="B424" s="3" t="s">
        <v>24</v>
      </c>
      <c r="C424" s="3" t="s">
        <v>29</v>
      </c>
      <c r="D424" s="3" t="s">
        <v>2362</v>
      </c>
      <c r="E424" s="3" t="s">
        <v>2352</v>
      </c>
      <c r="F424" s="3" t="s">
        <v>637</v>
      </c>
      <c r="G424" s="3" t="s">
        <v>27</v>
      </c>
      <c r="H424" s="3" t="s">
        <v>19</v>
      </c>
      <c r="I424" s="3">
        <v>11672</v>
      </c>
      <c r="J424" s="3">
        <v>3</v>
      </c>
      <c r="K424" s="3">
        <v>7619</v>
      </c>
      <c r="L424" s="3">
        <v>9999</v>
      </c>
      <c r="M424" s="3">
        <v>1</v>
      </c>
      <c r="N424" s="14">
        <v>5284.2770399999999</v>
      </c>
      <c r="O424" s="7">
        <f t="shared" si="54"/>
        <v>2.5702535983550375E-2</v>
      </c>
      <c r="P424" s="14">
        <f t="shared" si="55"/>
        <v>1761.4256800000001</v>
      </c>
      <c r="Q424" s="14">
        <f t="shared" si="56"/>
        <v>5284.2770399999999</v>
      </c>
      <c r="R424" s="4">
        <f t="shared" si="57"/>
        <v>33.333333333333329</v>
      </c>
      <c r="S424" s="14">
        <f t="shared" si="58"/>
        <v>528.48055205520552</v>
      </c>
      <c r="T424" s="4">
        <f t="shared" si="59"/>
        <v>65.275873886223451</v>
      </c>
      <c r="U424" s="3">
        <f>LEN(A424) - LEN(SUBSTITUTE(A424,"&gt;","")) +1</f>
        <v>6</v>
      </c>
      <c r="V424" s="8">
        <f t="shared" si="60"/>
        <v>2.8558373315055972E-3</v>
      </c>
      <c r="W424" s="14">
        <f t="shared" si="61"/>
        <v>880.71284000000003</v>
      </c>
      <c r="X424" s="4">
        <f t="shared" si="62"/>
        <v>1.6213215033322308E-4</v>
      </c>
    </row>
    <row r="425" spans="1:24" ht="14.25" customHeight="1" x14ac:dyDescent="0.2">
      <c r="A425" s="5" t="s">
        <v>638</v>
      </c>
      <c r="B425" s="3" t="s">
        <v>14</v>
      </c>
      <c r="C425" s="3" t="s">
        <v>35</v>
      </c>
      <c r="D425" s="3" t="s">
        <v>2379</v>
      </c>
      <c r="E425" s="3" t="s">
        <v>2380</v>
      </c>
      <c r="F425" s="3" t="s">
        <v>639</v>
      </c>
      <c r="G425" s="3" t="s">
        <v>41</v>
      </c>
      <c r="H425" s="3" t="s">
        <v>19</v>
      </c>
      <c r="I425" s="3">
        <v>5370</v>
      </c>
      <c r="J425" s="3">
        <v>3</v>
      </c>
      <c r="K425" s="3">
        <v>4585</v>
      </c>
      <c r="L425" s="3">
        <v>5139</v>
      </c>
      <c r="M425" s="3">
        <v>3</v>
      </c>
      <c r="N425" s="14">
        <v>5217.893204</v>
      </c>
      <c r="O425" s="7">
        <f t="shared" si="54"/>
        <v>5.5865921787709494E-2</v>
      </c>
      <c r="P425" s="14">
        <f t="shared" si="55"/>
        <v>1739.2977346666667</v>
      </c>
      <c r="Q425" s="14">
        <f t="shared" si="56"/>
        <v>1739.2977346666667</v>
      </c>
      <c r="R425" s="4">
        <f t="shared" si="57"/>
        <v>100</v>
      </c>
      <c r="S425" s="14">
        <f t="shared" si="58"/>
        <v>1015.3518591165596</v>
      </c>
      <c r="T425" s="4">
        <f t="shared" si="59"/>
        <v>85.381750465549345</v>
      </c>
      <c r="U425" s="3">
        <f>LEN(A425) - LEN(SUBSTITUTE(A425,"&gt;","")) +1</f>
        <v>4</v>
      </c>
      <c r="V425" s="8">
        <f t="shared" si="60"/>
        <v>1.86219739292365E-2</v>
      </c>
      <c r="W425" s="14">
        <f t="shared" si="61"/>
        <v>1304.473301</v>
      </c>
      <c r="X425" s="4">
        <f t="shared" si="62"/>
        <v>3.2119815184153103E-3</v>
      </c>
    </row>
    <row r="426" spans="1:24" ht="14.25" customHeight="1" x14ac:dyDescent="0.2">
      <c r="A426" s="5" t="s">
        <v>1848</v>
      </c>
      <c r="B426" s="3" t="s">
        <v>24</v>
      </c>
      <c r="C426" s="3" t="s">
        <v>29</v>
      </c>
      <c r="D426" s="3" t="s">
        <v>2363</v>
      </c>
      <c r="E426" s="3" t="s">
        <v>2358</v>
      </c>
      <c r="F426" s="3" t="s">
        <v>641</v>
      </c>
      <c r="G426" s="3" t="s">
        <v>64</v>
      </c>
      <c r="H426" s="3" t="s">
        <v>19</v>
      </c>
      <c r="I426" s="3">
        <v>14398</v>
      </c>
      <c r="J426" s="3">
        <v>3</v>
      </c>
      <c r="K426" s="3">
        <v>2807</v>
      </c>
      <c r="L426" s="3">
        <v>13393</v>
      </c>
      <c r="M426" s="3">
        <v>1</v>
      </c>
      <c r="N426" s="14">
        <v>5154.6445549999999</v>
      </c>
      <c r="O426" s="7">
        <f t="shared" si="54"/>
        <v>2.0836227253785249E-2</v>
      </c>
      <c r="P426" s="14">
        <f t="shared" si="55"/>
        <v>1718.2148516666666</v>
      </c>
      <c r="Q426" s="14">
        <f t="shared" si="56"/>
        <v>5154.6445549999999</v>
      </c>
      <c r="R426" s="4">
        <f t="shared" si="57"/>
        <v>33.333333333333329</v>
      </c>
      <c r="S426" s="14">
        <f t="shared" si="58"/>
        <v>384.87602142910475</v>
      </c>
      <c r="T426" s="4">
        <f t="shared" si="59"/>
        <v>19.495763300458396</v>
      </c>
      <c r="U426" s="3">
        <f>LEN(A426) - LEN(SUBSTITUTE(A426,"&gt;","")) +1</f>
        <v>5</v>
      </c>
      <c r="V426" s="8">
        <f t="shared" si="60"/>
        <v>2.3151363615316941E-3</v>
      </c>
      <c r="W426" s="14">
        <f t="shared" si="61"/>
        <v>1030.928911</v>
      </c>
      <c r="X426" s="4">
        <f t="shared" si="62"/>
        <v>1.3474079561621844E-4</v>
      </c>
    </row>
    <row r="427" spans="1:24" ht="14.25" customHeight="1" x14ac:dyDescent="0.2">
      <c r="A427" s="5" t="s">
        <v>642</v>
      </c>
      <c r="B427" s="3" t="s">
        <v>14</v>
      </c>
      <c r="C427" s="3" t="s">
        <v>35</v>
      </c>
      <c r="D427" s="3" t="s">
        <v>2370</v>
      </c>
      <c r="E427" s="3" t="s">
        <v>2360</v>
      </c>
      <c r="F427" s="3" t="s">
        <v>643</v>
      </c>
      <c r="G427" s="3" t="s">
        <v>18</v>
      </c>
      <c r="H427" s="3" t="s">
        <v>19</v>
      </c>
      <c r="I427" s="3">
        <v>7095</v>
      </c>
      <c r="J427" s="3">
        <v>3</v>
      </c>
      <c r="K427" s="3">
        <v>3832</v>
      </c>
      <c r="L427" s="3">
        <v>6344</v>
      </c>
      <c r="M427" s="3">
        <v>1</v>
      </c>
      <c r="N427" s="14">
        <v>5144.8120399999998</v>
      </c>
      <c r="O427" s="7">
        <f t="shared" si="54"/>
        <v>4.2283298097251586E-2</v>
      </c>
      <c r="P427" s="14">
        <f t="shared" si="55"/>
        <v>1714.9373466666666</v>
      </c>
      <c r="Q427" s="14">
        <f t="shared" si="56"/>
        <v>5144.8120399999998</v>
      </c>
      <c r="R427" s="4">
        <f t="shared" si="57"/>
        <v>33.333333333333329</v>
      </c>
      <c r="S427" s="14">
        <f t="shared" si="58"/>
        <v>810.97289407313997</v>
      </c>
      <c r="T427" s="4">
        <f t="shared" si="59"/>
        <v>54.009866102889362</v>
      </c>
      <c r="U427" s="3">
        <f>LEN(A427) - LEN(SUBSTITUTE(A427,"&gt;","")) +1</f>
        <v>4</v>
      </c>
      <c r="V427" s="8">
        <f t="shared" si="60"/>
        <v>4.6981442330279533E-3</v>
      </c>
      <c r="W427" s="14">
        <f t="shared" si="61"/>
        <v>1286.2030099999999</v>
      </c>
      <c r="X427" s="4">
        <f t="shared" si="62"/>
        <v>2.7395427839738655E-4</v>
      </c>
    </row>
    <row r="428" spans="1:24" ht="14.25" customHeight="1" x14ac:dyDescent="0.2">
      <c r="A428" s="5" t="s">
        <v>1849</v>
      </c>
      <c r="B428" s="3" t="s">
        <v>14</v>
      </c>
      <c r="C428" s="3" t="s">
        <v>15</v>
      </c>
      <c r="D428" s="3" t="s">
        <v>2353</v>
      </c>
      <c r="E428" s="3" t="s">
        <v>2354</v>
      </c>
      <c r="F428" s="3" t="s">
        <v>645</v>
      </c>
      <c r="G428" s="3" t="s">
        <v>27</v>
      </c>
      <c r="H428" s="3" t="s">
        <v>19</v>
      </c>
      <c r="I428" s="3">
        <v>18516</v>
      </c>
      <c r="J428" s="3">
        <v>3</v>
      </c>
      <c r="K428" s="3">
        <v>8191</v>
      </c>
      <c r="L428" s="3">
        <v>13641</v>
      </c>
      <c r="M428" s="3">
        <v>9</v>
      </c>
      <c r="N428" s="14">
        <v>5087.5617149999998</v>
      </c>
      <c r="O428" s="7">
        <f t="shared" si="54"/>
        <v>1.6202203499675955E-2</v>
      </c>
      <c r="P428" s="14">
        <f t="shared" si="55"/>
        <v>1695.8539049999999</v>
      </c>
      <c r="Q428" s="14">
        <f t="shared" si="56"/>
        <v>565.28463499999998</v>
      </c>
      <c r="R428" s="4">
        <f t="shared" si="57"/>
        <v>300</v>
      </c>
      <c r="S428" s="14">
        <f t="shared" si="58"/>
        <v>372.96105234220363</v>
      </c>
      <c r="T428" s="4">
        <f t="shared" si="59"/>
        <v>44.23741628861525</v>
      </c>
      <c r="U428" s="3">
        <f>LEN(A428) - LEN(SUBSTITUTE(A428,"&gt;","")) +1</f>
        <v>6</v>
      </c>
      <c r="V428" s="8">
        <f t="shared" si="60"/>
        <v>1.6202203499675955E-2</v>
      </c>
      <c r="W428" s="14">
        <f t="shared" si="61"/>
        <v>847.92695249999997</v>
      </c>
      <c r="X428" s="4">
        <f t="shared" si="62"/>
        <v>8.5986081151892373E-3</v>
      </c>
    </row>
    <row r="429" spans="1:24" ht="14.25" customHeight="1" x14ac:dyDescent="0.2">
      <c r="A429" s="5" t="s">
        <v>1850</v>
      </c>
      <c r="B429" s="3" t="s">
        <v>14</v>
      </c>
      <c r="C429" s="3" t="s">
        <v>32</v>
      </c>
      <c r="D429" s="3" t="s">
        <v>2357</v>
      </c>
      <c r="E429" s="3" t="s">
        <v>2358</v>
      </c>
      <c r="F429" s="3" t="s">
        <v>63</v>
      </c>
      <c r="G429" s="3" t="s">
        <v>41</v>
      </c>
      <c r="H429" s="3" t="s">
        <v>19</v>
      </c>
      <c r="I429" s="3">
        <v>9060</v>
      </c>
      <c r="J429" s="3">
        <v>3</v>
      </c>
      <c r="K429" s="3">
        <v>5190</v>
      </c>
      <c r="L429" s="3">
        <v>8621</v>
      </c>
      <c r="M429" s="3">
        <v>14</v>
      </c>
      <c r="N429" s="14">
        <v>4934.8515630000002</v>
      </c>
      <c r="O429" s="7">
        <f t="shared" si="54"/>
        <v>3.3112582781456956E-2</v>
      </c>
      <c r="P429" s="14">
        <f t="shared" si="55"/>
        <v>1644.950521</v>
      </c>
      <c r="Q429" s="14">
        <f t="shared" si="56"/>
        <v>352.48939735714288</v>
      </c>
      <c r="R429" s="4">
        <f t="shared" si="57"/>
        <v>466.66666666666669</v>
      </c>
      <c r="S429" s="14">
        <f t="shared" si="58"/>
        <v>572.42217410973205</v>
      </c>
      <c r="T429" s="4">
        <f t="shared" si="59"/>
        <v>57.284768211920536</v>
      </c>
      <c r="U429" s="3">
        <f>LEN(A429) - LEN(SUBSTITUTE(A429,"&gt;","")) +1</f>
        <v>6</v>
      </c>
      <c r="V429" s="8">
        <f t="shared" si="60"/>
        <v>5.1508462104488596E-2</v>
      </c>
      <c r="W429" s="14">
        <f t="shared" si="61"/>
        <v>822.47526049999999</v>
      </c>
      <c r="X429" s="4">
        <f t="shared" si="62"/>
        <v>4.3838307612101141E-2</v>
      </c>
    </row>
    <row r="430" spans="1:24" ht="14.25" customHeight="1" x14ac:dyDescent="0.2">
      <c r="A430" s="5" t="s">
        <v>1851</v>
      </c>
      <c r="B430" s="3" t="s">
        <v>14</v>
      </c>
      <c r="C430" s="3" t="s">
        <v>15</v>
      </c>
      <c r="D430" s="3" t="s">
        <v>2349</v>
      </c>
      <c r="E430" s="3" t="s">
        <v>2350</v>
      </c>
      <c r="F430" s="3" t="s">
        <v>523</v>
      </c>
      <c r="G430" s="3" t="s">
        <v>38</v>
      </c>
      <c r="H430" s="3" t="s">
        <v>19</v>
      </c>
      <c r="I430" s="3">
        <v>26304</v>
      </c>
      <c r="J430" s="3">
        <v>3</v>
      </c>
      <c r="K430" s="3">
        <v>12354</v>
      </c>
      <c r="L430" s="3">
        <v>17500</v>
      </c>
      <c r="M430" s="3">
        <v>11</v>
      </c>
      <c r="N430" s="14">
        <v>4727.8139160000001</v>
      </c>
      <c r="O430" s="7">
        <f t="shared" si="54"/>
        <v>1.1405109489051095E-2</v>
      </c>
      <c r="P430" s="14">
        <f t="shared" si="55"/>
        <v>1575.9379719999999</v>
      </c>
      <c r="Q430" s="14">
        <f t="shared" si="56"/>
        <v>429.80126509090911</v>
      </c>
      <c r="R430" s="4">
        <f t="shared" si="57"/>
        <v>366.66666666666663</v>
      </c>
      <c r="S430" s="14">
        <f t="shared" si="58"/>
        <v>270.16079520000005</v>
      </c>
      <c r="T430" s="4">
        <f t="shared" si="59"/>
        <v>46.966240875912405</v>
      </c>
      <c r="U430" s="3">
        <f>LEN(A430) - LEN(SUBSTITUTE(A430,"&gt;","")) +1</f>
        <v>5</v>
      </c>
      <c r="V430" s="8">
        <f t="shared" si="60"/>
        <v>1.3939578264395781E-2</v>
      </c>
      <c r="W430" s="14">
        <f t="shared" si="61"/>
        <v>945.56278320000001</v>
      </c>
      <c r="X430" s="4">
        <f t="shared" si="62"/>
        <v>9.7297840164202593E-3</v>
      </c>
    </row>
    <row r="431" spans="1:24" ht="14.25" customHeight="1" x14ac:dyDescent="0.2">
      <c r="A431" s="5" t="s">
        <v>1852</v>
      </c>
      <c r="B431" s="3" t="s">
        <v>14</v>
      </c>
      <c r="C431" s="3" t="s">
        <v>29</v>
      </c>
      <c r="D431" s="3" t="s">
        <v>2363</v>
      </c>
      <c r="E431" s="3" t="s">
        <v>2358</v>
      </c>
      <c r="F431" s="3" t="s">
        <v>649</v>
      </c>
      <c r="G431" s="3" t="s">
        <v>22</v>
      </c>
      <c r="H431" s="3" t="s">
        <v>19</v>
      </c>
      <c r="I431" s="3">
        <v>10835</v>
      </c>
      <c r="J431" s="3">
        <v>3</v>
      </c>
      <c r="K431" s="3">
        <v>2888</v>
      </c>
      <c r="L431" s="3">
        <v>10487</v>
      </c>
      <c r="M431" s="3">
        <v>3</v>
      </c>
      <c r="N431" s="14">
        <v>4704.2499559999997</v>
      </c>
      <c r="O431" s="7">
        <f t="shared" si="54"/>
        <v>2.7688047992616517E-2</v>
      </c>
      <c r="P431" s="14">
        <f t="shared" si="55"/>
        <v>1568.0833186666666</v>
      </c>
      <c r="Q431" s="14">
        <f t="shared" si="56"/>
        <v>1568.0833186666666</v>
      </c>
      <c r="R431" s="4">
        <f t="shared" si="57"/>
        <v>100</v>
      </c>
      <c r="S431" s="14">
        <f t="shared" si="58"/>
        <v>448.57918909125584</v>
      </c>
      <c r="T431" s="4">
        <f t="shared" si="59"/>
        <v>26.654360867558836</v>
      </c>
      <c r="U431" s="3">
        <f>LEN(A431) - LEN(SUBSTITUTE(A431,"&gt;","")) +1</f>
        <v>5</v>
      </c>
      <c r="V431" s="8">
        <f t="shared" si="60"/>
        <v>9.2293493308721729E-3</v>
      </c>
      <c r="W431" s="14">
        <f t="shared" si="61"/>
        <v>940.84999119999998</v>
      </c>
      <c r="X431" s="4">
        <f t="shared" si="62"/>
        <v>1.7657255620931881E-3</v>
      </c>
    </row>
    <row r="432" spans="1:24" ht="14.25" customHeight="1" x14ac:dyDescent="0.2">
      <c r="A432" s="5" t="s">
        <v>1853</v>
      </c>
      <c r="B432" s="3" t="s">
        <v>14</v>
      </c>
      <c r="C432" s="3" t="s">
        <v>35</v>
      </c>
      <c r="D432" s="3" t="s">
        <v>2402</v>
      </c>
      <c r="E432" s="3" t="s">
        <v>2403</v>
      </c>
      <c r="F432" s="3" t="s">
        <v>606</v>
      </c>
      <c r="G432" s="3" t="s">
        <v>38</v>
      </c>
      <c r="H432" s="3" t="s">
        <v>19</v>
      </c>
      <c r="I432" s="3">
        <v>9319</v>
      </c>
      <c r="J432" s="3">
        <v>3</v>
      </c>
      <c r="K432" s="3">
        <v>6193</v>
      </c>
      <c r="L432" s="3">
        <v>8682</v>
      </c>
      <c r="M432" s="3">
        <v>12</v>
      </c>
      <c r="N432" s="14">
        <v>4594.6040030000004</v>
      </c>
      <c r="O432" s="7">
        <f t="shared" si="54"/>
        <v>3.219229531065565E-2</v>
      </c>
      <c r="P432" s="14">
        <f t="shared" si="55"/>
        <v>1531.5346676666668</v>
      </c>
      <c r="Q432" s="14">
        <f t="shared" si="56"/>
        <v>382.8836669166667</v>
      </c>
      <c r="R432" s="4">
        <f t="shared" si="57"/>
        <v>400</v>
      </c>
      <c r="S432" s="14">
        <f t="shared" si="58"/>
        <v>529.21032054826082</v>
      </c>
      <c r="T432" s="4">
        <f t="shared" si="59"/>
        <v>66.455628286296815</v>
      </c>
      <c r="U432" s="3">
        <f>LEN(A432) - LEN(SUBSTITUTE(A432,"&gt;","")) +1</f>
        <v>5</v>
      </c>
      <c r="V432" s="8">
        <f t="shared" si="60"/>
        <v>4.2923060414207535E-2</v>
      </c>
      <c r="W432" s="14">
        <f t="shared" si="61"/>
        <v>918.92080060000012</v>
      </c>
      <c r="X432" s="4">
        <f t="shared" si="62"/>
        <v>3.3631411410048155E-2</v>
      </c>
    </row>
    <row r="433" spans="1:24" ht="14.25" customHeight="1" x14ac:dyDescent="0.2">
      <c r="A433" s="5" t="s">
        <v>1854</v>
      </c>
      <c r="B433" s="3" t="s">
        <v>14</v>
      </c>
      <c r="C433" s="3" t="s">
        <v>29</v>
      </c>
      <c r="D433" s="3" t="s">
        <v>2359</v>
      </c>
      <c r="E433" s="3" t="s">
        <v>2360</v>
      </c>
      <c r="F433" s="3" t="s">
        <v>653</v>
      </c>
      <c r="G433" s="3" t="s">
        <v>323</v>
      </c>
      <c r="H433" s="3" t="s">
        <v>19</v>
      </c>
      <c r="I433" s="3">
        <v>10386</v>
      </c>
      <c r="J433" s="3">
        <v>3</v>
      </c>
      <c r="K433" s="3">
        <v>5876</v>
      </c>
      <c r="L433" s="3">
        <v>10048</v>
      </c>
      <c r="M433" s="3">
        <v>19</v>
      </c>
      <c r="N433" s="14">
        <v>4439.8380639999996</v>
      </c>
      <c r="O433" s="7">
        <f t="shared" si="54"/>
        <v>2.8885037550548814E-2</v>
      </c>
      <c r="P433" s="14">
        <f t="shared" si="55"/>
        <v>1479.9460213333332</v>
      </c>
      <c r="Q433" s="14">
        <f t="shared" si="56"/>
        <v>233.67568757894733</v>
      </c>
      <c r="R433" s="4">
        <f t="shared" si="57"/>
        <v>633.33333333333326</v>
      </c>
      <c r="S433" s="14">
        <f t="shared" si="58"/>
        <v>441.86286464968151</v>
      </c>
      <c r="T433" s="4">
        <f t="shared" si="59"/>
        <v>56.576160215674939</v>
      </c>
      <c r="U433" s="3">
        <f>LEN(A433) - LEN(SUBSTITUTE(A433,"&gt;","")) +1</f>
        <v>5</v>
      </c>
      <c r="V433" s="8">
        <f t="shared" si="60"/>
        <v>6.0979523717825272E-2</v>
      </c>
      <c r="W433" s="14">
        <f t="shared" si="61"/>
        <v>887.96761279999987</v>
      </c>
      <c r="X433" s="4">
        <f t="shared" si="62"/>
        <v>7.828737899473176E-2</v>
      </c>
    </row>
    <row r="434" spans="1:24" ht="14.25" customHeight="1" x14ac:dyDescent="0.2">
      <c r="A434" s="5" t="s">
        <v>654</v>
      </c>
      <c r="B434" s="3" t="s">
        <v>14</v>
      </c>
      <c r="C434" s="3" t="s">
        <v>15</v>
      </c>
      <c r="D434" s="3" t="s">
        <v>2349</v>
      </c>
      <c r="E434" s="3" t="s">
        <v>2350</v>
      </c>
      <c r="F434" s="3" t="s">
        <v>655</v>
      </c>
      <c r="G434" s="3" t="s">
        <v>58</v>
      </c>
      <c r="H434" s="3" t="s">
        <v>19</v>
      </c>
      <c r="I434" s="3">
        <v>18022</v>
      </c>
      <c r="J434" s="3">
        <v>3</v>
      </c>
      <c r="K434" s="3">
        <v>10618</v>
      </c>
      <c r="L434" s="3">
        <v>16643</v>
      </c>
      <c r="M434" s="3">
        <v>15</v>
      </c>
      <c r="N434" s="14">
        <v>4051.1587490000002</v>
      </c>
      <c r="O434" s="7">
        <f t="shared" si="54"/>
        <v>1.6646321163022972E-2</v>
      </c>
      <c r="P434" s="14">
        <f t="shared" si="55"/>
        <v>1350.3862496666668</v>
      </c>
      <c r="Q434" s="14">
        <f t="shared" si="56"/>
        <v>270.07724993333335</v>
      </c>
      <c r="R434" s="4">
        <f t="shared" si="57"/>
        <v>500</v>
      </c>
      <c r="S434" s="14">
        <f t="shared" si="58"/>
        <v>243.41517448777265</v>
      </c>
      <c r="T434" s="4">
        <f t="shared" si="59"/>
        <v>58.916879369659306</v>
      </c>
      <c r="U434" s="3">
        <f>LEN(A434) - LEN(SUBSTITUTE(A434,"&gt;","")) +1</f>
        <v>4</v>
      </c>
      <c r="V434" s="8">
        <f t="shared" si="60"/>
        <v>2.7743868605038288E-2</v>
      </c>
      <c r="W434" s="14">
        <f t="shared" si="61"/>
        <v>1012.78968725</v>
      </c>
      <c r="X434" s="4">
        <f t="shared" si="62"/>
        <v>3.0817703392514544E-2</v>
      </c>
    </row>
    <row r="435" spans="1:24" ht="14.25" customHeight="1" x14ac:dyDescent="0.2">
      <c r="A435" s="5" t="s">
        <v>1855</v>
      </c>
      <c r="B435" s="3" t="s">
        <v>14</v>
      </c>
      <c r="C435" s="3" t="s">
        <v>29</v>
      </c>
      <c r="D435" s="3" t="s">
        <v>2349</v>
      </c>
      <c r="E435" s="3" t="s">
        <v>2350</v>
      </c>
      <c r="F435" s="3" t="s">
        <v>657</v>
      </c>
      <c r="G435" s="3" t="s">
        <v>33</v>
      </c>
      <c r="H435" s="3" t="s">
        <v>19</v>
      </c>
      <c r="I435" s="3">
        <v>21482</v>
      </c>
      <c r="J435" s="3">
        <v>3</v>
      </c>
      <c r="K435" s="3">
        <v>10473</v>
      </c>
      <c r="L435" s="3">
        <v>19679</v>
      </c>
      <c r="M435" s="3">
        <v>3</v>
      </c>
      <c r="N435" s="14">
        <v>3563.098841</v>
      </c>
      <c r="O435" s="7">
        <f t="shared" si="54"/>
        <v>1.3965180150823946E-2</v>
      </c>
      <c r="P435" s="14">
        <f t="shared" si="55"/>
        <v>1187.6996136666667</v>
      </c>
      <c r="Q435" s="14">
        <f t="shared" si="56"/>
        <v>1187.6996136666667</v>
      </c>
      <c r="R435" s="4">
        <f t="shared" si="57"/>
        <v>100</v>
      </c>
      <c r="S435" s="14">
        <f t="shared" si="58"/>
        <v>181.06097062858888</v>
      </c>
      <c r="T435" s="4">
        <f t="shared" si="59"/>
        <v>48.752443906526395</v>
      </c>
      <c r="U435" s="3">
        <f>LEN(A435) - LEN(SUBSTITUTE(A435,"&gt;","")) +1</f>
        <v>6</v>
      </c>
      <c r="V435" s="8">
        <f t="shared" si="60"/>
        <v>4.655060050274649E-3</v>
      </c>
      <c r="W435" s="14">
        <f t="shared" si="61"/>
        <v>593.84980683333333</v>
      </c>
      <c r="X435" s="4">
        <f t="shared" si="62"/>
        <v>1.1758175207037945E-3</v>
      </c>
    </row>
    <row r="436" spans="1:24" ht="14.25" customHeight="1" x14ac:dyDescent="0.2">
      <c r="A436" s="5" t="s">
        <v>1856</v>
      </c>
      <c r="B436" s="3" t="s">
        <v>14</v>
      </c>
      <c r="C436" s="3" t="s">
        <v>35</v>
      </c>
      <c r="D436" s="3" t="s">
        <v>2363</v>
      </c>
      <c r="E436" s="3" t="s">
        <v>2358</v>
      </c>
      <c r="F436" s="3" t="s">
        <v>659</v>
      </c>
      <c r="G436" s="3" t="s">
        <v>27</v>
      </c>
      <c r="H436" s="3" t="s">
        <v>19</v>
      </c>
      <c r="I436" s="3">
        <v>29107</v>
      </c>
      <c r="J436" s="3">
        <v>3</v>
      </c>
      <c r="K436" s="3">
        <v>4047</v>
      </c>
      <c r="L436" s="3">
        <v>27357</v>
      </c>
      <c r="M436" s="3">
        <v>3</v>
      </c>
      <c r="N436" s="14">
        <v>3339.454322</v>
      </c>
      <c r="O436" s="7">
        <f t="shared" si="54"/>
        <v>1.0306799051774488E-2</v>
      </c>
      <c r="P436" s="14">
        <f t="shared" si="55"/>
        <v>1113.1514406666668</v>
      </c>
      <c r="Q436" s="14">
        <f t="shared" si="56"/>
        <v>1113.1514406666668</v>
      </c>
      <c r="R436" s="4">
        <f t="shared" si="57"/>
        <v>100</v>
      </c>
      <c r="S436" s="14">
        <f t="shared" si="58"/>
        <v>122.06946383009833</v>
      </c>
      <c r="T436" s="4">
        <f t="shared" si="59"/>
        <v>13.903871920843782</v>
      </c>
      <c r="U436" s="3">
        <f>LEN(A436) - LEN(SUBSTITUTE(A436,"&gt;","")) +1</f>
        <v>4</v>
      </c>
      <c r="V436" s="8">
        <f t="shared" si="60"/>
        <v>3.4355996839248292E-3</v>
      </c>
      <c r="W436" s="14">
        <f t="shared" si="61"/>
        <v>834.86358050000001</v>
      </c>
      <c r="X436" s="4">
        <f t="shared" si="62"/>
        <v>9.2591166621513251E-4</v>
      </c>
    </row>
    <row r="437" spans="1:24" ht="14.25" customHeight="1" x14ac:dyDescent="0.2">
      <c r="A437" s="5" t="s">
        <v>1857</v>
      </c>
      <c r="B437" s="3" t="s">
        <v>24</v>
      </c>
      <c r="C437" s="3" t="s">
        <v>32</v>
      </c>
      <c r="D437" s="3" t="s">
        <v>2378</v>
      </c>
      <c r="E437" s="3" t="s">
        <v>2352</v>
      </c>
      <c r="F437" s="3" t="s">
        <v>142</v>
      </c>
      <c r="G437" s="3" t="s">
        <v>38</v>
      </c>
      <c r="H437" s="3" t="s">
        <v>19</v>
      </c>
      <c r="I437" s="3">
        <v>10389</v>
      </c>
      <c r="J437" s="3">
        <v>3</v>
      </c>
      <c r="K437" s="3">
        <v>8161</v>
      </c>
      <c r="L437" s="3">
        <v>9951</v>
      </c>
      <c r="M437" s="3">
        <v>1</v>
      </c>
      <c r="N437" s="14">
        <v>2582.4938470000002</v>
      </c>
      <c r="O437" s="7">
        <f t="shared" si="54"/>
        <v>2.8876696505919723E-2</v>
      </c>
      <c r="P437" s="14">
        <f t="shared" si="55"/>
        <v>860.83128233333343</v>
      </c>
      <c r="Q437" s="14">
        <f t="shared" si="56"/>
        <v>2582.4938470000002</v>
      </c>
      <c r="R437" s="4">
        <f t="shared" si="57"/>
        <v>33.333333333333329</v>
      </c>
      <c r="S437" s="14">
        <f t="shared" si="58"/>
        <v>259.52103778514726</v>
      </c>
      <c r="T437" s="4">
        <f t="shared" si="59"/>
        <v>78.554240061603622</v>
      </c>
      <c r="U437" s="3">
        <f>LEN(A437) - LEN(SUBSTITUTE(A437,"&gt;","")) +1</f>
        <v>5</v>
      </c>
      <c r="V437" s="8">
        <f t="shared" si="60"/>
        <v>3.20852183399108E-3</v>
      </c>
      <c r="W437" s="14">
        <f t="shared" si="61"/>
        <v>516.49876940000001</v>
      </c>
      <c r="X437" s="4">
        <f t="shared" si="62"/>
        <v>3.727236567535272E-4</v>
      </c>
    </row>
    <row r="438" spans="1:24" ht="14.25" customHeight="1" x14ac:dyDescent="0.2">
      <c r="A438" s="5" t="s">
        <v>1858</v>
      </c>
      <c r="B438" s="3" t="s">
        <v>14</v>
      </c>
      <c r="C438" s="3" t="s">
        <v>29</v>
      </c>
      <c r="D438" s="3" t="s">
        <v>2353</v>
      </c>
      <c r="E438" s="3" t="s">
        <v>2354</v>
      </c>
      <c r="F438" s="3" t="s">
        <v>662</v>
      </c>
      <c r="G438" s="3" t="s">
        <v>27</v>
      </c>
      <c r="H438" s="3" t="s">
        <v>19</v>
      </c>
      <c r="I438" s="3">
        <v>10191</v>
      </c>
      <c r="J438" s="3">
        <v>3</v>
      </c>
      <c r="K438" s="3">
        <v>1243</v>
      </c>
      <c r="L438" s="3">
        <v>8897</v>
      </c>
      <c r="M438" s="3">
        <v>1</v>
      </c>
      <c r="N438" s="14">
        <v>2365.9143720000002</v>
      </c>
      <c r="O438" s="7">
        <f t="shared" si="54"/>
        <v>2.9437739181630854E-2</v>
      </c>
      <c r="P438" s="14">
        <f t="shared" si="55"/>
        <v>788.63812400000006</v>
      </c>
      <c r="Q438" s="14">
        <f t="shared" si="56"/>
        <v>2365.9143720000002</v>
      </c>
      <c r="R438" s="4">
        <f t="shared" si="57"/>
        <v>33.333333333333329</v>
      </c>
      <c r="S438" s="14">
        <f t="shared" si="58"/>
        <v>265.92271237495783</v>
      </c>
      <c r="T438" s="4">
        <f t="shared" si="59"/>
        <v>12.197036600922383</v>
      </c>
      <c r="U438" s="3">
        <f>LEN(A438) - LEN(SUBSTITUTE(A438,"&gt;","")) +1</f>
        <v>6</v>
      </c>
      <c r="V438" s="8">
        <f t="shared" si="60"/>
        <v>3.270859909070094E-3</v>
      </c>
      <c r="W438" s="14">
        <f t="shared" si="61"/>
        <v>394.31906200000003</v>
      </c>
      <c r="X438" s="4">
        <f t="shared" si="62"/>
        <v>4.1474788112958312E-4</v>
      </c>
    </row>
    <row r="439" spans="1:24" ht="14.25" customHeight="1" x14ac:dyDescent="0.2">
      <c r="A439" s="5" t="s">
        <v>1502</v>
      </c>
      <c r="B439" s="3" t="s">
        <v>24</v>
      </c>
      <c r="C439" s="3" t="s">
        <v>29</v>
      </c>
      <c r="D439" s="3" t="s">
        <v>2359</v>
      </c>
      <c r="E439" s="3" t="s">
        <v>2360</v>
      </c>
      <c r="F439" s="3" t="s">
        <v>269</v>
      </c>
      <c r="G439" s="3" t="s">
        <v>27</v>
      </c>
      <c r="H439" s="3" t="s">
        <v>114</v>
      </c>
      <c r="I439" s="3">
        <v>16142</v>
      </c>
      <c r="J439" s="3">
        <v>3</v>
      </c>
      <c r="K439" s="3">
        <v>7064</v>
      </c>
      <c r="L439" s="3">
        <v>15433</v>
      </c>
      <c r="M439" s="3">
        <v>1</v>
      </c>
      <c r="N439" s="14">
        <v>2209.6509569999998</v>
      </c>
      <c r="O439" s="7">
        <f t="shared" si="54"/>
        <v>1.8585057613678603E-2</v>
      </c>
      <c r="P439" s="14">
        <f t="shared" si="55"/>
        <v>736.55031899999994</v>
      </c>
      <c r="Q439" s="14">
        <f t="shared" si="56"/>
        <v>2209.6509569999998</v>
      </c>
      <c r="R439" s="4">
        <f t="shared" si="57"/>
        <v>33.333333333333329</v>
      </c>
      <c r="S439" s="14">
        <f t="shared" si="58"/>
        <v>143.17702047560422</v>
      </c>
      <c r="T439" s="4">
        <f t="shared" si="59"/>
        <v>43.761615661008548</v>
      </c>
      <c r="U439" s="3">
        <f>LEN(A439) - LEN(SUBSTITUTE(A439,"&gt;","")) +1</f>
        <v>2</v>
      </c>
      <c r="V439" s="8">
        <f t="shared" si="60"/>
        <v>2.0650064015198446E-3</v>
      </c>
      <c r="W439" s="14">
        <f t="shared" si="61"/>
        <v>1104.8254784999999</v>
      </c>
      <c r="X439" s="4">
        <f t="shared" si="62"/>
        <v>2.8036189086489885E-4</v>
      </c>
    </row>
    <row r="440" spans="1:24" ht="14.25" customHeight="1" x14ac:dyDescent="0.2">
      <c r="A440" s="5" t="s">
        <v>1859</v>
      </c>
      <c r="B440" s="3" t="s">
        <v>24</v>
      </c>
      <c r="C440" s="3" t="s">
        <v>35</v>
      </c>
      <c r="D440" s="3" t="s">
        <v>2349</v>
      </c>
      <c r="E440" s="3" t="s">
        <v>2350</v>
      </c>
      <c r="F440" s="3" t="s">
        <v>431</v>
      </c>
      <c r="G440" s="3" t="s">
        <v>38</v>
      </c>
      <c r="H440" s="3" t="s">
        <v>19</v>
      </c>
      <c r="I440" s="3">
        <v>11343</v>
      </c>
      <c r="J440" s="3">
        <v>3</v>
      </c>
      <c r="K440" s="3">
        <v>5900</v>
      </c>
      <c r="L440" s="3">
        <v>10175</v>
      </c>
      <c r="M440" s="3">
        <v>1</v>
      </c>
      <c r="N440" s="14">
        <v>2178.1537750000002</v>
      </c>
      <c r="O440" s="7">
        <f t="shared" si="54"/>
        <v>2.6448029621793177E-2</v>
      </c>
      <c r="P440" s="14">
        <f t="shared" si="55"/>
        <v>726.05125833333341</v>
      </c>
      <c r="Q440" s="14">
        <f t="shared" si="56"/>
        <v>2178.1537750000002</v>
      </c>
      <c r="R440" s="4">
        <f t="shared" si="57"/>
        <v>33.333333333333329</v>
      </c>
      <c r="S440" s="14">
        <f t="shared" si="58"/>
        <v>214.0691670761671</v>
      </c>
      <c r="T440" s="4">
        <f t="shared" si="59"/>
        <v>52.014458256193251</v>
      </c>
      <c r="U440" s="3">
        <f>LEN(A440) - LEN(SUBSTITUTE(A440,"&gt;","")) +1</f>
        <v>2</v>
      </c>
      <c r="V440" s="8">
        <f t="shared" si="60"/>
        <v>2.938669957977019E-3</v>
      </c>
      <c r="W440" s="14">
        <f t="shared" si="61"/>
        <v>1089.0768875000001</v>
      </c>
      <c r="X440" s="4">
        <f t="shared" si="62"/>
        <v>4.0474689965041871E-4</v>
      </c>
    </row>
    <row r="441" spans="1:24" ht="14.25" customHeight="1" x14ac:dyDescent="0.2">
      <c r="A441" s="5" t="s">
        <v>1860</v>
      </c>
      <c r="B441" s="3" t="s">
        <v>14</v>
      </c>
      <c r="C441" s="3" t="s">
        <v>15</v>
      </c>
      <c r="D441" s="3" t="s">
        <v>2368</v>
      </c>
      <c r="E441" s="3" t="s">
        <v>2352</v>
      </c>
      <c r="F441" s="3" t="s">
        <v>659</v>
      </c>
      <c r="G441" s="3" t="s">
        <v>38</v>
      </c>
      <c r="H441" s="3" t="s">
        <v>19</v>
      </c>
      <c r="I441" s="3">
        <v>12451</v>
      </c>
      <c r="J441" s="3">
        <v>3</v>
      </c>
      <c r="K441" s="3">
        <v>2987</v>
      </c>
      <c r="L441" s="3">
        <v>11295</v>
      </c>
      <c r="M441" s="3">
        <v>1</v>
      </c>
      <c r="N441" s="14">
        <v>2127.323828</v>
      </c>
      <c r="O441" s="7">
        <f t="shared" si="54"/>
        <v>2.4094450244960246E-2</v>
      </c>
      <c r="P441" s="14">
        <f t="shared" si="55"/>
        <v>709.10794266666664</v>
      </c>
      <c r="Q441" s="14">
        <f t="shared" si="56"/>
        <v>2127.323828</v>
      </c>
      <c r="R441" s="4">
        <f t="shared" si="57"/>
        <v>33.333333333333329</v>
      </c>
      <c r="S441" s="14">
        <f t="shared" si="58"/>
        <v>188.34208304559542</v>
      </c>
      <c r="T441" s="4">
        <f t="shared" si="59"/>
        <v>23.990040960565416</v>
      </c>
      <c r="U441" s="3">
        <f>LEN(A441) - LEN(SUBSTITUTE(A441,"&gt;","")) +1</f>
        <v>4</v>
      </c>
      <c r="V441" s="8">
        <f t="shared" si="60"/>
        <v>2.6771611383289155E-3</v>
      </c>
      <c r="W441" s="14">
        <f t="shared" si="61"/>
        <v>531.83095700000001</v>
      </c>
      <c r="X441" s="4">
        <f t="shared" si="62"/>
        <v>3.7753929652250141E-4</v>
      </c>
    </row>
    <row r="442" spans="1:24" ht="14.25" customHeight="1" x14ac:dyDescent="0.2">
      <c r="A442" s="5" t="s">
        <v>1861</v>
      </c>
      <c r="B442" s="3" t="s">
        <v>24</v>
      </c>
      <c r="C442" s="3" t="s">
        <v>15</v>
      </c>
      <c r="D442" s="3" t="s">
        <v>2359</v>
      </c>
      <c r="E442" s="3" t="s">
        <v>2360</v>
      </c>
      <c r="F442" s="3" t="s">
        <v>119</v>
      </c>
      <c r="G442" s="3" t="s">
        <v>27</v>
      </c>
      <c r="H442" s="3" t="s">
        <v>114</v>
      </c>
      <c r="I442" s="3">
        <v>64892</v>
      </c>
      <c r="J442" s="3">
        <v>3</v>
      </c>
      <c r="K442" s="3">
        <v>34731</v>
      </c>
      <c r="L442" s="3">
        <v>59369</v>
      </c>
      <c r="M442" s="3">
        <v>24</v>
      </c>
      <c r="N442" s="14">
        <v>2096.2855490000002</v>
      </c>
      <c r="O442" s="7">
        <f t="shared" si="54"/>
        <v>4.6230660173827284E-3</v>
      </c>
      <c r="P442" s="14">
        <f t="shared" si="55"/>
        <v>698.76184966666676</v>
      </c>
      <c r="Q442" s="14">
        <f t="shared" si="56"/>
        <v>87.345231208333345</v>
      </c>
      <c r="R442" s="4">
        <f t="shared" si="57"/>
        <v>800</v>
      </c>
      <c r="S442" s="14">
        <f t="shared" si="58"/>
        <v>35.309429988714655</v>
      </c>
      <c r="T442" s="4">
        <f t="shared" si="59"/>
        <v>53.521235283239847</v>
      </c>
      <c r="U442" s="3">
        <f>LEN(A442) - LEN(SUBSTITUTE(A442,"&gt;","")) +1</f>
        <v>6</v>
      </c>
      <c r="V442" s="8">
        <f t="shared" si="60"/>
        <v>1.2328176046353941E-2</v>
      </c>
      <c r="W442" s="14">
        <f t="shared" si="61"/>
        <v>349.38092483333338</v>
      </c>
      <c r="X442" s="4">
        <f t="shared" si="62"/>
        <v>4.2342927744787102E-2</v>
      </c>
    </row>
    <row r="443" spans="1:24" ht="14.25" customHeight="1" x14ac:dyDescent="0.2">
      <c r="A443" s="5" t="s">
        <v>1862</v>
      </c>
      <c r="B443" s="3" t="s">
        <v>14</v>
      </c>
      <c r="C443" s="3" t="s">
        <v>35</v>
      </c>
      <c r="D443" s="3" t="s">
        <v>2353</v>
      </c>
      <c r="E443" s="3" t="s">
        <v>2354</v>
      </c>
      <c r="F443" s="3" t="s">
        <v>72</v>
      </c>
      <c r="G443" s="3" t="s">
        <v>27</v>
      </c>
      <c r="H443" s="3" t="s">
        <v>19</v>
      </c>
      <c r="I443" s="3">
        <v>102884</v>
      </c>
      <c r="J443" s="3">
        <v>3</v>
      </c>
      <c r="K443" s="3">
        <v>42841</v>
      </c>
      <c r="L443" s="3">
        <v>96539</v>
      </c>
      <c r="M443" s="3">
        <v>6</v>
      </c>
      <c r="N443" s="14">
        <v>2015.4483310000001</v>
      </c>
      <c r="O443" s="7">
        <f t="shared" si="54"/>
        <v>2.9159052913961354E-3</v>
      </c>
      <c r="P443" s="14">
        <f t="shared" si="55"/>
        <v>671.81611033333331</v>
      </c>
      <c r="Q443" s="14">
        <f t="shared" si="56"/>
        <v>335.90805516666666</v>
      </c>
      <c r="R443" s="4">
        <f t="shared" si="57"/>
        <v>200</v>
      </c>
      <c r="S443" s="14">
        <f t="shared" si="58"/>
        <v>20.87703758066688</v>
      </c>
      <c r="T443" s="4">
        <f t="shared" si="59"/>
        <v>41.64009952956728</v>
      </c>
      <c r="U443" s="3">
        <f>LEN(A443) - LEN(SUBSTITUTE(A443,"&gt;","")) +1</f>
        <v>4</v>
      </c>
      <c r="V443" s="8">
        <f t="shared" si="60"/>
        <v>1.9439368609307569E-3</v>
      </c>
      <c r="W443" s="14">
        <f t="shared" si="61"/>
        <v>503.86208275000001</v>
      </c>
      <c r="X443" s="4">
        <f t="shared" si="62"/>
        <v>1.7361329962446764E-3</v>
      </c>
    </row>
    <row r="444" spans="1:24" ht="14.25" customHeight="1" x14ac:dyDescent="0.2">
      <c r="A444" s="5" t="s">
        <v>1863</v>
      </c>
      <c r="B444" s="3" t="s">
        <v>14</v>
      </c>
      <c r="C444" s="3" t="s">
        <v>29</v>
      </c>
      <c r="D444" s="3" t="s">
        <v>2366</v>
      </c>
      <c r="E444" s="3" t="s">
        <v>2352</v>
      </c>
      <c r="F444" s="3" t="s">
        <v>250</v>
      </c>
      <c r="G444" s="3" t="s">
        <v>22</v>
      </c>
      <c r="H444" s="3" t="s">
        <v>19</v>
      </c>
      <c r="I444" s="3">
        <v>43666</v>
      </c>
      <c r="J444" s="3">
        <v>3</v>
      </c>
      <c r="K444" s="3">
        <v>18513</v>
      </c>
      <c r="L444" s="3">
        <v>40506</v>
      </c>
      <c r="M444" s="3">
        <v>18</v>
      </c>
      <c r="N444" s="14">
        <v>1980.393834</v>
      </c>
      <c r="O444" s="7">
        <f t="shared" si="54"/>
        <v>6.8703338982274535E-3</v>
      </c>
      <c r="P444" s="14">
        <f t="shared" si="55"/>
        <v>660.13127799999995</v>
      </c>
      <c r="Q444" s="14">
        <f t="shared" si="56"/>
        <v>110.02187966666666</v>
      </c>
      <c r="R444" s="4">
        <f t="shared" si="57"/>
        <v>600</v>
      </c>
      <c r="S444" s="14">
        <f t="shared" si="58"/>
        <v>48.891370019256406</v>
      </c>
      <c r="T444" s="4">
        <f t="shared" si="59"/>
        <v>42.396830485961615</v>
      </c>
      <c r="U444" s="3">
        <f>LEN(A444) - LEN(SUBSTITUTE(A444,"&gt;","")) +1</f>
        <v>4</v>
      </c>
      <c r="V444" s="8">
        <f t="shared" si="60"/>
        <v>1.3740667796454907E-2</v>
      </c>
      <c r="W444" s="14">
        <f t="shared" si="61"/>
        <v>495.09845849999999</v>
      </c>
      <c r="X444" s="4">
        <f t="shared" si="62"/>
        <v>3.7467096103297855E-2</v>
      </c>
    </row>
    <row r="445" spans="1:24" ht="14.25" customHeight="1" x14ac:dyDescent="0.2">
      <c r="A445" s="5" t="s">
        <v>1864</v>
      </c>
      <c r="B445" s="3" t="s">
        <v>14</v>
      </c>
      <c r="C445" s="3" t="s">
        <v>35</v>
      </c>
      <c r="D445" s="3" t="s">
        <v>2362</v>
      </c>
      <c r="E445" s="3" t="s">
        <v>2352</v>
      </c>
      <c r="F445" s="3" t="s">
        <v>670</v>
      </c>
      <c r="G445" s="3" t="s">
        <v>22</v>
      </c>
      <c r="H445" s="3" t="s">
        <v>19</v>
      </c>
      <c r="I445" s="3">
        <v>14379</v>
      </c>
      <c r="J445" s="3">
        <v>3</v>
      </c>
      <c r="K445" s="3">
        <v>6272</v>
      </c>
      <c r="L445" s="3">
        <v>11886</v>
      </c>
      <c r="M445" s="3">
        <v>18</v>
      </c>
      <c r="N445" s="14">
        <v>1973.5622330000001</v>
      </c>
      <c r="O445" s="7">
        <f t="shared" si="54"/>
        <v>2.0863759649488837E-2</v>
      </c>
      <c r="P445" s="14">
        <f t="shared" si="55"/>
        <v>657.85407766666674</v>
      </c>
      <c r="Q445" s="14">
        <f t="shared" si="56"/>
        <v>109.64234627777779</v>
      </c>
      <c r="R445" s="4">
        <f t="shared" si="57"/>
        <v>600</v>
      </c>
      <c r="S445" s="14">
        <f t="shared" si="58"/>
        <v>166.04090804307589</v>
      </c>
      <c r="T445" s="4">
        <f t="shared" si="59"/>
        <v>43.619166840531335</v>
      </c>
      <c r="U445" s="3">
        <f>LEN(A445) - LEN(SUBSTITUTE(A445,"&gt;","")) +1</f>
        <v>4</v>
      </c>
      <c r="V445" s="8">
        <f t="shared" si="60"/>
        <v>4.1727519298977674E-2</v>
      </c>
      <c r="W445" s="14">
        <f t="shared" si="61"/>
        <v>493.39055825000003</v>
      </c>
      <c r="X445" s="4">
        <f t="shared" si="62"/>
        <v>0.11417354894958584</v>
      </c>
    </row>
    <row r="446" spans="1:24" ht="14.25" customHeight="1" x14ac:dyDescent="0.2">
      <c r="A446" s="5" t="s">
        <v>1865</v>
      </c>
      <c r="B446" s="3" t="s">
        <v>14</v>
      </c>
      <c r="C446" s="3" t="s">
        <v>15</v>
      </c>
      <c r="D446" s="3" t="s">
        <v>2357</v>
      </c>
      <c r="E446" s="3" t="s">
        <v>2358</v>
      </c>
      <c r="F446" s="3" t="s">
        <v>672</v>
      </c>
      <c r="G446" s="3" t="s">
        <v>18</v>
      </c>
      <c r="H446" s="3" t="s">
        <v>19</v>
      </c>
      <c r="I446" s="3">
        <v>11561</v>
      </c>
      <c r="J446" s="3">
        <v>3</v>
      </c>
      <c r="K446" s="3">
        <v>4063</v>
      </c>
      <c r="L446" s="3">
        <v>9941</v>
      </c>
      <c r="M446" s="3">
        <v>2</v>
      </c>
      <c r="N446" s="14">
        <v>1911.931953</v>
      </c>
      <c r="O446" s="7">
        <f t="shared" si="54"/>
        <v>2.5949312343222904E-2</v>
      </c>
      <c r="P446" s="14">
        <f t="shared" si="55"/>
        <v>637.31065100000001</v>
      </c>
      <c r="Q446" s="14">
        <f t="shared" si="56"/>
        <v>955.96597650000001</v>
      </c>
      <c r="R446" s="4">
        <f t="shared" si="57"/>
        <v>66.666666666666657</v>
      </c>
      <c r="S446" s="14">
        <f t="shared" si="58"/>
        <v>192.32793008751634</v>
      </c>
      <c r="T446" s="4">
        <f t="shared" si="59"/>
        <v>35.144018683504882</v>
      </c>
      <c r="U446" s="3">
        <f>LEN(A446) - LEN(SUBSTITUTE(A446,"&gt;","")) +1</f>
        <v>4</v>
      </c>
      <c r="V446" s="8">
        <f t="shared" si="60"/>
        <v>5.7665138540495334E-3</v>
      </c>
      <c r="W446" s="14">
        <f t="shared" si="61"/>
        <v>477.98298825000001</v>
      </c>
      <c r="X446" s="4">
        <f t="shared" si="62"/>
        <v>1.8096398812733896E-3</v>
      </c>
    </row>
    <row r="447" spans="1:24" ht="14.25" customHeight="1" x14ac:dyDescent="0.2">
      <c r="A447" s="5" t="s">
        <v>1866</v>
      </c>
      <c r="B447" s="3" t="s">
        <v>14</v>
      </c>
      <c r="C447" s="3" t="s">
        <v>15</v>
      </c>
      <c r="D447" s="3" t="s">
        <v>2353</v>
      </c>
      <c r="E447" s="3" t="s">
        <v>2354</v>
      </c>
      <c r="F447" s="3" t="s">
        <v>57</v>
      </c>
      <c r="G447" s="3" t="s">
        <v>18</v>
      </c>
      <c r="H447" s="3" t="s">
        <v>19</v>
      </c>
      <c r="I447" s="3">
        <v>37227</v>
      </c>
      <c r="J447" s="3">
        <v>3</v>
      </c>
      <c r="K447" s="3">
        <v>13542</v>
      </c>
      <c r="L447" s="3">
        <v>32456</v>
      </c>
      <c r="M447" s="3">
        <v>1</v>
      </c>
      <c r="N447" s="14">
        <v>1901.094691</v>
      </c>
      <c r="O447" s="7">
        <f t="shared" si="54"/>
        <v>8.0586670964622447E-3</v>
      </c>
      <c r="P447" s="14">
        <f t="shared" si="55"/>
        <v>633.6982303333333</v>
      </c>
      <c r="Q447" s="14">
        <f t="shared" si="56"/>
        <v>1901.094691</v>
      </c>
      <c r="R447" s="4">
        <f t="shared" si="57"/>
        <v>33.333333333333329</v>
      </c>
      <c r="S447" s="14">
        <f t="shared" si="58"/>
        <v>58.57452215306877</v>
      </c>
      <c r="T447" s="4">
        <f t="shared" si="59"/>
        <v>36.376823273430574</v>
      </c>
      <c r="U447" s="3">
        <f>LEN(A447) - LEN(SUBSTITUTE(A447,"&gt;","")) +1</f>
        <v>4</v>
      </c>
      <c r="V447" s="8">
        <f t="shared" si="60"/>
        <v>8.954074551624716E-4</v>
      </c>
      <c r="W447" s="14">
        <f t="shared" si="61"/>
        <v>475.27367275</v>
      </c>
      <c r="X447" s="4">
        <f t="shared" si="62"/>
        <v>1.4129871479859994E-4</v>
      </c>
    </row>
    <row r="448" spans="1:24" ht="14.25" customHeight="1" x14ac:dyDescent="0.2">
      <c r="A448" s="5" t="s">
        <v>1867</v>
      </c>
      <c r="B448" s="3" t="s">
        <v>14</v>
      </c>
      <c r="C448" s="3" t="s">
        <v>32</v>
      </c>
      <c r="D448" s="3" t="s">
        <v>2359</v>
      </c>
      <c r="E448" s="3" t="s">
        <v>2360</v>
      </c>
      <c r="F448" s="3" t="s">
        <v>396</v>
      </c>
      <c r="G448" s="3" t="s">
        <v>287</v>
      </c>
      <c r="H448" s="3" t="s">
        <v>19</v>
      </c>
      <c r="I448" s="3">
        <v>66554</v>
      </c>
      <c r="J448" s="3">
        <v>3</v>
      </c>
      <c r="K448" s="3">
        <v>39206</v>
      </c>
      <c r="L448" s="3">
        <v>62109</v>
      </c>
      <c r="M448" s="3">
        <v>6</v>
      </c>
      <c r="N448" s="14">
        <v>1890.885935</v>
      </c>
      <c r="O448" s="7">
        <f t="shared" si="54"/>
        <v>4.5076178742074107E-3</v>
      </c>
      <c r="P448" s="14">
        <f t="shared" si="55"/>
        <v>630.29531166666663</v>
      </c>
      <c r="Q448" s="14">
        <f t="shared" si="56"/>
        <v>315.14765583333332</v>
      </c>
      <c r="R448" s="4">
        <f t="shared" si="57"/>
        <v>200</v>
      </c>
      <c r="S448" s="14">
        <f t="shared" si="58"/>
        <v>30.44463660661096</v>
      </c>
      <c r="T448" s="4">
        <f t="shared" si="59"/>
        <v>58.908555458725246</v>
      </c>
      <c r="U448" s="3">
        <f>LEN(A448) - LEN(SUBSTITUTE(A448,"&gt;","")) +1</f>
        <v>2</v>
      </c>
      <c r="V448" s="8">
        <f t="shared" si="60"/>
        <v>3.0050785828049402E-3</v>
      </c>
      <c r="W448" s="14">
        <f t="shared" si="61"/>
        <v>945.44296750000001</v>
      </c>
      <c r="X448" s="4">
        <f t="shared" si="62"/>
        <v>2.8606386820730638E-3</v>
      </c>
    </row>
    <row r="449" spans="1:24" ht="14.25" customHeight="1" x14ac:dyDescent="0.2">
      <c r="A449" s="5" t="s">
        <v>1868</v>
      </c>
      <c r="B449" s="3" t="s">
        <v>24</v>
      </c>
      <c r="C449" s="3" t="s">
        <v>32</v>
      </c>
      <c r="D449" s="3" t="s">
        <v>2349</v>
      </c>
      <c r="E449" s="3" t="s">
        <v>2350</v>
      </c>
      <c r="F449" s="3" t="s">
        <v>676</v>
      </c>
      <c r="G449" s="3" t="s">
        <v>27</v>
      </c>
      <c r="H449" s="3" t="s">
        <v>19</v>
      </c>
      <c r="I449" s="3">
        <v>10942</v>
      </c>
      <c r="J449" s="3">
        <v>3</v>
      </c>
      <c r="K449" s="3">
        <v>4578</v>
      </c>
      <c r="L449" s="3">
        <v>9155</v>
      </c>
      <c r="M449" s="3">
        <v>1</v>
      </c>
      <c r="N449" s="14">
        <v>1595.752624</v>
      </c>
      <c r="O449" s="7">
        <f t="shared" si="54"/>
        <v>2.7417291171632243E-2</v>
      </c>
      <c r="P449" s="14">
        <f t="shared" si="55"/>
        <v>531.91754133333336</v>
      </c>
      <c r="Q449" s="14">
        <f t="shared" si="56"/>
        <v>1595.752624</v>
      </c>
      <c r="R449" s="4">
        <f t="shared" si="57"/>
        <v>33.333333333333329</v>
      </c>
      <c r="S449" s="14">
        <f t="shared" si="58"/>
        <v>174.30394582195521</v>
      </c>
      <c r="T449" s="4">
        <f t="shared" si="59"/>
        <v>41.838786327910803</v>
      </c>
      <c r="U449" s="3">
        <f>LEN(A449) - LEN(SUBSTITUTE(A449,"&gt;","")) +1</f>
        <v>2</v>
      </c>
      <c r="V449" s="8">
        <f t="shared" si="60"/>
        <v>3.0463656857369153E-3</v>
      </c>
      <c r="W449" s="14">
        <f t="shared" si="61"/>
        <v>797.87631199999998</v>
      </c>
      <c r="X449" s="4">
        <f t="shared" si="62"/>
        <v>5.7271389811675141E-4</v>
      </c>
    </row>
    <row r="450" spans="1:24" ht="14.25" customHeight="1" x14ac:dyDescent="0.2">
      <c r="A450" s="5" t="s">
        <v>1869</v>
      </c>
      <c r="B450" s="3" t="s">
        <v>14</v>
      </c>
      <c r="C450" s="3" t="s">
        <v>15</v>
      </c>
      <c r="D450" s="3" t="s">
        <v>2349</v>
      </c>
      <c r="E450" s="3" t="s">
        <v>2350</v>
      </c>
      <c r="F450" s="3" t="s">
        <v>250</v>
      </c>
      <c r="G450" s="3" t="s">
        <v>22</v>
      </c>
      <c r="H450" s="3" t="s">
        <v>19</v>
      </c>
      <c r="I450" s="3">
        <v>15318</v>
      </c>
      <c r="J450" s="3">
        <v>3</v>
      </c>
      <c r="K450" s="3">
        <v>5928</v>
      </c>
      <c r="L450" s="3">
        <v>13298</v>
      </c>
      <c r="M450" s="3">
        <v>19</v>
      </c>
      <c r="N450" s="14">
        <v>1570.29739</v>
      </c>
      <c r="O450" s="7">
        <f t="shared" si="54"/>
        <v>1.9584802193497845E-2</v>
      </c>
      <c r="P450" s="14">
        <f t="shared" si="55"/>
        <v>523.43246333333332</v>
      </c>
      <c r="Q450" s="14">
        <f t="shared" si="56"/>
        <v>82.647231052631582</v>
      </c>
      <c r="R450" s="4">
        <f t="shared" si="57"/>
        <v>633.33333333333326</v>
      </c>
      <c r="S450" s="14">
        <f t="shared" si="58"/>
        <v>118.08523010979094</v>
      </c>
      <c r="T450" s="4">
        <f t="shared" si="59"/>
        <v>38.699569134351741</v>
      </c>
      <c r="U450" s="3">
        <f>LEN(A450) - LEN(SUBSTITUTE(A450,"&gt;","")) +1</f>
        <v>3</v>
      </c>
      <c r="V450" s="8">
        <f t="shared" si="60"/>
        <v>4.1345693519606555E-2</v>
      </c>
      <c r="W450" s="14">
        <f t="shared" si="61"/>
        <v>523.43246333333332</v>
      </c>
      <c r="X450" s="4">
        <f t="shared" si="62"/>
        <v>0.1500801405915585</v>
      </c>
    </row>
    <row r="451" spans="1:24" ht="14.25" customHeight="1" x14ac:dyDescent="0.2">
      <c r="A451" s="5" t="s">
        <v>1870</v>
      </c>
      <c r="B451" s="3" t="s">
        <v>24</v>
      </c>
      <c r="C451" s="3" t="s">
        <v>32</v>
      </c>
      <c r="D451" s="3" t="s">
        <v>2367</v>
      </c>
      <c r="E451" s="3" t="s">
        <v>2352</v>
      </c>
      <c r="F451" s="3" t="s">
        <v>57</v>
      </c>
      <c r="G451" s="3" t="s">
        <v>22</v>
      </c>
      <c r="H451" s="3" t="s">
        <v>114</v>
      </c>
      <c r="I451" s="3">
        <v>59296</v>
      </c>
      <c r="J451" s="3">
        <v>3</v>
      </c>
      <c r="K451" s="3">
        <v>25482</v>
      </c>
      <c r="L451" s="3">
        <v>54149</v>
      </c>
      <c r="M451" s="3">
        <v>2</v>
      </c>
      <c r="N451" s="14">
        <v>1568.7152590000001</v>
      </c>
      <c r="O451" s="7">
        <f t="shared" ref="O451:O514" si="63">IFERROR((J451/I451)*100, 0)</f>
        <v>5.0593631948192119E-3</v>
      </c>
      <c r="P451" s="14">
        <f t="shared" ref="P451:P514" si="64">IFERROR(N451/J451, 0)</f>
        <v>522.90508633333332</v>
      </c>
      <c r="Q451" s="14">
        <f t="shared" ref="Q451:Q514" si="65">IFERROR(N451/M451, 0)</f>
        <v>784.35762950000003</v>
      </c>
      <c r="R451" s="4">
        <f t="shared" ref="R451:R514" si="66">IFERROR((M451/J451)*100, 0)</f>
        <v>66.666666666666657</v>
      </c>
      <c r="S451" s="14">
        <f t="shared" ref="S451:S514" si="67">IFERROR((N451/L451)*1000, 0)</f>
        <v>28.970345878963602</v>
      </c>
      <c r="T451" s="4">
        <f t="shared" ref="T451:T514" si="68">(K451/I451)*100</f>
        <v>42.974230976794388</v>
      </c>
      <c r="U451" s="3">
        <f>LEN(A451) - LEN(SUBSTITUTE(A451,"&gt;","")) +1</f>
        <v>4</v>
      </c>
      <c r="V451" s="8">
        <f t="shared" ref="V451:V514" si="69">R451/I451</f>
        <v>1.124302932182047E-3</v>
      </c>
      <c r="W451" s="14">
        <f t="shared" ref="W451:W514" si="70">N451/U451</f>
        <v>392.17881475000002</v>
      </c>
      <c r="X451" s="4">
        <f t="shared" ref="X451:X514" si="71">(O451*R451/Q451)</f>
        <v>4.3002179996594786E-4</v>
      </c>
    </row>
    <row r="452" spans="1:24" ht="14.25" customHeight="1" x14ac:dyDescent="0.2">
      <c r="A452" s="5" t="s">
        <v>1871</v>
      </c>
      <c r="B452" s="3" t="s">
        <v>24</v>
      </c>
      <c r="C452" s="3" t="s">
        <v>35</v>
      </c>
      <c r="D452" s="3" t="s">
        <v>2378</v>
      </c>
      <c r="E452" s="3" t="s">
        <v>2352</v>
      </c>
      <c r="F452" s="3" t="s">
        <v>57</v>
      </c>
      <c r="G452" s="3" t="s">
        <v>22</v>
      </c>
      <c r="H452" s="3" t="s">
        <v>19</v>
      </c>
      <c r="I452" s="3">
        <v>85965</v>
      </c>
      <c r="J452" s="3">
        <v>3</v>
      </c>
      <c r="K452" s="3">
        <v>33865</v>
      </c>
      <c r="L452" s="3">
        <v>78662</v>
      </c>
      <c r="M452" s="3">
        <v>3</v>
      </c>
      <c r="N452" s="14">
        <v>1555.5348120000001</v>
      </c>
      <c r="O452" s="7">
        <f t="shared" si="63"/>
        <v>3.4897923573547372E-3</v>
      </c>
      <c r="P452" s="14">
        <f t="shared" si="64"/>
        <v>518.51160400000003</v>
      </c>
      <c r="Q452" s="14">
        <f t="shared" si="65"/>
        <v>518.51160400000003</v>
      </c>
      <c r="R452" s="4">
        <f t="shared" si="66"/>
        <v>100</v>
      </c>
      <c r="S452" s="14">
        <f t="shared" si="67"/>
        <v>19.774920698685516</v>
      </c>
      <c r="T452" s="4">
        <f t="shared" si="68"/>
        <v>39.393939393939391</v>
      </c>
      <c r="U452" s="3">
        <f>LEN(A452) - LEN(SUBSTITUTE(A452,"&gt;","")) +1</f>
        <v>4</v>
      </c>
      <c r="V452" s="8">
        <f t="shared" si="69"/>
        <v>1.1632641191182459E-3</v>
      </c>
      <c r="W452" s="14">
        <f t="shared" si="70"/>
        <v>388.88370300000003</v>
      </c>
      <c r="X452" s="4">
        <f t="shared" si="71"/>
        <v>6.7304035829345433E-4</v>
      </c>
    </row>
    <row r="453" spans="1:24" ht="14.25" customHeight="1" x14ac:dyDescent="0.2">
      <c r="A453" s="5" t="s">
        <v>1872</v>
      </c>
      <c r="B453" s="3" t="s">
        <v>24</v>
      </c>
      <c r="C453" s="3" t="s">
        <v>32</v>
      </c>
      <c r="D453" s="3" t="s">
        <v>2378</v>
      </c>
      <c r="E453" s="3" t="s">
        <v>2352</v>
      </c>
      <c r="F453" s="3" t="s">
        <v>681</v>
      </c>
      <c r="G453" s="3" t="s">
        <v>22</v>
      </c>
      <c r="H453" s="3" t="s">
        <v>163</v>
      </c>
      <c r="I453" s="3">
        <v>17228</v>
      </c>
      <c r="J453" s="3">
        <v>3</v>
      </c>
      <c r="K453" s="3">
        <v>11116</v>
      </c>
      <c r="L453" s="3">
        <v>16044</v>
      </c>
      <c r="M453" s="3">
        <v>1</v>
      </c>
      <c r="N453" s="14">
        <v>1547.513459</v>
      </c>
      <c r="O453" s="7">
        <f t="shared" si="63"/>
        <v>1.7413512885999537E-2</v>
      </c>
      <c r="P453" s="14">
        <f t="shared" si="64"/>
        <v>515.83781966666663</v>
      </c>
      <c r="Q453" s="14">
        <f t="shared" si="65"/>
        <v>1547.513459</v>
      </c>
      <c r="R453" s="4">
        <f t="shared" si="66"/>
        <v>33.333333333333329</v>
      </c>
      <c r="S453" s="14">
        <f t="shared" si="67"/>
        <v>96.454341747693832</v>
      </c>
      <c r="T453" s="4">
        <f t="shared" si="68"/>
        <v>64.522869746923618</v>
      </c>
      <c r="U453" s="3">
        <f>LEN(A453) - LEN(SUBSTITUTE(A453,"&gt;","")) +1</f>
        <v>5</v>
      </c>
      <c r="V453" s="8">
        <f t="shared" si="69"/>
        <v>1.9348347651110592E-3</v>
      </c>
      <c r="W453" s="14">
        <f t="shared" si="70"/>
        <v>309.50269179999998</v>
      </c>
      <c r="X453" s="4">
        <f t="shared" si="71"/>
        <v>3.7508586833771623E-4</v>
      </c>
    </row>
    <row r="454" spans="1:24" ht="14.25" customHeight="1" x14ac:dyDescent="0.2">
      <c r="A454" s="5" t="s">
        <v>1873</v>
      </c>
      <c r="B454" s="3" t="s">
        <v>24</v>
      </c>
      <c r="C454" s="3" t="s">
        <v>15</v>
      </c>
      <c r="D454" s="3" t="s">
        <v>2359</v>
      </c>
      <c r="E454" s="3" t="s">
        <v>2360</v>
      </c>
      <c r="F454" s="3" t="s">
        <v>48</v>
      </c>
      <c r="G454" s="3" t="s">
        <v>64</v>
      </c>
      <c r="H454" s="3" t="s">
        <v>19</v>
      </c>
      <c r="I454" s="3">
        <v>19464</v>
      </c>
      <c r="J454" s="3">
        <v>3</v>
      </c>
      <c r="K454" s="3">
        <v>11814</v>
      </c>
      <c r="L454" s="3">
        <v>17040</v>
      </c>
      <c r="M454" s="3">
        <v>9</v>
      </c>
      <c r="N454" s="14">
        <v>1540.4693500000001</v>
      </c>
      <c r="O454" s="7">
        <f t="shared" si="63"/>
        <v>1.5413070283600493E-2</v>
      </c>
      <c r="P454" s="14">
        <f t="shared" si="64"/>
        <v>513.48978333333332</v>
      </c>
      <c r="Q454" s="14">
        <f t="shared" si="65"/>
        <v>171.16326111111113</v>
      </c>
      <c r="R454" s="4">
        <f t="shared" si="66"/>
        <v>300</v>
      </c>
      <c r="S454" s="14">
        <f t="shared" si="67"/>
        <v>90.403130868544608</v>
      </c>
      <c r="T454" s="4">
        <f t="shared" si="68"/>
        <v>60.696670776818742</v>
      </c>
      <c r="U454" s="3">
        <f>LEN(A454) - LEN(SUBSTITUTE(A454,"&gt;","")) +1</f>
        <v>3</v>
      </c>
      <c r="V454" s="8">
        <f t="shared" si="69"/>
        <v>1.5413070283600493E-2</v>
      </c>
      <c r="W454" s="14">
        <f t="shared" si="70"/>
        <v>513.48978333333332</v>
      </c>
      <c r="X454" s="4">
        <f t="shared" si="71"/>
        <v>2.7014682093948396E-2</v>
      </c>
    </row>
    <row r="455" spans="1:24" ht="14.25" customHeight="1" x14ac:dyDescent="0.2">
      <c r="A455" s="5" t="s">
        <v>1874</v>
      </c>
      <c r="B455" s="3" t="s">
        <v>14</v>
      </c>
      <c r="C455" s="3" t="s">
        <v>32</v>
      </c>
      <c r="D455" s="3" t="s">
        <v>2349</v>
      </c>
      <c r="E455" s="3" t="s">
        <v>2350</v>
      </c>
      <c r="F455" s="3" t="s">
        <v>684</v>
      </c>
      <c r="G455" s="3" t="s">
        <v>76</v>
      </c>
      <c r="H455" s="3" t="s">
        <v>19</v>
      </c>
      <c r="I455" s="3">
        <v>6755</v>
      </c>
      <c r="J455" s="3">
        <v>3</v>
      </c>
      <c r="K455" s="3">
        <v>4653</v>
      </c>
      <c r="L455" s="3">
        <v>6354</v>
      </c>
      <c r="M455" s="3">
        <v>2</v>
      </c>
      <c r="N455" s="14">
        <v>1527.802445</v>
      </c>
      <c r="O455" s="7">
        <f t="shared" si="63"/>
        <v>4.4411547002220574E-2</v>
      </c>
      <c r="P455" s="14">
        <f t="shared" si="64"/>
        <v>509.2674816666667</v>
      </c>
      <c r="Q455" s="14">
        <f t="shared" si="65"/>
        <v>763.90122250000002</v>
      </c>
      <c r="R455" s="4">
        <f t="shared" si="66"/>
        <v>66.666666666666657</v>
      </c>
      <c r="S455" s="14">
        <f t="shared" si="67"/>
        <v>240.44734734025812</v>
      </c>
      <c r="T455" s="4">
        <f t="shared" si="68"/>
        <v>68.882309400444115</v>
      </c>
      <c r="U455" s="3">
        <f>LEN(A455) - LEN(SUBSTITUTE(A455,"&gt;","")) +1</f>
        <v>4</v>
      </c>
      <c r="V455" s="8">
        <f t="shared" si="69"/>
        <v>9.8692326671601261E-3</v>
      </c>
      <c r="W455" s="14">
        <f t="shared" si="70"/>
        <v>381.95061125000001</v>
      </c>
      <c r="X455" s="4">
        <f t="shared" si="71"/>
        <v>3.8758542504466775E-3</v>
      </c>
    </row>
    <row r="456" spans="1:24" ht="14.25" customHeight="1" x14ac:dyDescent="0.2">
      <c r="A456" s="5" t="s">
        <v>1875</v>
      </c>
      <c r="B456" s="3" t="s">
        <v>14</v>
      </c>
      <c r="C456" s="3" t="s">
        <v>15</v>
      </c>
      <c r="D456" s="3" t="s">
        <v>2357</v>
      </c>
      <c r="E456" s="3" t="s">
        <v>2358</v>
      </c>
      <c r="F456" s="3" t="s">
        <v>48</v>
      </c>
      <c r="G456" s="3" t="s">
        <v>41</v>
      </c>
      <c r="H456" s="3" t="s">
        <v>19</v>
      </c>
      <c r="I456" s="3">
        <v>50838</v>
      </c>
      <c r="J456" s="3">
        <v>3</v>
      </c>
      <c r="K456" s="3">
        <v>23274</v>
      </c>
      <c r="L456" s="3">
        <v>35934</v>
      </c>
      <c r="M456" s="3">
        <v>11</v>
      </c>
      <c r="N456" s="14">
        <v>1521.372273</v>
      </c>
      <c r="O456" s="7">
        <f t="shared" si="63"/>
        <v>5.9010976041543733E-3</v>
      </c>
      <c r="P456" s="14">
        <f t="shared" si="64"/>
        <v>507.12409099999996</v>
      </c>
      <c r="Q456" s="14">
        <f t="shared" si="65"/>
        <v>138.30657027272727</v>
      </c>
      <c r="R456" s="4">
        <f t="shared" si="66"/>
        <v>366.66666666666663</v>
      </c>
      <c r="S456" s="14">
        <f t="shared" si="67"/>
        <v>42.337960510936718</v>
      </c>
      <c r="T456" s="4">
        <f t="shared" si="68"/>
        <v>45.780715213029623</v>
      </c>
      <c r="U456" s="3">
        <f>LEN(A456) - LEN(SUBSTITUTE(A456,"&gt;","")) +1</f>
        <v>2</v>
      </c>
      <c r="V456" s="8">
        <f t="shared" si="69"/>
        <v>7.2124526272997879E-3</v>
      </c>
      <c r="W456" s="14">
        <f t="shared" si="70"/>
        <v>760.68613649999998</v>
      </c>
      <c r="X456" s="4">
        <f t="shared" si="71"/>
        <v>1.5644490235881475E-2</v>
      </c>
    </row>
    <row r="457" spans="1:24" ht="14.25" customHeight="1" x14ac:dyDescent="0.2">
      <c r="A457" s="5" t="s">
        <v>1876</v>
      </c>
      <c r="B457" s="3" t="s">
        <v>24</v>
      </c>
      <c r="C457" s="3" t="s">
        <v>35</v>
      </c>
      <c r="D457" s="3" t="s">
        <v>2363</v>
      </c>
      <c r="E457" s="3" t="s">
        <v>2358</v>
      </c>
      <c r="F457" s="3" t="s">
        <v>687</v>
      </c>
      <c r="G457" s="3" t="s">
        <v>58</v>
      </c>
      <c r="H457" s="3" t="s">
        <v>114</v>
      </c>
      <c r="I457" s="3">
        <v>37076</v>
      </c>
      <c r="J457" s="3">
        <v>3</v>
      </c>
      <c r="K457" s="3">
        <v>9246</v>
      </c>
      <c r="L457" s="3">
        <v>22565</v>
      </c>
      <c r="M457" s="3">
        <v>1</v>
      </c>
      <c r="N457" s="14">
        <v>1487.9960779999999</v>
      </c>
      <c r="O457" s="7">
        <f t="shared" si="63"/>
        <v>8.0914877548818633E-3</v>
      </c>
      <c r="P457" s="14">
        <f t="shared" si="64"/>
        <v>495.99869266666661</v>
      </c>
      <c r="Q457" s="14">
        <f t="shared" si="65"/>
        <v>1487.9960779999999</v>
      </c>
      <c r="R457" s="4">
        <f t="shared" si="66"/>
        <v>33.333333333333329</v>
      </c>
      <c r="S457" s="14">
        <f t="shared" si="67"/>
        <v>65.942658010192773</v>
      </c>
      <c r="T457" s="4">
        <f t="shared" si="68"/>
        <v>24.937965260545905</v>
      </c>
      <c r="U457" s="3">
        <f>LEN(A457) - LEN(SUBSTITUTE(A457,"&gt;","")) +1</f>
        <v>3</v>
      </c>
      <c r="V457" s="8">
        <f t="shared" si="69"/>
        <v>8.9905419498687369E-4</v>
      </c>
      <c r="W457" s="14">
        <f t="shared" si="70"/>
        <v>495.99869266666661</v>
      </c>
      <c r="X457" s="4">
        <f t="shared" si="71"/>
        <v>1.8126140416887718E-4</v>
      </c>
    </row>
    <row r="458" spans="1:24" ht="14.25" customHeight="1" x14ac:dyDescent="0.2">
      <c r="A458" s="5" t="s">
        <v>1877</v>
      </c>
      <c r="B458" s="3" t="s">
        <v>68</v>
      </c>
      <c r="C458" s="3" t="s">
        <v>35</v>
      </c>
      <c r="D458" s="3" t="s">
        <v>2378</v>
      </c>
      <c r="E458" s="3" t="s">
        <v>2352</v>
      </c>
      <c r="F458" s="3" t="s">
        <v>689</v>
      </c>
      <c r="G458" s="3" t="s">
        <v>41</v>
      </c>
      <c r="H458" s="3" t="s">
        <v>19</v>
      </c>
      <c r="I458" s="3">
        <v>8862</v>
      </c>
      <c r="J458" s="3">
        <v>3</v>
      </c>
      <c r="K458" s="3">
        <v>1359</v>
      </c>
      <c r="L458" s="3">
        <v>7114</v>
      </c>
      <c r="M458" s="3">
        <v>1</v>
      </c>
      <c r="N458" s="14">
        <v>1481.9451570000001</v>
      </c>
      <c r="O458" s="7">
        <f t="shared" si="63"/>
        <v>3.3852403520649964E-2</v>
      </c>
      <c r="P458" s="14">
        <f t="shared" si="64"/>
        <v>493.98171900000006</v>
      </c>
      <c r="Q458" s="14">
        <f t="shared" si="65"/>
        <v>1481.9451570000001</v>
      </c>
      <c r="R458" s="4">
        <f t="shared" si="66"/>
        <v>33.333333333333329</v>
      </c>
      <c r="S458" s="14">
        <f t="shared" si="67"/>
        <v>208.31391017711556</v>
      </c>
      <c r="T458" s="4">
        <f t="shared" si="68"/>
        <v>15.335138794854435</v>
      </c>
      <c r="U458" s="3">
        <f>LEN(A458) - LEN(SUBSTITUTE(A458,"&gt;","")) +1</f>
        <v>4</v>
      </c>
      <c r="V458" s="8">
        <f t="shared" si="69"/>
        <v>3.7613781689611069E-3</v>
      </c>
      <c r="W458" s="14">
        <f t="shared" si="70"/>
        <v>370.48628925000003</v>
      </c>
      <c r="X458" s="4">
        <f t="shared" si="71"/>
        <v>7.6144076274229614E-4</v>
      </c>
    </row>
    <row r="459" spans="1:24" ht="14.25" customHeight="1" x14ac:dyDescent="0.2">
      <c r="A459" s="5" t="s">
        <v>1878</v>
      </c>
      <c r="B459" s="3" t="s">
        <v>24</v>
      </c>
      <c r="C459" s="3" t="s">
        <v>29</v>
      </c>
      <c r="D459" s="3" t="s">
        <v>2353</v>
      </c>
      <c r="E459" s="3" t="s">
        <v>2354</v>
      </c>
      <c r="F459" s="3" t="s">
        <v>691</v>
      </c>
      <c r="G459" s="3" t="s">
        <v>64</v>
      </c>
      <c r="H459" s="3" t="s">
        <v>114</v>
      </c>
      <c r="I459" s="3">
        <v>3610</v>
      </c>
      <c r="J459" s="3">
        <v>3</v>
      </c>
      <c r="K459" s="3">
        <v>1551</v>
      </c>
      <c r="L459" s="3">
        <v>3517</v>
      </c>
      <c r="M459" s="3">
        <v>6</v>
      </c>
      <c r="N459" s="14">
        <v>1473.7549429999999</v>
      </c>
      <c r="O459" s="7">
        <f t="shared" si="63"/>
        <v>8.3102493074792241E-2</v>
      </c>
      <c r="P459" s="14">
        <f t="shared" si="64"/>
        <v>491.25164766666666</v>
      </c>
      <c r="Q459" s="14">
        <f t="shared" si="65"/>
        <v>245.62582383333333</v>
      </c>
      <c r="R459" s="4">
        <f t="shared" si="66"/>
        <v>200</v>
      </c>
      <c r="S459" s="14">
        <f t="shared" si="67"/>
        <v>419.03751578049469</v>
      </c>
      <c r="T459" s="4">
        <f t="shared" si="68"/>
        <v>42.963988919667592</v>
      </c>
      <c r="U459" s="3">
        <f>LEN(A459) - LEN(SUBSTITUTE(A459,"&gt;","")) +1</f>
        <v>4</v>
      </c>
      <c r="V459" s="8">
        <f t="shared" si="69"/>
        <v>5.5401662049861494E-2</v>
      </c>
      <c r="W459" s="14">
        <f t="shared" si="70"/>
        <v>368.43873574999998</v>
      </c>
      <c r="X459" s="4">
        <f t="shared" si="71"/>
        <v>6.7665925168503879E-2</v>
      </c>
    </row>
    <row r="460" spans="1:24" ht="14.25" customHeight="1" x14ac:dyDescent="0.2">
      <c r="A460" s="5" t="s">
        <v>1879</v>
      </c>
      <c r="B460" s="3" t="s">
        <v>24</v>
      </c>
      <c r="C460" s="3" t="s">
        <v>29</v>
      </c>
      <c r="D460" s="3" t="s">
        <v>2363</v>
      </c>
      <c r="E460" s="3" t="s">
        <v>2358</v>
      </c>
      <c r="F460" s="3" t="s">
        <v>48</v>
      </c>
      <c r="G460" s="3" t="s">
        <v>27</v>
      </c>
      <c r="H460" s="3" t="s">
        <v>114</v>
      </c>
      <c r="I460" s="3">
        <v>32436</v>
      </c>
      <c r="J460" s="3">
        <v>3</v>
      </c>
      <c r="K460" s="3">
        <v>17531</v>
      </c>
      <c r="L460" s="3">
        <v>28429</v>
      </c>
      <c r="M460" s="3">
        <v>6</v>
      </c>
      <c r="N460" s="14">
        <v>1470.670167</v>
      </c>
      <c r="O460" s="7">
        <f t="shared" si="63"/>
        <v>9.24898261191269E-3</v>
      </c>
      <c r="P460" s="14">
        <f t="shared" si="64"/>
        <v>490.223389</v>
      </c>
      <c r="Q460" s="14">
        <f t="shared" si="65"/>
        <v>245.1116945</v>
      </c>
      <c r="R460" s="4">
        <f t="shared" si="66"/>
        <v>200</v>
      </c>
      <c r="S460" s="14">
        <f t="shared" si="67"/>
        <v>51.731336557740335</v>
      </c>
      <c r="T460" s="4">
        <f t="shared" si="68"/>
        <v>54.047971389813789</v>
      </c>
      <c r="U460" s="3">
        <f>LEN(A460) - LEN(SUBSTITUTE(A460,"&gt;","")) +1</f>
        <v>4</v>
      </c>
      <c r="V460" s="8">
        <f t="shared" si="69"/>
        <v>6.165988407941793E-3</v>
      </c>
      <c r="W460" s="14">
        <f t="shared" si="70"/>
        <v>367.66754175</v>
      </c>
      <c r="X460" s="4">
        <f t="shared" si="71"/>
        <v>7.5467493550477579E-3</v>
      </c>
    </row>
    <row r="461" spans="1:24" ht="14.25" customHeight="1" x14ac:dyDescent="0.2">
      <c r="A461" s="5" t="s">
        <v>1880</v>
      </c>
      <c r="B461" s="3" t="s">
        <v>24</v>
      </c>
      <c r="C461" s="3" t="s">
        <v>29</v>
      </c>
      <c r="D461" s="3" t="s">
        <v>2363</v>
      </c>
      <c r="E461" s="3" t="s">
        <v>2358</v>
      </c>
      <c r="F461" s="3" t="s">
        <v>694</v>
      </c>
      <c r="G461" s="3" t="s">
        <v>27</v>
      </c>
      <c r="H461" s="3" t="s">
        <v>19</v>
      </c>
      <c r="I461" s="3">
        <v>13464</v>
      </c>
      <c r="J461" s="3">
        <v>3</v>
      </c>
      <c r="K461" s="3">
        <v>1698</v>
      </c>
      <c r="L461" s="3">
        <v>11234</v>
      </c>
      <c r="M461" s="3">
        <v>1</v>
      </c>
      <c r="N461" s="14">
        <v>1466.285104</v>
      </c>
      <c r="O461" s="7">
        <f t="shared" si="63"/>
        <v>2.2281639928698752E-2</v>
      </c>
      <c r="P461" s="14">
        <f t="shared" si="64"/>
        <v>488.76170133333335</v>
      </c>
      <c r="Q461" s="14">
        <f t="shared" si="65"/>
        <v>1466.285104</v>
      </c>
      <c r="R461" s="4">
        <f t="shared" si="66"/>
        <v>33.333333333333329</v>
      </c>
      <c r="S461" s="14">
        <f t="shared" si="67"/>
        <v>130.5220850988072</v>
      </c>
      <c r="T461" s="4">
        <f t="shared" si="68"/>
        <v>12.611408199643495</v>
      </c>
      <c r="U461" s="3">
        <f>LEN(A461) - LEN(SUBSTITUTE(A461,"&gt;","")) +1</f>
        <v>3</v>
      </c>
      <c r="V461" s="8">
        <f t="shared" si="69"/>
        <v>2.4757377698554164E-3</v>
      </c>
      <c r="W461" s="14">
        <f t="shared" si="70"/>
        <v>488.76170133333335</v>
      </c>
      <c r="X461" s="4">
        <f t="shared" si="71"/>
        <v>5.0653268517186333E-4</v>
      </c>
    </row>
    <row r="462" spans="1:24" ht="14.25" customHeight="1" x14ac:dyDescent="0.2">
      <c r="A462" s="5" t="s">
        <v>695</v>
      </c>
      <c r="B462" s="3" t="s">
        <v>14</v>
      </c>
      <c r="C462" s="3" t="s">
        <v>35</v>
      </c>
      <c r="D462" s="3" t="s">
        <v>2369</v>
      </c>
      <c r="E462" s="3" t="s">
        <v>2365</v>
      </c>
      <c r="F462" s="3" t="s">
        <v>696</v>
      </c>
      <c r="G462" s="3" t="s">
        <v>27</v>
      </c>
      <c r="H462" s="3" t="s">
        <v>19</v>
      </c>
      <c r="I462" s="3">
        <v>12161</v>
      </c>
      <c r="J462" s="3">
        <v>2</v>
      </c>
      <c r="K462" s="3">
        <v>6284</v>
      </c>
      <c r="L462" s="3">
        <v>10919</v>
      </c>
      <c r="M462" s="3">
        <v>1</v>
      </c>
      <c r="N462" s="14">
        <v>7273.2659880000001</v>
      </c>
      <c r="O462" s="7">
        <f t="shared" si="63"/>
        <v>1.6446015952635475E-2</v>
      </c>
      <c r="P462" s="14">
        <f t="shared" si="64"/>
        <v>3636.6329940000001</v>
      </c>
      <c r="Q462" s="14">
        <f t="shared" si="65"/>
        <v>7273.2659880000001</v>
      </c>
      <c r="R462" s="4">
        <f t="shared" si="66"/>
        <v>50</v>
      </c>
      <c r="S462" s="14">
        <f t="shared" si="67"/>
        <v>666.11099807674702</v>
      </c>
      <c r="T462" s="4">
        <f t="shared" si="68"/>
        <v>51.673382123180659</v>
      </c>
      <c r="U462" s="3">
        <f>LEN(A462) - LEN(SUBSTITUTE(A462,"&gt;","")) +1</f>
        <v>4</v>
      </c>
      <c r="V462" s="8">
        <f t="shared" si="69"/>
        <v>4.1115039881588688E-3</v>
      </c>
      <c r="W462" s="14">
        <f t="shared" si="70"/>
        <v>1818.316497</v>
      </c>
      <c r="X462" s="4">
        <f t="shared" si="71"/>
        <v>1.1305798509066897E-4</v>
      </c>
    </row>
    <row r="463" spans="1:24" ht="14.25" customHeight="1" x14ac:dyDescent="0.2">
      <c r="A463" s="5" t="s">
        <v>697</v>
      </c>
      <c r="B463" s="3" t="s">
        <v>24</v>
      </c>
      <c r="C463" s="3" t="s">
        <v>32</v>
      </c>
      <c r="D463" s="3" t="s">
        <v>2353</v>
      </c>
      <c r="E463" s="3" t="s">
        <v>2354</v>
      </c>
      <c r="F463" s="3" t="s">
        <v>191</v>
      </c>
      <c r="G463" s="3" t="s">
        <v>27</v>
      </c>
      <c r="H463" s="3" t="s">
        <v>114</v>
      </c>
      <c r="I463" s="3">
        <v>27394</v>
      </c>
      <c r="J463" s="3">
        <v>2</v>
      </c>
      <c r="K463" s="3">
        <v>16144</v>
      </c>
      <c r="L463" s="3">
        <v>24752</v>
      </c>
      <c r="M463" s="3">
        <v>78</v>
      </c>
      <c r="N463" s="14">
        <v>7264.5876099999996</v>
      </c>
      <c r="O463" s="7">
        <f t="shared" si="63"/>
        <v>7.3008688033876041E-3</v>
      </c>
      <c r="P463" s="14">
        <f t="shared" si="64"/>
        <v>3632.2938049999998</v>
      </c>
      <c r="Q463" s="14">
        <f t="shared" si="65"/>
        <v>93.135738589743582</v>
      </c>
      <c r="R463" s="4">
        <f t="shared" si="66"/>
        <v>3900</v>
      </c>
      <c r="S463" s="14">
        <f t="shared" si="67"/>
        <v>293.49497454751128</v>
      </c>
      <c r="T463" s="4">
        <f t="shared" si="68"/>
        <v>58.932612980944732</v>
      </c>
      <c r="U463" s="3">
        <f>LEN(A463) - LEN(SUBSTITUTE(A463,"&gt;","")) +1</f>
        <v>4</v>
      </c>
      <c r="V463" s="8">
        <f t="shared" si="69"/>
        <v>0.14236694166605826</v>
      </c>
      <c r="W463" s="14">
        <f t="shared" si="70"/>
        <v>1816.1469024999999</v>
      </c>
      <c r="X463" s="4">
        <f t="shared" si="71"/>
        <v>0.30571925196873073</v>
      </c>
    </row>
    <row r="464" spans="1:24" ht="14.25" customHeight="1" x14ac:dyDescent="0.2">
      <c r="A464" s="5" t="s">
        <v>1881</v>
      </c>
      <c r="B464" s="3" t="s">
        <v>24</v>
      </c>
      <c r="C464" s="3" t="s">
        <v>32</v>
      </c>
      <c r="D464" s="3" t="s">
        <v>2357</v>
      </c>
      <c r="E464" s="3" t="s">
        <v>2358</v>
      </c>
      <c r="F464" s="3" t="s">
        <v>699</v>
      </c>
      <c r="G464" s="3" t="s">
        <v>27</v>
      </c>
      <c r="H464" s="3" t="s">
        <v>19</v>
      </c>
      <c r="I464" s="3">
        <v>11476</v>
      </c>
      <c r="J464" s="3">
        <v>2</v>
      </c>
      <c r="K464" s="3">
        <v>4963</v>
      </c>
      <c r="L464" s="3">
        <v>10991</v>
      </c>
      <c r="M464" s="3">
        <v>1</v>
      </c>
      <c r="N464" s="14">
        <v>7227.4173490000003</v>
      </c>
      <c r="O464" s="7">
        <f t="shared" si="63"/>
        <v>1.742767514813524E-2</v>
      </c>
      <c r="P464" s="14">
        <f t="shared" si="64"/>
        <v>3613.7086745000001</v>
      </c>
      <c r="Q464" s="14">
        <f t="shared" si="65"/>
        <v>7227.4173490000003</v>
      </c>
      <c r="R464" s="4">
        <f t="shared" si="66"/>
        <v>50</v>
      </c>
      <c r="S464" s="14">
        <f t="shared" si="67"/>
        <v>657.57595751069061</v>
      </c>
      <c r="T464" s="4">
        <f t="shared" si="68"/>
        <v>43.246775880097594</v>
      </c>
      <c r="U464" s="3">
        <f>LEN(A464) - LEN(SUBSTITUTE(A464,"&gt;","")) +1</f>
        <v>5</v>
      </c>
      <c r="V464" s="8">
        <f t="shared" si="69"/>
        <v>4.3569187870338101E-3</v>
      </c>
      <c r="W464" s="14">
        <f t="shared" si="70"/>
        <v>1445.4834698</v>
      </c>
      <c r="X464" s="4">
        <f t="shared" si="71"/>
        <v>1.2056640917897572E-4</v>
      </c>
    </row>
    <row r="465" spans="1:24" ht="14.25" customHeight="1" x14ac:dyDescent="0.2">
      <c r="A465" s="5" t="s">
        <v>700</v>
      </c>
      <c r="B465" s="3" t="s">
        <v>14</v>
      </c>
      <c r="C465" s="3" t="s">
        <v>29</v>
      </c>
      <c r="D465" s="3" t="s">
        <v>2359</v>
      </c>
      <c r="E465" s="3" t="s">
        <v>2360</v>
      </c>
      <c r="F465" s="3" t="s">
        <v>191</v>
      </c>
      <c r="G465" s="3" t="s">
        <v>27</v>
      </c>
      <c r="H465" s="3" t="s">
        <v>19</v>
      </c>
      <c r="I465" s="3">
        <v>22690</v>
      </c>
      <c r="J465" s="3">
        <v>2</v>
      </c>
      <c r="K465" s="3">
        <v>10212</v>
      </c>
      <c r="L465" s="3">
        <v>19934</v>
      </c>
      <c r="M465" s="3">
        <v>11</v>
      </c>
      <c r="N465" s="14">
        <v>7210.686506</v>
      </c>
      <c r="O465" s="7">
        <f t="shared" si="63"/>
        <v>8.8144557073600704E-3</v>
      </c>
      <c r="P465" s="14">
        <f t="shared" si="64"/>
        <v>3605.343253</v>
      </c>
      <c r="Q465" s="14">
        <f t="shared" si="65"/>
        <v>655.51695509090905</v>
      </c>
      <c r="R465" s="4">
        <f t="shared" si="66"/>
        <v>550</v>
      </c>
      <c r="S465" s="14">
        <f t="shared" si="67"/>
        <v>361.72802779171263</v>
      </c>
      <c r="T465" s="4">
        <f t="shared" si="68"/>
        <v>45.006610841780521</v>
      </c>
      <c r="U465" s="3">
        <f>LEN(A465) - LEN(SUBSTITUTE(A465,"&gt;","")) +1</f>
        <v>4</v>
      </c>
      <c r="V465" s="8">
        <f t="shared" si="69"/>
        <v>2.4239753195240195E-2</v>
      </c>
      <c r="W465" s="14">
        <f t="shared" si="70"/>
        <v>1802.6716265</v>
      </c>
      <c r="X465" s="4">
        <f t="shared" si="71"/>
        <v>7.3956144099670317E-3</v>
      </c>
    </row>
    <row r="466" spans="1:24" ht="14.25" customHeight="1" x14ac:dyDescent="0.2">
      <c r="A466" s="5" t="s">
        <v>701</v>
      </c>
      <c r="B466" s="3" t="s">
        <v>14</v>
      </c>
      <c r="C466" s="3" t="s">
        <v>32</v>
      </c>
      <c r="D466" s="3" t="s">
        <v>2368</v>
      </c>
      <c r="E466" s="3" t="s">
        <v>2352</v>
      </c>
      <c r="F466" s="3" t="s">
        <v>702</v>
      </c>
      <c r="G466" s="3" t="s">
        <v>76</v>
      </c>
      <c r="H466" s="3" t="s">
        <v>19</v>
      </c>
      <c r="I466" s="3">
        <v>18136</v>
      </c>
      <c r="J466" s="3">
        <v>2</v>
      </c>
      <c r="K466" s="3">
        <v>10842</v>
      </c>
      <c r="L466" s="3">
        <v>14953</v>
      </c>
      <c r="M466" s="3">
        <v>5</v>
      </c>
      <c r="N466" s="14">
        <v>6860.3595969999997</v>
      </c>
      <c r="O466" s="7">
        <f t="shared" si="63"/>
        <v>1.1027790030877812E-2</v>
      </c>
      <c r="P466" s="14">
        <f t="shared" si="64"/>
        <v>3430.1797984999998</v>
      </c>
      <c r="Q466" s="14">
        <f t="shared" si="65"/>
        <v>1372.0719193999998</v>
      </c>
      <c r="R466" s="4">
        <f t="shared" si="66"/>
        <v>250</v>
      </c>
      <c r="S466" s="14">
        <f t="shared" si="67"/>
        <v>458.79486370627967</v>
      </c>
      <c r="T466" s="4">
        <f t="shared" si="68"/>
        <v>59.781649757388621</v>
      </c>
      <c r="U466" s="3">
        <f>LEN(A466) - LEN(SUBSTITUTE(A466,"&gt;","")) +1</f>
        <v>4</v>
      </c>
      <c r="V466" s="8">
        <f t="shared" si="69"/>
        <v>1.3784737538597266E-2</v>
      </c>
      <c r="W466" s="14">
        <f t="shared" si="70"/>
        <v>1715.0898992499999</v>
      </c>
      <c r="X466" s="4">
        <f t="shared" si="71"/>
        <v>2.0093316310452968E-3</v>
      </c>
    </row>
    <row r="467" spans="1:24" ht="14.25" customHeight="1" x14ac:dyDescent="0.2">
      <c r="A467" s="5" t="s">
        <v>703</v>
      </c>
      <c r="B467" s="3" t="s">
        <v>14</v>
      </c>
      <c r="C467" s="3" t="s">
        <v>32</v>
      </c>
      <c r="D467" s="3" t="s">
        <v>2351</v>
      </c>
      <c r="E467" s="3" t="s">
        <v>2352</v>
      </c>
      <c r="F467" s="3" t="s">
        <v>704</v>
      </c>
      <c r="G467" s="3" t="s">
        <v>27</v>
      </c>
      <c r="H467" s="3" t="s">
        <v>19</v>
      </c>
      <c r="I467" s="3">
        <v>26820</v>
      </c>
      <c r="J467" s="3">
        <v>2</v>
      </c>
      <c r="K467" s="3">
        <v>13553</v>
      </c>
      <c r="L467" s="3">
        <v>21192</v>
      </c>
      <c r="M467" s="3">
        <v>2</v>
      </c>
      <c r="N467" s="14">
        <v>6745.1034399999999</v>
      </c>
      <c r="O467" s="7">
        <f t="shared" si="63"/>
        <v>7.4571215510812828E-3</v>
      </c>
      <c r="P467" s="14">
        <f t="shared" si="64"/>
        <v>3372.5517199999999</v>
      </c>
      <c r="Q467" s="14">
        <f t="shared" si="65"/>
        <v>3372.5517199999999</v>
      </c>
      <c r="R467" s="4">
        <f t="shared" si="66"/>
        <v>100</v>
      </c>
      <c r="S467" s="14">
        <f t="shared" si="67"/>
        <v>318.28536428841068</v>
      </c>
      <c r="T467" s="4">
        <f t="shared" si="68"/>
        <v>50.533184190902311</v>
      </c>
      <c r="U467" s="3">
        <f>LEN(A467) - LEN(SUBSTITUTE(A467,"&gt;","")) +1</f>
        <v>4</v>
      </c>
      <c r="V467" s="8">
        <f t="shared" si="69"/>
        <v>3.7285607755406414E-3</v>
      </c>
      <c r="W467" s="14">
        <f t="shared" si="70"/>
        <v>1686.27586</v>
      </c>
      <c r="X467" s="4">
        <f t="shared" si="71"/>
        <v>2.2111214801714835E-4</v>
      </c>
    </row>
    <row r="468" spans="1:24" ht="14.25" customHeight="1" x14ac:dyDescent="0.2">
      <c r="A468" s="5" t="s">
        <v>1882</v>
      </c>
      <c r="B468" s="3" t="s">
        <v>14</v>
      </c>
      <c r="C468" s="3" t="s">
        <v>15</v>
      </c>
      <c r="D468" s="3" t="s">
        <v>2381</v>
      </c>
      <c r="E468" s="3" t="s">
        <v>2365</v>
      </c>
      <c r="F468" s="3" t="s">
        <v>706</v>
      </c>
      <c r="G468" s="3" t="s">
        <v>22</v>
      </c>
      <c r="H468" s="3" t="s">
        <v>19</v>
      </c>
      <c r="I468" s="3">
        <v>26784</v>
      </c>
      <c r="J468" s="3">
        <v>2</v>
      </c>
      <c r="K468" s="3">
        <v>12708</v>
      </c>
      <c r="L468" s="3">
        <v>22261</v>
      </c>
      <c r="M468" s="3">
        <v>2</v>
      </c>
      <c r="N468" s="14">
        <v>6643.1616469999999</v>
      </c>
      <c r="O468" s="7">
        <f t="shared" si="63"/>
        <v>7.4671445639187574E-3</v>
      </c>
      <c r="P468" s="14">
        <f t="shared" si="64"/>
        <v>3321.5808235</v>
      </c>
      <c r="Q468" s="14">
        <f t="shared" si="65"/>
        <v>3321.5808235</v>
      </c>
      <c r="R468" s="4">
        <f t="shared" si="66"/>
        <v>100</v>
      </c>
      <c r="S468" s="14">
        <f t="shared" si="67"/>
        <v>298.42152854768426</v>
      </c>
      <c r="T468" s="4">
        <f t="shared" si="68"/>
        <v>47.446236559139784</v>
      </c>
      <c r="U468" s="3">
        <f>LEN(A468) - LEN(SUBSTITUTE(A468,"&gt;","")) +1</f>
        <v>5</v>
      </c>
      <c r="V468" s="8">
        <f t="shared" si="69"/>
        <v>3.7335722819593787E-3</v>
      </c>
      <c r="W468" s="14">
        <f t="shared" si="70"/>
        <v>1328.6323293999999</v>
      </c>
      <c r="X468" s="4">
        <f t="shared" si="71"/>
        <v>2.2480695068712836E-4</v>
      </c>
    </row>
    <row r="469" spans="1:24" ht="14.25" customHeight="1" x14ac:dyDescent="0.2">
      <c r="A469" s="5" t="s">
        <v>1883</v>
      </c>
      <c r="B469" s="3" t="s">
        <v>24</v>
      </c>
      <c r="C469" s="3" t="s">
        <v>15</v>
      </c>
      <c r="D469" s="3" t="s">
        <v>2363</v>
      </c>
      <c r="E469" s="3" t="s">
        <v>2358</v>
      </c>
      <c r="F469" s="3" t="s">
        <v>111</v>
      </c>
      <c r="G469" s="3" t="s">
        <v>27</v>
      </c>
      <c r="H469" s="3" t="s">
        <v>19</v>
      </c>
      <c r="I469" s="3">
        <v>7862</v>
      </c>
      <c r="J469" s="3">
        <v>2</v>
      </c>
      <c r="K469" s="3">
        <v>2152</v>
      </c>
      <c r="L469" s="3">
        <v>6039</v>
      </c>
      <c r="M469" s="3">
        <v>1</v>
      </c>
      <c r="N469" s="14">
        <v>6506.4336869999997</v>
      </c>
      <c r="O469" s="7">
        <f t="shared" si="63"/>
        <v>2.5438819638768762E-2</v>
      </c>
      <c r="P469" s="14">
        <f t="shared" si="64"/>
        <v>3253.2168434999999</v>
      </c>
      <c r="Q469" s="14">
        <f t="shared" si="65"/>
        <v>6506.4336869999997</v>
      </c>
      <c r="R469" s="4">
        <f t="shared" si="66"/>
        <v>50</v>
      </c>
      <c r="S469" s="14">
        <f t="shared" si="67"/>
        <v>1077.4024982613016</v>
      </c>
      <c r="T469" s="4">
        <f t="shared" si="68"/>
        <v>27.372169931315188</v>
      </c>
      <c r="U469" s="3">
        <f>LEN(A469) - LEN(SUBSTITUTE(A469,"&gt;","")) +1</f>
        <v>5</v>
      </c>
      <c r="V469" s="8">
        <f t="shared" si="69"/>
        <v>6.3597049096921904E-3</v>
      </c>
      <c r="W469" s="14">
        <f t="shared" si="70"/>
        <v>1301.2867374</v>
      </c>
      <c r="X469" s="4">
        <f t="shared" si="71"/>
        <v>1.9548973264413722E-4</v>
      </c>
    </row>
    <row r="470" spans="1:24" ht="14.25" customHeight="1" x14ac:dyDescent="0.2">
      <c r="A470" s="5" t="s">
        <v>1884</v>
      </c>
      <c r="B470" s="3" t="s">
        <v>68</v>
      </c>
      <c r="C470" s="3" t="s">
        <v>15</v>
      </c>
      <c r="D470" s="3" t="s">
        <v>2349</v>
      </c>
      <c r="E470" s="3" t="s">
        <v>2350</v>
      </c>
      <c r="F470" s="3" t="s">
        <v>269</v>
      </c>
      <c r="G470" s="3" t="s">
        <v>41</v>
      </c>
      <c r="H470" s="3" t="s">
        <v>19</v>
      </c>
      <c r="I470" s="3">
        <v>11789</v>
      </c>
      <c r="J470" s="3">
        <v>2</v>
      </c>
      <c r="K470" s="3">
        <v>6187</v>
      </c>
      <c r="L470" s="3">
        <v>10028</v>
      </c>
      <c r="M470" s="3">
        <v>1</v>
      </c>
      <c r="N470" s="14">
        <v>6505.5264559999996</v>
      </c>
      <c r="O470" s="7">
        <f t="shared" si="63"/>
        <v>1.6964967342437867E-2</v>
      </c>
      <c r="P470" s="14">
        <f t="shared" si="64"/>
        <v>3252.7632279999998</v>
      </c>
      <c r="Q470" s="14">
        <f t="shared" si="65"/>
        <v>6505.5264559999996</v>
      </c>
      <c r="R470" s="4">
        <f t="shared" si="66"/>
        <v>50</v>
      </c>
      <c r="S470" s="14">
        <f t="shared" si="67"/>
        <v>648.73618428400471</v>
      </c>
      <c r="T470" s="4">
        <f t="shared" si="68"/>
        <v>52.481126473831537</v>
      </c>
      <c r="U470" s="3">
        <f>LEN(A470) - LEN(SUBSTITUTE(A470,"&gt;","")) +1</f>
        <v>5</v>
      </c>
      <c r="V470" s="8">
        <f t="shared" si="69"/>
        <v>4.2412418356094668E-3</v>
      </c>
      <c r="W470" s="14">
        <f t="shared" si="70"/>
        <v>1301.1052912</v>
      </c>
      <c r="X470" s="4">
        <f t="shared" si="71"/>
        <v>1.3038888902520103E-4</v>
      </c>
    </row>
    <row r="471" spans="1:24" ht="14.25" customHeight="1" x14ac:dyDescent="0.2">
      <c r="A471" s="5" t="s">
        <v>1885</v>
      </c>
      <c r="B471" s="3" t="s">
        <v>14</v>
      </c>
      <c r="C471" s="3" t="s">
        <v>35</v>
      </c>
      <c r="D471" s="3" t="s">
        <v>2367</v>
      </c>
      <c r="E471" s="3" t="s">
        <v>2352</v>
      </c>
      <c r="F471" s="3" t="s">
        <v>40</v>
      </c>
      <c r="G471" s="3" t="s">
        <v>27</v>
      </c>
      <c r="H471" s="3" t="s">
        <v>19</v>
      </c>
      <c r="I471" s="3">
        <v>26270</v>
      </c>
      <c r="J471" s="3">
        <v>2</v>
      </c>
      <c r="K471" s="3">
        <v>12813</v>
      </c>
      <c r="L471" s="3">
        <v>21893</v>
      </c>
      <c r="M471" s="3">
        <v>10</v>
      </c>
      <c r="N471" s="14">
        <v>6417.2645640000001</v>
      </c>
      <c r="O471" s="7">
        <f t="shared" si="63"/>
        <v>7.6132470498667679E-3</v>
      </c>
      <c r="P471" s="14">
        <f t="shared" si="64"/>
        <v>3208.632282</v>
      </c>
      <c r="Q471" s="14">
        <f t="shared" si="65"/>
        <v>641.72645639999996</v>
      </c>
      <c r="R471" s="4">
        <f t="shared" si="66"/>
        <v>500</v>
      </c>
      <c r="S471" s="14">
        <f t="shared" si="67"/>
        <v>293.11947033298316</v>
      </c>
      <c r="T471" s="4">
        <f t="shared" si="68"/>
        <v>48.774267224971453</v>
      </c>
      <c r="U471" s="3">
        <f>LEN(A471) - LEN(SUBSTITUTE(A471,"&gt;","")) +1</f>
        <v>5</v>
      </c>
      <c r="V471" s="8">
        <f t="shared" si="69"/>
        <v>1.9033117624666921E-2</v>
      </c>
      <c r="W471" s="14">
        <f t="shared" si="70"/>
        <v>1283.4529127999999</v>
      </c>
      <c r="X471" s="4">
        <f t="shared" si="71"/>
        <v>5.9318475761277406E-3</v>
      </c>
    </row>
    <row r="472" spans="1:24" ht="14.25" customHeight="1" x14ac:dyDescent="0.2">
      <c r="A472" s="5" t="s">
        <v>710</v>
      </c>
      <c r="B472" s="3" t="s">
        <v>14</v>
      </c>
      <c r="C472" s="3" t="s">
        <v>15</v>
      </c>
      <c r="D472" s="3" t="s">
        <v>2389</v>
      </c>
      <c r="E472" s="3" t="s">
        <v>2390</v>
      </c>
      <c r="F472" s="3" t="s">
        <v>711</v>
      </c>
      <c r="G472" s="3" t="s">
        <v>27</v>
      </c>
      <c r="H472" s="3" t="s">
        <v>19</v>
      </c>
      <c r="I472" s="3">
        <v>2489</v>
      </c>
      <c r="J472" s="3">
        <v>2</v>
      </c>
      <c r="K472" s="3">
        <v>1556</v>
      </c>
      <c r="L472" s="3">
        <v>2453</v>
      </c>
      <c r="M472" s="3">
        <v>2</v>
      </c>
      <c r="N472" s="14">
        <v>6354.0547740000002</v>
      </c>
      <c r="O472" s="7">
        <f t="shared" si="63"/>
        <v>8.0353555644837288E-2</v>
      </c>
      <c r="P472" s="14">
        <f t="shared" si="64"/>
        <v>3177.0273870000001</v>
      </c>
      <c r="Q472" s="14">
        <f t="shared" si="65"/>
        <v>3177.0273870000001</v>
      </c>
      <c r="R472" s="4">
        <f t="shared" si="66"/>
        <v>100</v>
      </c>
      <c r="S472" s="14">
        <f t="shared" si="67"/>
        <v>2590.3199241744801</v>
      </c>
      <c r="T472" s="4">
        <f t="shared" si="68"/>
        <v>62.515066291683411</v>
      </c>
      <c r="U472" s="3">
        <f>LEN(A472) - LEN(SUBSTITUTE(A472,"&gt;","")) +1</f>
        <v>4</v>
      </c>
      <c r="V472" s="8">
        <f t="shared" si="69"/>
        <v>4.0176777822418644E-2</v>
      </c>
      <c r="W472" s="14">
        <f t="shared" si="70"/>
        <v>1588.5136935</v>
      </c>
      <c r="X472" s="4">
        <f t="shared" si="71"/>
        <v>2.5292056333424766E-3</v>
      </c>
    </row>
    <row r="473" spans="1:24" ht="14.25" customHeight="1" x14ac:dyDescent="0.2">
      <c r="A473" s="5" t="s">
        <v>1886</v>
      </c>
      <c r="B473" s="3" t="s">
        <v>68</v>
      </c>
      <c r="C473" s="3" t="s">
        <v>29</v>
      </c>
      <c r="D473" s="3" t="s">
        <v>2359</v>
      </c>
      <c r="E473" s="3" t="s">
        <v>2360</v>
      </c>
      <c r="F473" s="3" t="s">
        <v>520</v>
      </c>
      <c r="G473" s="3" t="s">
        <v>27</v>
      </c>
      <c r="H473" s="3" t="s">
        <v>19</v>
      </c>
      <c r="I473" s="3">
        <v>14137</v>
      </c>
      <c r="J473" s="3">
        <v>2</v>
      </c>
      <c r="K473" s="3">
        <v>9300</v>
      </c>
      <c r="L473" s="3">
        <v>13110</v>
      </c>
      <c r="M473" s="3">
        <v>8</v>
      </c>
      <c r="N473" s="14">
        <v>6345.4603379999999</v>
      </c>
      <c r="O473" s="7">
        <f t="shared" si="63"/>
        <v>1.4147273113107449E-2</v>
      </c>
      <c r="P473" s="14">
        <f t="shared" si="64"/>
        <v>3172.7301689999999</v>
      </c>
      <c r="Q473" s="14">
        <f t="shared" si="65"/>
        <v>793.18254224999998</v>
      </c>
      <c r="R473" s="4">
        <f t="shared" si="66"/>
        <v>400</v>
      </c>
      <c r="S473" s="14">
        <f t="shared" si="67"/>
        <v>484.01680686498855</v>
      </c>
      <c r="T473" s="4">
        <f t="shared" si="68"/>
        <v>65.784819975949631</v>
      </c>
      <c r="U473" s="3">
        <f>LEN(A473) - LEN(SUBSTITUTE(A473,"&gt;","")) +1</f>
        <v>6</v>
      </c>
      <c r="V473" s="8">
        <f t="shared" si="69"/>
        <v>2.8294546226214898E-2</v>
      </c>
      <c r="W473" s="14">
        <f t="shared" si="70"/>
        <v>1057.5767229999999</v>
      </c>
      <c r="X473" s="4">
        <f t="shared" si="71"/>
        <v>7.1344349425423569E-3</v>
      </c>
    </row>
    <row r="474" spans="1:24" ht="14.25" customHeight="1" x14ac:dyDescent="0.2">
      <c r="A474" s="5" t="s">
        <v>1887</v>
      </c>
      <c r="B474" s="3" t="s">
        <v>24</v>
      </c>
      <c r="C474" s="3" t="s">
        <v>29</v>
      </c>
      <c r="D474" s="3" t="s">
        <v>2362</v>
      </c>
      <c r="E474" s="3" t="s">
        <v>2352</v>
      </c>
      <c r="F474" s="3" t="s">
        <v>341</v>
      </c>
      <c r="G474" s="3" t="s">
        <v>27</v>
      </c>
      <c r="H474" s="3" t="s">
        <v>19</v>
      </c>
      <c r="I474" s="3">
        <v>8097</v>
      </c>
      <c r="J474" s="3">
        <v>2</v>
      </c>
      <c r="K474" s="3">
        <v>4942</v>
      </c>
      <c r="L474" s="3">
        <v>6868</v>
      </c>
      <c r="M474" s="3">
        <v>1</v>
      </c>
      <c r="N474" s="14">
        <v>6177.4645449999998</v>
      </c>
      <c r="O474" s="7">
        <f t="shared" si="63"/>
        <v>2.4700506360380389E-2</v>
      </c>
      <c r="P474" s="14">
        <f t="shared" si="64"/>
        <v>3088.7322724999999</v>
      </c>
      <c r="Q474" s="14">
        <f t="shared" si="65"/>
        <v>6177.4645449999998</v>
      </c>
      <c r="R474" s="4">
        <f t="shared" si="66"/>
        <v>50</v>
      </c>
      <c r="S474" s="14">
        <f t="shared" si="67"/>
        <v>899.45610730926023</v>
      </c>
      <c r="T474" s="4">
        <f t="shared" si="68"/>
        <v>61.034951216499934</v>
      </c>
      <c r="U474" s="3">
        <f>LEN(A474) - LEN(SUBSTITUTE(A474,"&gt;","")) +1</f>
        <v>6</v>
      </c>
      <c r="V474" s="8">
        <f t="shared" si="69"/>
        <v>6.1751265900950973E-3</v>
      </c>
      <c r="W474" s="14">
        <f t="shared" si="70"/>
        <v>1029.5774241666666</v>
      </c>
      <c r="X474" s="4">
        <f t="shared" si="71"/>
        <v>1.9992430697455657E-4</v>
      </c>
    </row>
    <row r="475" spans="1:24" ht="14.25" customHeight="1" x14ac:dyDescent="0.2">
      <c r="A475" s="5" t="s">
        <v>1888</v>
      </c>
      <c r="B475" s="3" t="s">
        <v>14</v>
      </c>
      <c r="C475" s="3" t="s">
        <v>15</v>
      </c>
      <c r="D475" s="3" t="s">
        <v>2349</v>
      </c>
      <c r="E475" s="3" t="s">
        <v>2350</v>
      </c>
      <c r="F475" s="3" t="s">
        <v>715</v>
      </c>
      <c r="G475" s="3" t="s">
        <v>27</v>
      </c>
      <c r="H475" s="3" t="s">
        <v>19</v>
      </c>
      <c r="I475" s="3">
        <v>7806</v>
      </c>
      <c r="J475" s="3">
        <v>2</v>
      </c>
      <c r="K475" s="3">
        <v>3150</v>
      </c>
      <c r="L475" s="3">
        <v>7247</v>
      </c>
      <c r="M475" s="3">
        <v>1</v>
      </c>
      <c r="N475" s="14">
        <v>6162.3208329999998</v>
      </c>
      <c r="O475" s="7">
        <f t="shared" si="63"/>
        <v>2.5621316935690495E-2</v>
      </c>
      <c r="P475" s="14">
        <f t="shared" si="64"/>
        <v>3081.1604164999999</v>
      </c>
      <c r="Q475" s="14">
        <f t="shared" si="65"/>
        <v>6162.3208329999998</v>
      </c>
      <c r="R475" s="4">
        <f t="shared" si="66"/>
        <v>50</v>
      </c>
      <c r="S475" s="14">
        <f t="shared" si="67"/>
        <v>850.32714681937352</v>
      </c>
      <c r="T475" s="4">
        <f t="shared" si="68"/>
        <v>40.353574173712531</v>
      </c>
      <c r="U475" s="3">
        <f>LEN(A475) - LEN(SUBSTITUTE(A475,"&gt;","")) +1</f>
        <v>5</v>
      </c>
      <c r="V475" s="8">
        <f t="shared" si="69"/>
        <v>6.4053292339226239E-3</v>
      </c>
      <c r="W475" s="14">
        <f t="shared" si="70"/>
        <v>1232.4641666</v>
      </c>
      <c r="X475" s="4">
        <f t="shared" si="71"/>
        <v>2.0788691168500297E-4</v>
      </c>
    </row>
    <row r="476" spans="1:24" ht="14.25" customHeight="1" x14ac:dyDescent="0.2">
      <c r="A476" s="5" t="s">
        <v>1889</v>
      </c>
      <c r="B476" s="3" t="s">
        <v>24</v>
      </c>
      <c r="C476" s="3" t="s">
        <v>15</v>
      </c>
      <c r="D476" s="3" t="s">
        <v>2357</v>
      </c>
      <c r="E476" s="3" t="s">
        <v>2358</v>
      </c>
      <c r="F476" s="3" t="s">
        <v>717</v>
      </c>
      <c r="G476" s="3" t="s">
        <v>27</v>
      </c>
      <c r="H476" s="3" t="s">
        <v>163</v>
      </c>
      <c r="I476" s="3">
        <v>10524</v>
      </c>
      <c r="J476" s="3">
        <v>2</v>
      </c>
      <c r="K476" s="3">
        <v>7601</v>
      </c>
      <c r="L476" s="3">
        <v>10242</v>
      </c>
      <c r="M476" s="3">
        <v>15</v>
      </c>
      <c r="N476" s="14">
        <v>6136.1339019999996</v>
      </c>
      <c r="O476" s="7">
        <f t="shared" si="63"/>
        <v>1.9004180919802355E-2</v>
      </c>
      <c r="P476" s="14">
        <f t="shared" si="64"/>
        <v>3068.0669509999998</v>
      </c>
      <c r="Q476" s="14">
        <f t="shared" si="65"/>
        <v>409.07559346666665</v>
      </c>
      <c r="R476" s="4">
        <f t="shared" si="66"/>
        <v>750</v>
      </c>
      <c r="S476" s="14">
        <f t="shared" si="67"/>
        <v>599.11481175551648</v>
      </c>
      <c r="T476" s="4">
        <f t="shared" si="68"/>
        <v>72.225389585708854</v>
      </c>
      <c r="U476" s="3">
        <f>LEN(A476) - LEN(SUBSTITUTE(A476,"&gt;","")) +1</f>
        <v>5</v>
      </c>
      <c r="V476" s="8">
        <f t="shared" si="69"/>
        <v>7.1265678449258837E-2</v>
      </c>
      <c r="W476" s="14">
        <f t="shared" si="70"/>
        <v>1227.2267803999998</v>
      </c>
      <c r="X476" s="4">
        <f t="shared" si="71"/>
        <v>3.4842302785813045E-2</v>
      </c>
    </row>
    <row r="477" spans="1:24" ht="14.25" customHeight="1" x14ac:dyDescent="0.2">
      <c r="A477" s="5" t="s">
        <v>1890</v>
      </c>
      <c r="B477" s="3" t="s">
        <v>14</v>
      </c>
      <c r="C477" s="3" t="s">
        <v>29</v>
      </c>
      <c r="D477" s="3" t="s">
        <v>2361</v>
      </c>
      <c r="E477" s="3" t="s">
        <v>2360</v>
      </c>
      <c r="F477" s="3" t="s">
        <v>329</v>
      </c>
      <c r="G477" s="3" t="s">
        <v>27</v>
      </c>
      <c r="H477" s="3" t="s">
        <v>19</v>
      </c>
      <c r="I477" s="3">
        <v>29251</v>
      </c>
      <c r="J477" s="3">
        <v>2</v>
      </c>
      <c r="K477" s="3">
        <v>25060</v>
      </c>
      <c r="L477" s="3">
        <v>28038</v>
      </c>
      <c r="M477" s="3">
        <v>5</v>
      </c>
      <c r="N477" s="14">
        <v>5994.7468339999996</v>
      </c>
      <c r="O477" s="7">
        <f t="shared" si="63"/>
        <v>6.8373730812621792E-3</v>
      </c>
      <c r="P477" s="14">
        <f t="shared" si="64"/>
        <v>2997.3734169999998</v>
      </c>
      <c r="Q477" s="14">
        <f t="shared" si="65"/>
        <v>1198.9493668</v>
      </c>
      <c r="R477" s="4">
        <f t="shared" si="66"/>
        <v>250</v>
      </c>
      <c r="S477" s="14">
        <f t="shared" si="67"/>
        <v>213.8079333048006</v>
      </c>
      <c r="T477" s="4">
        <f t="shared" si="68"/>
        <v>85.672284708215102</v>
      </c>
      <c r="U477" s="3">
        <f>LEN(A477) - LEN(SUBSTITUTE(A477,"&gt;","")) +1</f>
        <v>5</v>
      </c>
      <c r="V477" s="8">
        <f t="shared" si="69"/>
        <v>8.5467163515777246E-3</v>
      </c>
      <c r="W477" s="14">
        <f t="shared" si="70"/>
        <v>1198.9493668</v>
      </c>
      <c r="X477" s="4">
        <f t="shared" si="71"/>
        <v>1.4257009659029956E-3</v>
      </c>
    </row>
    <row r="478" spans="1:24" ht="14.25" customHeight="1" x14ac:dyDescent="0.2">
      <c r="A478" s="5" t="s">
        <v>719</v>
      </c>
      <c r="B478" s="3" t="s">
        <v>14</v>
      </c>
      <c r="C478" s="3" t="s">
        <v>32</v>
      </c>
      <c r="D478" s="3" t="s">
        <v>2388</v>
      </c>
      <c r="E478" s="3" t="s">
        <v>2356</v>
      </c>
      <c r="F478" s="3" t="s">
        <v>159</v>
      </c>
      <c r="G478" s="3" t="s">
        <v>22</v>
      </c>
      <c r="H478" s="3" t="s">
        <v>19</v>
      </c>
      <c r="I478" s="3">
        <v>8204</v>
      </c>
      <c r="J478" s="3">
        <v>2</v>
      </c>
      <c r="K478" s="3">
        <v>1348</v>
      </c>
      <c r="L478" s="3">
        <v>7832</v>
      </c>
      <c r="M478" s="3">
        <v>1</v>
      </c>
      <c r="N478" s="14">
        <v>5973.3798919999999</v>
      </c>
      <c r="O478" s="7">
        <f t="shared" si="63"/>
        <v>2.4378352023403216E-2</v>
      </c>
      <c r="P478" s="14">
        <f t="shared" si="64"/>
        <v>2986.689946</v>
      </c>
      <c r="Q478" s="14">
        <f t="shared" si="65"/>
        <v>5973.3798919999999</v>
      </c>
      <c r="R478" s="4">
        <f t="shared" si="66"/>
        <v>50</v>
      </c>
      <c r="S478" s="14">
        <f t="shared" si="67"/>
        <v>762.68895454545452</v>
      </c>
      <c r="T478" s="4">
        <f t="shared" si="68"/>
        <v>16.43100926377377</v>
      </c>
      <c r="U478" s="3">
        <f>LEN(A478) - LEN(SUBSTITUTE(A478,"&gt;","")) +1</f>
        <v>4</v>
      </c>
      <c r="V478" s="8">
        <f t="shared" si="69"/>
        <v>6.0945880058508048E-3</v>
      </c>
      <c r="W478" s="14">
        <f t="shared" si="70"/>
        <v>1493.344973</v>
      </c>
      <c r="X478" s="4">
        <f t="shared" si="71"/>
        <v>2.0405827575149322E-4</v>
      </c>
    </row>
    <row r="479" spans="1:24" ht="14.25" customHeight="1" x14ac:dyDescent="0.2">
      <c r="A479" s="5" t="s">
        <v>1891</v>
      </c>
      <c r="B479" s="3" t="s">
        <v>24</v>
      </c>
      <c r="C479" s="3" t="s">
        <v>29</v>
      </c>
      <c r="D479" s="3" t="s">
        <v>2351</v>
      </c>
      <c r="E479" s="3" t="s">
        <v>2352</v>
      </c>
      <c r="F479" s="3" t="s">
        <v>554</v>
      </c>
      <c r="G479" s="3" t="s">
        <v>22</v>
      </c>
      <c r="H479" s="3" t="s">
        <v>19</v>
      </c>
      <c r="I479" s="3">
        <v>43057</v>
      </c>
      <c r="J479" s="3">
        <v>2</v>
      </c>
      <c r="K479" s="3">
        <v>23767</v>
      </c>
      <c r="L479" s="3">
        <v>41484</v>
      </c>
      <c r="M479" s="3">
        <v>4</v>
      </c>
      <c r="N479" s="14">
        <v>5884.9313940000002</v>
      </c>
      <c r="O479" s="7">
        <f t="shared" si="63"/>
        <v>4.6450054578814131E-3</v>
      </c>
      <c r="P479" s="14">
        <f t="shared" si="64"/>
        <v>2942.4656970000001</v>
      </c>
      <c r="Q479" s="14">
        <f t="shared" si="65"/>
        <v>1471.2328485</v>
      </c>
      <c r="R479" s="4">
        <f t="shared" si="66"/>
        <v>200</v>
      </c>
      <c r="S479" s="14">
        <f t="shared" si="67"/>
        <v>141.86026887474691</v>
      </c>
      <c r="T479" s="4">
        <f t="shared" si="68"/>
        <v>55.198922358733768</v>
      </c>
      <c r="U479" s="3">
        <f>LEN(A479) - LEN(SUBSTITUTE(A479,"&gt;","")) +1</f>
        <v>5</v>
      </c>
      <c r="V479" s="8">
        <f t="shared" si="69"/>
        <v>4.6450054578814131E-3</v>
      </c>
      <c r="W479" s="14">
        <f t="shared" si="70"/>
        <v>1176.9862788</v>
      </c>
      <c r="X479" s="4">
        <f t="shared" si="71"/>
        <v>6.3144395703470634E-4</v>
      </c>
    </row>
    <row r="480" spans="1:24" ht="14.25" customHeight="1" x14ac:dyDescent="0.2">
      <c r="A480" s="5" t="s">
        <v>721</v>
      </c>
      <c r="B480" s="3" t="s">
        <v>24</v>
      </c>
      <c r="C480" s="3" t="s">
        <v>35</v>
      </c>
      <c r="D480" s="3" t="s">
        <v>2363</v>
      </c>
      <c r="E480" s="3" t="s">
        <v>2358</v>
      </c>
      <c r="F480" s="3" t="s">
        <v>191</v>
      </c>
      <c r="G480" s="3" t="s">
        <v>27</v>
      </c>
      <c r="H480" s="3" t="s">
        <v>114</v>
      </c>
      <c r="I480" s="3">
        <v>127090</v>
      </c>
      <c r="J480" s="3">
        <v>2</v>
      </c>
      <c r="K480" s="3">
        <v>30178</v>
      </c>
      <c r="L480" s="3">
        <v>113438</v>
      </c>
      <c r="M480" s="3">
        <v>24</v>
      </c>
      <c r="N480" s="14">
        <v>5808.9112539999996</v>
      </c>
      <c r="O480" s="7">
        <f t="shared" si="63"/>
        <v>1.5736879376819575E-3</v>
      </c>
      <c r="P480" s="14">
        <f t="shared" si="64"/>
        <v>2904.4556269999998</v>
      </c>
      <c r="Q480" s="14">
        <f t="shared" si="65"/>
        <v>242.03796891666664</v>
      </c>
      <c r="R480" s="4">
        <f t="shared" si="66"/>
        <v>1200</v>
      </c>
      <c r="S480" s="14">
        <f t="shared" si="67"/>
        <v>51.207807383769101</v>
      </c>
      <c r="T480" s="4">
        <f t="shared" si="68"/>
        <v>23.745377291683059</v>
      </c>
      <c r="U480" s="3">
        <f>LEN(A480) - LEN(SUBSTITUTE(A480,"&gt;","")) +1</f>
        <v>4</v>
      </c>
      <c r="V480" s="8">
        <f t="shared" si="69"/>
        <v>9.442127626091746E-3</v>
      </c>
      <c r="W480" s="14">
        <f t="shared" si="70"/>
        <v>1452.2278134999999</v>
      </c>
      <c r="X480" s="4">
        <f t="shared" si="71"/>
        <v>7.8021871265517495E-3</v>
      </c>
    </row>
    <row r="481" spans="1:24" ht="14.25" customHeight="1" x14ac:dyDescent="0.2">
      <c r="A481" s="5" t="s">
        <v>1892</v>
      </c>
      <c r="B481" s="3" t="s">
        <v>24</v>
      </c>
      <c r="C481" s="3" t="s">
        <v>15</v>
      </c>
      <c r="D481" s="3" t="s">
        <v>2388</v>
      </c>
      <c r="E481" s="3" t="s">
        <v>2356</v>
      </c>
      <c r="F481" s="3" t="s">
        <v>347</v>
      </c>
      <c r="G481" s="3" t="s">
        <v>27</v>
      </c>
      <c r="H481" s="3" t="s">
        <v>163</v>
      </c>
      <c r="I481" s="3">
        <v>21599</v>
      </c>
      <c r="J481" s="3">
        <v>2</v>
      </c>
      <c r="K481" s="3">
        <v>13600</v>
      </c>
      <c r="L481" s="3">
        <v>20256</v>
      </c>
      <c r="M481" s="3">
        <v>2</v>
      </c>
      <c r="N481" s="14">
        <v>5551.3874150000001</v>
      </c>
      <c r="O481" s="7">
        <f t="shared" si="63"/>
        <v>9.2596879485161345E-3</v>
      </c>
      <c r="P481" s="14">
        <f t="shared" si="64"/>
        <v>2775.6937075000001</v>
      </c>
      <c r="Q481" s="14">
        <f t="shared" si="65"/>
        <v>2775.6937075000001</v>
      </c>
      <c r="R481" s="4">
        <f t="shared" si="66"/>
        <v>100</v>
      </c>
      <c r="S481" s="14">
        <f t="shared" si="67"/>
        <v>274.06138502172195</v>
      </c>
      <c r="T481" s="4">
        <f t="shared" si="68"/>
        <v>62.965878049909719</v>
      </c>
      <c r="U481" s="3">
        <f>LEN(A481) - LEN(SUBSTITUTE(A481,"&gt;","")) +1</f>
        <v>5</v>
      </c>
      <c r="V481" s="8">
        <f t="shared" si="69"/>
        <v>4.6298439742580673E-3</v>
      </c>
      <c r="W481" s="14">
        <f t="shared" si="70"/>
        <v>1110.2774830000001</v>
      </c>
      <c r="X481" s="4">
        <f t="shared" si="71"/>
        <v>3.3359905394086546E-4</v>
      </c>
    </row>
    <row r="482" spans="1:24" ht="14.25" customHeight="1" x14ac:dyDescent="0.2">
      <c r="A482" s="5" t="s">
        <v>1893</v>
      </c>
      <c r="B482" s="3" t="s">
        <v>24</v>
      </c>
      <c r="C482" s="3" t="s">
        <v>15</v>
      </c>
      <c r="D482" s="3" t="s">
        <v>2349</v>
      </c>
      <c r="E482" s="3" t="s">
        <v>2350</v>
      </c>
      <c r="F482" s="3" t="s">
        <v>724</v>
      </c>
      <c r="G482" s="3" t="s">
        <v>27</v>
      </c>
      <c r="H482" s="3" t="s">
        <v>19</v>
      </c>
      <c r="I482" s="3">
        <v>6522</v>
      </c>
      <c r="J482" s="3">
        <v>2</v>
      </c>
      <c r="K482" s="3">
        <v>2244</v>
      </c>
      <c r="L482" s="3">
        <v>5913</v>
      </c>
      <c r="M482" s="3">
        <v>6</v>
      </c>
      <c r="N482" s="14">
        <v>5347.9622410000002</v>
      </c>
      <c r="O482" s="7">
        <f t="shared" si="63"/>
        <v>3.0665440049064706E-2</v>
      </c>
      <c r="P482" s="14">
        <f t="shared" si="64"/>
        <v>2673.9811205000001</v>
      </c>
      <c r="Q482" s="14">
        <f t="shared" si="65"/>
        <v>891.32704016666673</v>
      </c>
      <c r="R482" s="4">
        <f t="shared" si="66"/>
        <v>300</v>
      </c>
      <c r="S482" s="14">
        <f t="shared" si="67"/>
        <v>904.4414410620667</v>
      </c>
      <c r="T482" s="4">
        <f t="shared" si="68"/>
        <v>34.406623735050594</v>
      </c>
      <c r="U482" s="3">
        <f>LEN(A482) - LEN(SUBSTITUTE(A482,"&gt;","")) +1</f>
        <v>6</v>
      </c>
      <c r="V482" s="8">
        <f t="shared" si="69"/>
        <v>4.5998160073597055E-2</v>
      </c>
      <c r="W482" s="14">
        <f t="shared" si="70"/>
        <v>891.32704016666673</v>
      </c>
      <c r="X482" s="4">
        <f t="shared" si="71"/>
        <v>1.0321275581406348E-2</v>
      </c>
    </row>
    <row r="483" spans="1:24" ht="14.25" customHeight="1" x14ac:dyDescent="0.2">
      <c r="A483" s="5" t="s">
        <v>725</v>
      </c>
      <c r="B483" s="3" t="s">
        <v>14</v>
      </c>
      <c r="C483" s="3" t="s">
        <v>15</v>
      </c>
      <c r="D483" s="3" t="s">
        <v>2368</v>
      </c>
      <c r="E483" s="3" t="s">
        <v>2352</v>
      </c>
      <c r="F483" s="3" t="s">
        <v>726</v>
      </c>
      <c r="G483" s="3" t="s">
        <v>27</v>
      </c>
      <c r="H483" s="3" t="s">
        <v>19</v>
      </c>
      <c r="I483" s="3">
        <v>2305</v>
      </c>
      <c r="J483" s="3">
        <v>2</v>
      </c>
      <c r="K483" s="3">
        <v>1207</v>
      </c>
      <c r="L483" s="3">
        <v>2148</v>
      </c>
      <c r="M483" s="3">
        <v>5</v>
      </c>
      <c r="N483" s="14">
        <v>5095.6007829999999</v>
      </c>
      <c r="O483" s="7">
        <f t="shared" si="63"/>
        <v>8.6767895878524945E-2</v>
      </c>
      <c r="P483" s="14">
        <f t="shared" si="64"/>
        <v>2547.8003914999999</v>
      </c>
      <c r="Q483" s="14">
        <f t="shared" si="65"/>
        <v>1019.1201566</v>
      </c>
      <c r="R483" s="4">
        <f t="shared" si="66"/>
        <v>250</v>
      </c>
      <c r="S483" s="14">
        <f t="shared" si="67"/>
        <v>2372.2536233705773</v>
      </c>
      <c r="T483" s="4">
        <f t="shared" si="68"/>
        <v>52.364425162689813</v>
      </c>
      <c r="U483" s="3">
        <f>LEN(A483) - LEN(SUBSTITUTE(A483,"&gt;","")) +1</f>
        <v>4</v>
      </c>
      <c r="V483" s="8">
        <f t="shared" si="69"/>
        <v>0.10845986984815618</v>
      </c>
      <c r="W483" s="14">
        <f t="shared" si="70"/>
        <v>1273.90019575</v>
      </c>
      <c r="X483" s="4">
        <f t="shared" si="71"/>
        <v>2.1285001409451304E-2</v>
      </c>
    </row>
    <row r="484" spans="1:24" ht="14.25" customHeight="1" x14ac:dyDescent="0.2">
      <c r="A484" s="5" t="s">
        <v>727</v>
      </c>
      <c r="B484" s="3" t="s">
        <v>14</v>
      </c>
      <c r="C484" s="3" t="s">
        <v>35</v>
      </c>
      <c r="D484" s="3" t="s">
        <v>2397</v>
      </c>
      <c r="E484" s="3" t="s">
        <v>2360</v>
      </c>
      <c r="F484" s="3" t="s">
        <v>728</v>
      </c>
      <c r="G484" s="3" t="s">
        <v>18</v>
      </c>
      <c r="H484" s="3" t="s">
        <v>19</v>
      </c>
      <c r="I484" s="3">
        <v>7530</v>
      </c>
      <c r="J484" s="3">
        <v>2</v>
      </c>
      <c r="K484" s="3">
        <v>5468</v>
      </c>
      <c r="L484" s="3">
        <v>7298</v>
      </c>
      <c r="M484" s="3">
        <v>3</v>
      </c>
      <c r="N484" s="14">
        <v>5038.7140669999999</v>
      </c>
      <c r="O484" s="7">
        <f t="shared" si="63"/>
        <v>2.6560424966799469E-2</v>
      </c>
      <c r="P484" s="14">
        <f t="shared" si="64"/>
        <v>2519.3570334999999</v>
      </c>
      <c r="Q484" s="14">
        <f t="shared" si="65"/>
        <v>1679.5713556666667</v>
      </c>
      <c r="R484" s="4">
        <f t="shared" si="66"/>
        <v>150</v>
      </c>
      <c r="S484" s="14">
        <f t="shared" si="67"/>
        <v>690.42396094820504</v>
      </c>
      <c r="T484" s="4">
        <f t="shared" si="68"/>
        <v>72.616201859229747</v>
      </c>
      <c r="U484" s="3">
        <f>LEN(A484) - LEN(SUBSTITUTE(A484,"&gt;","")) +1</f>
        <v>4</v>
      </c>
      <c r="V484" s="8">
        <f t="shared" si="69"/>
        <v>1.9920318725099601E-2</v>
      </c>
      <c r="W484" s="14">
        <f t="shared" si="70"/>
        <v>1259.67851675</v>
      </c>
      <c r="X484" s="4">
        <f t="shared" si="71"/>
        <v>2.3720717381718738E-3</v>
      </c>
    </row>
    <row r="485" spans="1:24" ht="14.25" customHeight="1" x14ac:dyDescent="0.2">
      <c r="A485" s="5" t="s">
        <v>1894</v>
      </c>
      <c r="B485" s="3" t="s">
        <v>24</v>
      </c>
      <c r="C485" s="3" t="s">
        <v>15</v>
      </c>
      <c r="D485" s="3" t="s">
        <v>2378</v>
      </c>
      <c r="E485" s="3" t="s">
        <v>2352</v>
      </c>
      <c r="F485" s="3" t="s">
        <v>57</v>
      </c>
      <c r="G485" s="3" t="s">
        <v>27</v>
      </c>
      <c r="H485" s="3" t="s">
        <v>114</v>
      </c>
      <c r="I485" s="3">
        <v>84460</v>
      </c>
      <c r="J485" s="3">
        <v>2</v>
      </c>
      <c r="K485" s="3">
        <v>13169</v>
      </c>
      <c r="L485" s="3">
        <v>26688</v>
      </c>
      <c r="M485" s="3">
        <v>1</v>
      </c>
      <c r="N485" s="14">
        <v>4279.230955</v>
      </c>
      <c r="O485" s="7">
        <f t="shared" si="63"/>
        <v>2.3679848448969927E-3</v>
      </c>
      <c r="P485" s="14">
        <f t="shared" si="64"/>
        <v>2139.6154775</v>
      </c>
      <c r="Q485" s="14">
        <f t="shared" si="65"/>
        <v>4279.230955</v>
      </c>
      <c r="R485" s="4">
        <f t="shared" si="66"/>
        <v>50</v>
      </c>
      <c r="S485" s="14">
        <f t="shared" si="67"/>
        <v>160.34288650329736</v>
      </c>
      <c r="T485" s="4">
        <f t="shared" si="68"/>
        <v>15.591996211224249</v>
      </c>
      <c r="U485" s="3">
        <f>LEN(A485) - LEN(SUBSTITUTE(A485,"&gt;","")) +1</f>
        <v>5</v>
      </c>
      <c r="V485" s="8">
        <f t="shared" si="69"/>
        <v>5.9199621122424818E-4</v>
      </c>
      <c r="W485" s="14">
        <f t="shared" si="70"/>
        <v>855.84619099999998</v>
      </c>
      <c r="X485" s="4">
        <f t="shared" si="71"/>
        <v>2.7668345899047093E-5</v>
      </c>
    </row>
    <row r="486" spans="1:24" ht="14.25" customHeight="1" x14ac:dyDescent="0.2">
      <c r="A486" s="5" t="s">
        <v>1895</v>
      </c>
      <c r="B486" s="3" t="s">
        <v>14</v>
      </c>
      <c r="C486" s="3" t="s">
        <v>29</v>
      </c>
      <c r="D486" s="3" t="s">
        <v>2376</v>
      </c>
      <c r="E486" s="3" t="s">
        <v>2377</v>
      </c>
      <c r="F486" s="3" t="s">
        <v>731</v>
      </c>
      <c r="G486" s="3" t="s">
        <v>415</v>
      </c>
      <c r="H486" s="3" t="s">
        <v>19</v>
      </c>
      <c r="I486" s="3">
        <v>2241</v>
      </c>
      <c r="J486" s="3">
        <v>2</v>
      </c>
      <c r="K486" s="3">
        <v>530</v>
      </c>
      <c r="L486" s="3">
        <v>2019</v>
      </c>
      <c r="M486" s="3">
        <v>2</v>
      </c>
      <c r="N486" s="14">
        <v>3703.1631280000001</v>
      </c>
      <c r="O486" s="7">
        <f t="shared" si="63"/>
        <v>8.9245872378402494E-2</v>
      </c>
      <c r="P486" s="14">
        <f t="shared" si="64"/>
        <v>1851.5815640000001</v>
      </c>
      <c r="Q486" s="14">
        <f t="shared" si="65"/>
        <v>1851.5815640000001</v>
      </c>
      <c r="R486" s="4">
        <f t="shared" si="66"/>
        <v>100</v>
      </c>
      <c r="S486" s="14">
        <f t="shared" si="67"/>
        <v>1834.1570718177315</v>
      </c>
      <c r="T486" s="4">
        <f t="shared" si="68"/>
        <v>23.650156180276664</v>
      </c>
      <c r="U486" s="3">
        <f>LEN(A486) - LEN(SUBSTITUTE(A486,"&gt;","")) +1</f>
        <v>5</v>
      </c>
      <c r="V486" s="8">
        <f t="shared" si="69"/>
        <v>4.4622936189201247E-2</v>
      </c>
      <c r="W486" s="14">
        <f t="shared" si="70"/>
        <v>740.63262559999998</v>
      </c>
      <c r="X486" s="4">
        <f t="shared" si="71"/>
        <v>4.819980610824579E-3</v>
      </c>
    </row>
    <row r="487" spans="1:24" ht="14.25" customHeight="1" x14ac:dyDescent="0.2">
      <c r="A487" s="5" t="s">
        <v>1896</v>
      </c>
      <c r="B487" s="3" t="s">
        <v>14</v>
      </c>
      <c r="C487" s="3" t="s">
        <v>15</v>
      </c>
      <c r="D487" s="3" t="s">
        <v>2362</v>
      </c>
      <c r="E487" s="3" t="s">
        <v>2352</v>
      </c>
      <c r="F487" s="3" t="s">
        <v>733</v>
      </c>
      <c r="G487" s="3" t="s">
        <v>41</v>
      </c>
      <c r="H487" s="3" t="s">
        <v>19</v>
      </c>
      <c r="I487" s="3">
        <v>7206</v>
      </c>
      <c r="J487" s="3">
        <v>2</v>
      </c>
      <c r="K487" s="3">
        <v>3358</v>
      </c>
      <c r="L487" s="3">
        <v>6473</v>
      </c>
      <c r="M487" s="3">
        <v>1</v>
      </c>
      <c r="N487" s="14">
        <v>3458.5879049999999</v>
      </c>
      <c r="O487" s="7">
        <f t="shared" si="63"/>
        <v>2.7754648903691372E-2</v>
      </c>
      <c r="P487" s="14">
        <f t="shared" si="64"/>
        <v>1729.2939524999999</v>
      </c>
      <c r="Q487" s="14">
        <f t="shared" si="65"/>
        <v>3458.5879049999999</v>
      </c>
      <c r="R487" s="4">
        <f t="shared" si="66"/>
        <v>50</v>
      </c>
      <c r="S487" s="14">
        <f t="shared" si="67"/>
        <v>534.30988799629233</v>
      </c>
      <c r="T487" s="4">
        <f t="shared" si="68"/>
        <v>46.600055509297803</v>
      </c>
      <c r="U487" s="3">
        <f>LEN(A487) - LEN(SUBSTITUTE(A487,"&gt;","")) +1</f>
        <v>4</v>
      </c>
      <c r="V487" s="8">
        <f t="shared" si="69"/>
        <v>6.938662225922842E-3</v>
      </c>
      <c r="W487" s="14">
        <f t="shared" si="70"/>
        <v>864.64697624999997</v>
      </c>
      <c r="X487" s="4">
        <f t="shared" si="71"/>
        <v>4.0124249644728015E-4</v>
      </c>
    </row>
    <row r="488" spans="1:24" ht="14.25" customHeight="1" x14ac:dyDescent="0.2">
      <c r="A488" s="5" t="s">
        <v>1897</v>
      </c>
      <c r="B488" s="3" t="s">
        <v>14</v>
      </c>
      <c r="C488" s="3" t="s">
        <v>32</v>
      </c>
      <c r="D488" s="3" t="s">
        <v>2366</v>
      </c>
      <c r="E488" s="3" t="s">
        <v>2352</v>
      </c>
      <c r="F488" s="3" t="s">
        <v>735</v>
      </c>
      <c r="G488" s="3" t="s">
        <v>27</v>
      </c>
      <c r="H488" s="3" t="s">
        <v>19</v>
      </c>
      <c r="I488" s="3">
        <v>2236</v>
      </c>
      <c r="J488" s="3">
        <v>2</v>
      </c>
      <c r="K488" s="3">
        <v>1562</v>
      </c>
      <c r="L488" s="3">
        <v>2076</v>
      </c>
      <c r="M488" s="3">
        <v>2</v>
      </c>
      <c r="N488" s="14">
        <v>3332.7514510000001</v>
      </c>
      <c r="O488" s="7">
        <f t="shared" si="63"/>
        <v>8.9445438282647588E-2</v>
      </c>
      <c r="P488" s="14">
        <f t="shared" si="64"/>
        <v>1666.3757255</v>
      </c>
      <c r="Q488" s="14">
        <f t="shared" si="65"/>
        <v>1666.3757255</v>
      </c>
      <c r="R488" s="4">
        <f t="shared" si="66"/>
        <v>100</v>
      </c>
      <c r="S488" s="14">
        <f t="shared" si="67"/>
        <v>1605.3716045279384</v>
      </c>
      <c r="T488" s="4">
        <f t="shared" si="68"/>
        <v>69.856887298747765</v>
      </c>
      <c r="U488" s="3">
        <f>LEN(A488) - LEN(SUBSTITUTE(A488,"&gt;","")) +1</f>
        <v>5</v>
      </c>
      <c r="V488" s="8">
        <f t="shared" si="69"/>
        <v>4.4722719141323794E-2</v>
      </c>
      <c r="W488" s="14">
        <f t="shared" si="70"/>
        <v>666.55029020000006</v>
      </c>
      <c r="X488" s="4">
        <f t="shared" si="71"/>
        <v>5.3676633014927812E-3</v>
      </c>
    </row>
    <row r="489" spans="1:24" ht="14.25" customHeight="1" x14ac:dyDescent="0.2">
      <c r="A489" s="5" t="s">
        <v>1898</v>
      </c>
      <c r="B489" s="3" t="s">
        <v>24</v>
      </c>
      <c r="C489" s="3" t="s">
        <v>29</v>
      </c>
      <c r="D489" s="3" t="s">
        <v>2363</v>
      </c>
      <c r="E489" s="3" t="s">
        <v>2358</v>
      </c>
      <c r="F489" s="3" t="s">
        <v>737</v>
      </c>
      <c r="G489" s="3" t="s">
        <v>27</v>
      </c>
      <c r="H489" s="3" t="s">
        <v>114</v>
      </c>
      <c r="I489" s="3">
        <v>27473</v>
      </c>
      <c r="J489" s="3">
        <v>2</v>
      </c>
      <c r="K489" s="3">
        <v>11306</v>
      </c>
      <c r="L489" s="3">
        <v>20625</v>
      </c>
      <c r="M489" s="3">
        <v>2</v>
      </c>
      <c r="N489" s="14">
        <v>2922.286102</v>
      </c>
      <c r="O489" s="7">
        <f t="shared" si="63"/>
        <v>7.2798747861536782E-3</v>
      </c>
      <c r="P489" s="14">
        <f t="shared" si="64"/>
        <v>1461.143051</v>
      </c>
      <c r="Q489" s="14">
        <f t="shared" si="65"/>
        <v>1461.143051</v>
      </c>
      <c r="R489" s="4">
        <f t="shared" si="66"/>
        <v>100</v>
      </c>
      <c r="S489" s="14">
        <f t="shared" si="67"/>
        <v>141.68659888484851</v>
      </c>
      <c r="T489" s="4">
        <f t="shared" si="68"/>
        <v>41.153132166126746</v>
      </c>
      <c r="U489" s="3">
        <f>LEN(A489) - LEN(SUBSTITUTE(A489,"&gt;","")) +1</f>
        <v>5</v>
      </c>
      <c r="V489" s="8">
        <f t="shared" si="69"/>
        <v>3.6399373930768391E-3</v>
      </c>
      <c r="W489" s="14">
        <f t="shared" si="70"/>
        <v>584.45722039999998</v>
      </c>
      <c r="X489" s="4">
        <f t="shared" si="71"/>
        <v>4.9823148946103281E-4</v>
      </c>
    </row>
    <row r="490" spans="1:24" ht="14.25" customHeight="1" x14ac:dyDescent="0.2">
      <c r="A490" s="5" t="s">
        <v>1899</v>
      </c>
      <c r="B490" s="3" t="s">
        <v>14</v>
      </c>
      <c r="C490" s="3" t="s">
        <v>32</v>
      </c>
      <c r="D490" s="3" t="s">
        <v>2388</v>
      </c>
      <c r="E490" s="3" t="s">
        <v>2356</v>
      </c>
      <c r="F490" s="3" t="s">
        <v>543</v>
      </c>
      <c r="G490" s="3" t="s">
        <v>41</v>
      </c>
      <c r="H490" s="3" t="s">
        <v>19</v>
      </c>
      <c r="I490" s="3">
        <v>14181</v>
      </c>
      <c r="J490" s="3">
        <v>2</v>
      </c>
      <c r="K490" s="3">
        <v>7106</v>
      </c>
      <c r="L490" s="3">
        <v>13189</v>
      </c>
      <c r="M490" s="3">
        <v>17</v>
      </c>
      <c r="N490" s="14">
        <v>2912.4671560000002</v>
      </c>
      <c r="O490" s="7">
        <f t="shared" si="63"/>
        <v>1.4103377758973275E-2</v>
      </c>
      <c r="P490" s="14">
        <f t="shared" si="64"/>
        <v>1456.2335780000001</v>
      </c>
      <c r="Q490" s="14">
        <f t="shared" si="65"/>
        <v>171.32159741176471</v>
      </c>
      <c r="R490" s="4">
        <f t="shared" si="66"/>
        <v>850</v>
      </c>
      <c r="S490" s="14">
        <f t="shared" si="67"/>
        <v>220.82547243915386</v>
      </c>
      <c r="T490" s="4">
        <f t="shared" si="68"/>
        <v>50.109301177632034</v>
      </c>
      <c r="U490" s="3">
        <f>LEN(A490) - LEN(SUBSTITUTE(A490,"&gt;","")) +1</f>
        <v>5</v>
      </c>
      <c r="V490" s="8">
        <f t="shared" si="69"/>
        <v>5.9939355475636412E-2</v>
      </c>
      <c r="W490" s="14">
        <f t="shared" si="70"/>
        <v>582.49343120000003</v>
      </c>
      <c r="X490" s="4">
        <f t="shared" si="71"/>
        <v>6.9972912208581081E-2</v>
      </c>
    </row>
    <row r="491" spans="1:24" ht="14.25" customHeight="1" x14ac:dyDescent="0.2">
      <c r="A491" s="5" t="s">
        <v>1900</v>
      </c>
      <c r="B491" s="3" t="s">
        <v>14</v>
      </c>
      <c r="C491" s="3" t="s">
        <v>15</v>
      </c>
      <c r="D491" s="3" t="s">
        <v>2368</v>
      </c>
      <c r="E491" s="3" t="s">
        <v>2352</v>
      </c>
      <c r="F491" s="3" t="s">
        <v>740</v>
      </c>
      <c r="G491" s="3" t="s">
        <v>64</v>
      </c>
      <c r="H491" s="3" t="s">
        <v>19</v>
      </c>
      <c r="I491" s="3">
        <v>13293</v>
      </c>
      <c r="J491" s="3">
        <v>2</v>
      </c>
      <c r="K491" s="3">
        <v>9054</v>
      </c>
      <c r="L491" s="3">
        <v>12676</v>
      </c>
      <c r="M491" s="3">
        <v>1</v>
      </c>
      <c r="N491" s="14">
        <v>2901.2095089999998</v>
      </c>
      <c r="O491" s="7">
        <f t="shared" si="63"/>
        <v>1.5045512675844428E-2</v>
      </c>
      <c r="P491" s="14">
        <f t="shared" si="64"/>
        <v>1450.6047544999999</v>
      </c>
      <c r="Q491" s="14">
        <f t="shared" si="65"/>
        <v>2901.2095089999998</v>
      </c>
      <c r="R491" s="4">
        <f t="shared" si="66"/>
        <v>50</v>
      </c>
      <c r="S491" s="14">
        <f t="shared" si="67"/>
        <v>228.87421181760806</v>
      </c>
      <c r="T491" s="4">
        <f t="shared" si="68"/>
        <v>68.111035883547729</v>
      </c>
      <c r="U491" s="3">
        <f>LEN(A491) - LEN(SUBSTITUTE(A491,"&gt;","")) +1</f>
        <v>4</v>
      </c>
      <c r="V491" s="8">
        <f t="shared" si="69"/>
        <v>3.7613781689611074E-3</v>
      </c>
      <c r="W491" s="14">
        <f t="shared" si="70"/>
        <v>725.30237724999995</v>
      </c>
      <c r="X491" s="4">
        <f t="shared" si="71"/>
        <v>2.5929724532425052E-4</v>
      </c>
    </row>
    <row r="492" spans="1:24" ht="14.25" customHeight="1" x14ac:dyDescent="0.2">
      <c r="A492" s="5" t="s">
        <v>1901</v>
      </c>
      <c r="B492" s="3" t="s">
        <v>14</v>
      </c>
      <c r="C492" s="3" t="s">
        <v>32</v>
      </c>
      <c r="D492" s="3" t="s">
        <v>2349</v>
      </c>
      <c r="E492" s="3" t="s">
        <v>2350</v>
      </c>
      <c r="F492" s="3" t="s">
        <v>48</v>
      </c>
      <c r="G492" s="3" t="s">
        <v>41</v>
      </c>
      <c r="H492" s="3" t="s">
        <v>19</v>
      </c>
      <c r="I492" s="3">
        <v>65257</v>
      </c>
      <c r="J492" s="3">
        <v>2</v>
      </c>
      <c r="K492" s="3">
        <v>12749</v>
      </c>
      <c r="L492" s="3">
        <v>19274</v>
      </c>
      <c r="M492" s="3">
        <v>1</v>
      </c>
      <c r="N492" s="14">
        <v>2468.1358369999998</v>
      </c>
      <c r="O492" s="7">
        <f t="shared" si="63"/>
        <v>3.064805308242794E-3</v>
      </c>
      <c r="P492" s="14">
        <f t="shared" si="64"/>
        <v>1234.0679184999999</v>
      </c>
      <c r="Q492" s="14">
        <f t="shared" si="65"/>
        <v>2468.1358369999998</v>
      </c>
      <c r="R492" s="4">
        <f t="shared" si="66"/>
        <v>50</v>
      </c>
      <c r="S492" s="14">
        <f t="shared" si="67"/>
        <v>128.05519544464045</v>
      </c>
      <c r="T492" s="4">
        <f t="shared" si="68"/>
        <v>19.536601437393688</v>
      </c>
      <c r="U492" s="3">
        <f>LEN(A492) - LEN(SUBSTITUTE(A492,"&gt;","")) +1</f>
        <v>6</v>
      </c>
      <c r="V492" s="8">
        <f t="shared" si="69"/>
        <v>7.662013270606985E-4</v>
      </c>
      <c r="W492" s="14">
        <f t="shared" si="70"/>
        <v>411.35597283333328</v>
      </c>
      <c r="X492" s="4">
        <f t="shared" si="71"/>
        <v>6.2087452041700449E-5</v>
      </c>
    </row>
    <row r="493" spans="1:24" ht="14.25" customHeight="1" x14ac:dyDescent="0.2">
      <c r="A493" s="5" t="s">
        <v>1902</v>
      </c>
      <c r="B493" s="3" t="s">
        <v>14</v>
      </c>
      <c r="C493" s="3" t="s">
        <v>35</v>
      </c>
      <c r="D493" s="3" t="s">
        <v>2366</v>
      </c>
      <c r="E493" s="3" t="s">
        <v>2352</v>
      </c>
      <c r="F493" s="3" t="s">
        <v>48</v>
      </c>
      <c r="G493" s="3" t="s">
        <v>27</v>
      </c>
      <c r="H493" s="3" t="s">
        <v>19</v>
      </c>
      <c r="I493" s="3">
        <v>31003</v>
      </c>
      <c r="J493" s="3">
        <v>2</v>
      </c>
      <c r="K493" s="3">
        <v>12591</v>
      </c>
      <c r="L493" s="3">
        <v>22656</v>
      </c>
      <c r="M493" s="3">
        <v>3</v>
      </c>
      <c r="N493" s="14">
        <v>2294.0037779999998</v>
      </c>
      <c r="O493" s="7">
        <f t="shared" si="63"/>
        <v>6.4509886140050963E-3</v>
      </c>
      <c r="P493" s="14">
        <f t="shared" si="64"/>
        <v>1147.0018889999999</v>
      </c>
      <c r="Q493" s="14">
        <f t="shared" si="65"/>
        <v>764.66792599999997</v>
      </c>
      <c r="R493" s="4">
        <f t="shared" si="66"/>
        <v>150</v>
      </c>
      <c r="S493" s="14">
        <f t="shared" si="67"/>
        <v>101.25369782838982</v>
      </c>
      <c r="T493" s="4">
        <f t="shared" si="68"/>
        <v>40.612198819469086</v>
      </c>
      <c r="U493" s="3">
        <f>LEN(A493) - LEN(SUBSTITUTE(A493,"&gt;","")) +1</f>
        <v>4</v>
      </c>
      <c r="V493" s="8">
        <f t="shared" si="69"/>
        <v>4.8382414605038226E-3</v>
      </c>
      <c r="W493" s="14">
        <f t="shared" si="70"/>
        <v>573.50094449999995</v>
      </c>
      <c r="X493" s="4">
        <f t="shared" si="71"/>
        <v>1.2654490389868457E-3</v>
      </c>
    </row>
    <row r="494" spans="1:24" ht="14.25" customHeight="1" x14ac:dyDescent="0.2">
      <c r="A494" s="5" t="s">
        <v>1903</v>
      </c>
      <c r="B494" s="3" t="s">
        <v>14</v>
      </c>
      <c r="C494" s="3" t="s">
        <v>29</v>
      </c>
      <c r="D494" s="3" t="s">
        <v>2363</v>
      </c>
      <c r="E494" s="3" t="s">
        <v>2358</v>
      </c>
      <c r="F494" s="3" t="s">
        <v>191</v>
      </c>
      <c r="G494" s="3" t="s">
        <v>287</v>
      </c>
      <c r="H494" s="3" t="s">
        <v>19</v>
      </c>
      <c r="I494" s="3">
        <v>51056</v>
      </c>
      <c r="J494" s="3">
        <v>2</v>
      </c>
      <c r="K494" s="3">
        <v>24672</v>
      </c>
      <c r="L494" s="3">
        <v>45563</v>
      </c>
      <c r="M494" s="3">
        <v>2</v>
      </c>
      <c r="N494" s="14">
        <v>2215.6318449999999</v>
      </c>
      <c r="O494" s="7">
        <f t="shared" si="63"/>
        <v>3.9172673143215292E-3</v>
      </c>
      <c r="P494" s="14">
        <f t="shared" si="64"/>
        <v>1107.8159224999999</v>
      </c>
      <c r="Q494" s="14">
        <f t="shared" si="65"/>
        <v>1107.8159224999999</v>
      </c>
      <c r="R494" s="4">
        <f t="shared" si="66"/>
        <v>100</v>
      </c>
      <c r="S494" s="14">
        <f t="shared" si="67"/>
        <v>48.627874481487169</v>
      </c>
      <c r="T494" s="4">
        <f t="shared" si="68"/>
        <v>48.323409589470387</v>
      </c>
      <c r="U494" s="3">
        <f>LEN(A494) - LEN(SUBSTITUTE(A494,"&gt;","")) +1</f>
        <v>4</v>
      </c>
      <c r="V494" s="8">
        <f t="shared" si="69"/>
        <v>1.9586336571607646E-3</v>
      </c>
      <c r="W494" s="14">
        <f t="shared" si="70"/>
        <v>553.90796124999997</v>
      </c>
      <c r="X494" s="4">
        <f t="shared" si="71"/>
        <v>3.5360272720051373E-4</v>
      </c>
    </row>
    <row r="495" spans="1:24" ht="14.25" customHeight="1" x14ac:dyDescent="0.2">
      <c r="A495" s="5" t="s">
        <v>1904</v>
      </c>
      <c r="B495" s="3" t="s">
        <v>68</v>
      </c>
      <c r="C495" s="3" t="s">
        <v>15</v>
      </c>
      <c r="D495" s="3" t="s">
        <v>2368</v>
      </c>
      <c r="E495" s="3" t="s">
        <v>2352</v>
      </c>
      <c r="F495" s="3" t="s">
        <v>579</v>
      </c>
      <c r="G495" s="3" t="s">
        <v>58</v>
      </c>
      <c r="H495" s="3" t="s">
        <v>19</v>
      </c>
      <c r="I495" s="3">
        <v>5433</v>
      </c>
      <c r="J495" s="3">
        <v>2</v>
      </c>
      <c r="K495" s="3">
        <v>3634</v>
      </c>
      <c r="L495" s="3">
        <v>4742</v>
      </c>
      <c r="M495" s="3">
        <v>4</v>
      </c>
      <c r="N495" s="14">
        <v>2211.9697799999999</v>
      </c>
      <c r="O495" s="7">
        <f t="shared" si="63"/>
        <v>3.6812074360390211E-2</v>
      </c>
      <c r="P495" s="14">
        <f t="shared" si="64"/>
        <v>1105.98489</v>
      </c>
      <c r="Q495" s="14">
        <f t="shared" si="65"/>
        <v>552.99244499999998</v>
      </c>
      <c r="R495" s="4">
        <f t="shared" si="66"/>
        <v>200</v>
      </c>
      <c r="S495" s="14">
        <f t="shared" si="67"/>
        <v>466.46347110923659</v>
      </c>
      <c r="T495" s="4">
        <f t="shared" si="68"/>
        <v>66.887539112829003</v>
      </c>
      <c r="U495" s="3">
        <f>LEN(A495) - LEN(SUBSTITUTE(A495,"&gt;","")) +1</f>
        <v>4</v>
      </c>
      <c r="V495" s="8">
        <f t="shared" si="69"/>
        <v>3.6812074360390211E-2</v>
      </c>
      <c r="W495" s="14">
        <f t="shared" si="70"/>
        <v>552.99244499999998</v>
      </c>
      <c r="X495" s="4">
        <f t="shared" si="71"/>
        <v>1.3313771171101699E-2</v>
      </c>
    </row>
    <row r="496" spans="1:24" ht="14.25" customHeight="1" x14ac:dyDescent="0.2">
      <c r="A496" s="5" t="s">
        <v>1905</v>
      </c>
      <c r="B496" s="3" t="s">
        <v>24</v>
      </c>
      <c r="C496" s="3" t="s">
        <v>29</v>
      </c>
      <c r="D496" s="3" t="s">
        <v>2368</v>
      </c>
      <c r="E496" s="3" t="s">
        <v>2352</v>
      </c>
      <c r="F496" s="3" t="s">
        <v>478</v>
      </c>
      <c r="G496" s="3" t="s">
        <v>38</v>
      </c>
      <c r="H496" s="3" t="s">
        <v>19</v>
      </c>
      <c r="I496" s="3">
        <v>8545</v>
      </c>
      <c r="J496" s="3">
        <v>2</v>
      </c>
      <c r="K496" s="3">
        <v>3454</v>
      </c>
      <c r="L496" s="3">
        <v>5510</v>
      </c>
      <c r="M496" s="3">
        <v>1</v>
      </c>
      <c r="N496" s="14">
        <v>2181.2479490000001</v>
      </c>
      <c r="O496" s="7">
        <f t="shared" si="63"/>
        <v>2.3405500292568753E-2</v>
      </c>
      <c r="P496" s="14">
        <f t="shared" si="64"/>
        <v>1090.6239745</v>
      </c>
      <c r="Q496" s="14">
        <f t="shared" si="65"/>
        <v>2181.2479490000001</v>
      </c>
      <c r="R496" s="4">
        <f t="shared" si="66"/>
        <v>50</v>
      </c>
      <c r="S496" s="14">
        <f t="shared" si="67"/>
        <v>395.87077114337569</v>
      </c>
      <c r="T496" s="4">
        <f t="shared" si="68"/>
        <v>40.421299005266235</v>
      </c>
      <c r="U496" s="3">
        <f>LEN(A496) - LEN(SUBSTITUTE(A496,"&gt;","")) +1</f>
        <v>3</v>
      </c>
      <c r="V496" s="8">
        <f t="shared" si="69"/>
        <v>5.8513750731421883E-3</v>
      </c>
      <c r="W496" s="14">
        <f t="shared" si="70"/>
        <v>727.08264966666673</v>
      </c>
      <c r="X496" s="4">
        <f t="shared" si="71"/>
        <v>5.3651627049779182E-4</v>
      </c>
    </row>
    <row r="497" spans="1:24" ht="14.25" customHeight="1" x14ac:dyDescent="0.2">
      <c r="A497" s="5" t="s">
        <v>1906</v>
      </c>
      <c r="B497" s="3" t="s">
        <v>14</v>
      </c>
      <c r="C497" s="3" t="s">
        <v>29</v>
      </c>
      <c r="D497" s="3" t="s">
        <v>2351</v>
      </c>
      <c r="E497" s="3" t="s">
        <v>2352</v>
      </c>
      <c r="F497" s="3" t="s">
        <v>747</v>
      </c>
      <c r="G497" s="3" t="s">
        <v>41</v>
      </c>
      <c r="H497" s="3" t="s">
        <v>19</v>
      </c>
      <c r="I497" s="3">
        <v>2057</v>
      </c>
      <c r="J497" s="3">
        <v>2</v>
      </c>
      <c r="K497" s="3">
        <v>897</v>
      </c>
      <c r="L497" s="3">
        <v>1834</v>
      </c>
      <c r="M497" s="3">
        <v>14</v>
      </c>
      <c r="N497" s="14">
        <v>2088.2029419999999</v>
      </c>
      <c r="O497" s="7">
        <f t="shared" si="63"/>
        <v>9.7228974234321822E-2</v>
      </c>
      <c r="P497" s="14">
        <f t="shared" si="64"/>
        <v>1044.1014709999999</v>
      </c>
      <c r="Q497" s="14">
        <f t="shared" si="65"/>
        <v>149.157353</v>
      </c>
      <c r="R497" s="4">
        <f t="shared" si="66"/>
        <v>700</v>
      </c>
      <c r="S497" s="14">
        <f t="shared" si="67"/>
        <v>1138.6057480916029</v>
      </c>
      <c r="T497" s="4">
        <f t="shared" si="68"/>
        <v>43.607194944093344</v>
      </c>
      <c r="U497" s="3">
        <f>LEN(A497) - LEN(SUBSTITUTE(A497,"&gt;","")) +1</f>
        <v>4</v>
      </c>
      <c r="V497" s="8">
        <f t="shared" si="69"/>
        <v>0.34030140982012641</v>
      </c>
      <c r="W497" s="14">
        <f t="shared" si="70"/>
        <v>522.05073549999997</v>
      </c>
      <c r="X497" s="4">
        <f t="shared" si="71"/>
        <v>0.45629853704916096</v>
      </c>
    </row>
    <row r="498" spans="1:24" ht="14.25" customHeight="1" x14ac:dyDescent="0.2">
      <c r="A498" s="5" t="s">
        <v>1907</v>
      </c>
      <c r="B498" s="3" t="s">
        <v>24</v>
      </c>
      <c r="C498" s="3" t="s">
        <v>32</v>
      </c>
      <c r="D498" s="3" t="s">
        <v>2362</v>
      </c>
      <c r="E498" s="3" t="s">
        <v>2352</v>
      </c>
      <c r="F498" s="3" t="s">
        <v>749</v>
      </c>
      <c r="G498" s="3" t="s">
        <v>33</v>
      </c>
      <c r="H498" s="3" t="s">
        <v>114</v>
      </c>
      <c r="I498" s="3">
        <v>31813</v>
      </c>
      <c r="J498" s="3">
        <v>2</v>
      </c>
      <c r="K498" s="3">
        <v>14149</v>
      </c>
      <c r="L498" s="3">
        <v>21281</v>
      </c>
      <c r="M498" s="3">
        <v>13</v>
      </c>
      <c r="N498" s="14">
        <v>2060.9938820000002</v>
      </c>
      <c r="O498" s="7">
        <f t="shared" si="63"/>
        <v>6.2867381259233647E-3</v>
      </c>
      <c r="P498" s="14">
        <f t="shared" si="64"/>
        <v>1030.4969410000001</v>
      </c>
      <c r="Q498" s="14">
        <f t="shared" si="65"/>
        <v>158.53799092307693</v>
      </c>
      <c r="R498" s="4">
        <f t="shared" si="66"/>
        <v>650</v>
      </c>
      <c r="S498" s="14">
        <f t="shared" si="67"/>
        <v>96.846665194304791</v>
      </c>
      <c r="T498" s="4">
        <f t="shared" si="68"/>
        <v>44.475528871844844</v>
      </c>
      <c r="U498" s="3">
        <f>LEN(A498) - LEN(SUBSTITUTE(A498,"&gt;","")) +1</f>
        <v>4</v>
      </c>
      <c r="V498" s="8">
        <f t="shared" si="69"/>
        <v>2.0431898909250935E-2</v>
      </c>
      <c r="W498" s="14">
        <f t="shared" si="70"/>
        <v>515.24847050000005</v>
      </c>
      <c r="X498" s="4">
        <f t="shared" si="71"/>
        <v>2.5775397796184447E-2</v>
      </c>
    </row>
    <row r="499" spans="1:24" ht="14.25" customHeight="1" x14ac:dyDescent="0.2">
      <c r="A499" s="5" t="s">
        <v>1908</v>
      </c>
      <c r="B499" s="3" t="s">
        <v>14</v>
      </c>
      <c r="C499" s="3" t="s">
        <v>29</v>
      </c>
      <c r="D499" s="3" t="s">
        <v>2357</v>
      </c>
      <c r="E499" s="3" t="s">
        <v>2358</v>
      </c>
      <c r="F499" s="3" t="s">
        <v>751</v>
      </c>
      <c r="G499" s="3" t="s">
        <v>27</v>
      </c>
      <c r="H499" s="3" t="s">
        <v>19</v>
      </c>
      <c r="I499" s="3">
        <v>3853</v>
      </c>
      <c r="J499" s="3">
        <v>2</v>
      </c>
      <c r="K499" s="3">
        <v>2526</v>
      </c>
      <c r="L499" s="3">
        <v>3549</v>
      </c>
      <c r="M499" s="3">
        <v>13</v>
      </c>
      <c r="N499" s="14">
        <v>1914.38751</v>
      </c>
      <c r="O499" s="7">
        <f t="shared" si="63"/>
        <v>5.1907604464053979E-2</v>
      </c>
      <c r="P499" s="14">
        <f t="shared" si="64"/>
        <v>957.19375500000001</v>
      </c>
      <c r="Q499" s="14">
        <f t="shared" si="65"/>
        <v>147.26057769230769</v>
      </c>
      <c r="R499" s="4">
        <f t="shared" si="66"/>
        <v>650</v>
      </c>
      <c r="S499" s="14">
        <f t="shared" si="67"/>
        <v>539.41603550295861</v>
      </c>
      <c r="T499" s="4">
        <f t="shared" si="68"/>
        <v>65.559304438100185</v>
      </c>
      <c r="U499" s="3">
        <f>LEN(A499) - LEN(SUBSTITUTE(A499,"&gt;","")) +1</f>
        <v>4</v>
      </c>
      <c r="V499" s="8">
        <f t="shared" si="69"/>
        <v>0.16869971450817545</v>
      </c>
      <c r="W499" s="14">
        <f t="shared" si="70"/>
        <v>478.59687750000001</v>
      </c>
      <c r="X499" s="4">
        <f t="shared" si="71"/>
        <v>0.22911727924993419</v>
      </c>
    </row>
    <row r="500" spans="1:24" ht="14.25" customHeight="1" x14ac:dyDescent="0.2">
      <c r="A500" s="5" t="s">
        <v>1909</v>
      </c>
      <c r="B500" s="3" t="s">
        <v>24</v>
      </c>
      <c r="C500" s="3" t="s">
        <v>32</v>
      </c>
      <c r="D500" s="3" t="s">
        <v>2378</v>
      </c>
      <c r="E500" s="3" t="s">
        <v>2352</v>
      </c>
      <c r="F500" s="3" t="s">
        <v>753</v>
      </c>
      <c r="G500" s="3" t="s">
        <v>22</v>
      </c>
      <c r="H500" s="3" t="s">
        <v>19</v>
      </c>
      <c r="I500" s="3">
        <v>15277</v>
      </c>
      <c r="J500" s="3">
        <v>2</v>
      </c>
      <c r="K500" s="3">
        <v>3089</v>
      </c>
      <c r="L500" s="3">
        <v>13644</v>
      </c>
      <c r="M500" s="3">
        <v>1</v>
      </c>
      <c r="N500" s="14">
        <v>1904.5643459999999</v>
      </c>
      <c r="O500" s="7">
        <f t="shared" si="63"/>
        <v>1.3091575571119984E-2</v>
      </c>
      <c r="P500" s="14">
        <f t="shared" si="64"/>
        <v>952.28217299999994</v>
      </c>
      <c r="Q500" s="14">
        <f t="shared" si="65"/>
        <v>1904.5643459999999</v>
      </c>
      <c r="R500" s="4">
        <f t="shared" si="66"/>
        <v>50</v>
      </c>
      <c r="S500" s="14">
        <f t="shared" si="67"/>
        <v>139.58988170624451</v>
      </c>
      <c r="T500" s="4">
        <f t="shared" si="68"/>
        <v>20.219938469594815</v>
      </c>
      <c r="U500" s="3">
        <f>LEN(A500) - LEN(SUBSTITUTE(A500,"&gt;","")) +1</f>
        <v>4</v>
      </c>
      <c r="V500" s="8">
        <f t="shared" si="69"/>
        <v>3.272893892779996E-3</v>
      </c>
      <c r="W500" s="14">
        <f t="shared" si="70"/>
        <v>476.14108649999997</v>
      </c>
      <c r="X500" s="4">
        <f t="shared" si="71"/>
        <v>3.43689505650338E-4</v>
      </c>
    </row>
    <row r="501" spans="1:24" ht="14.25" customHeight="1" x14ac:dyDescent="0.2">
      <c r="A501" s="5" t="s">
        <v>1910</v>
      </c>
      <c r="B501" s="3" t="s">
        <v>24</v>
      </c>
      <c r="C501" s="3" t="s">
        <v>35</v>
      </c>
      <c r="D501" s="3" t="s">
        <v>2353</v>
      </c>
      <c r="E501" s="3" t="s">
        <v>2354</v>
      </c>
      <c r="F501" s="3" t="s">
        <v>347</v>
      </c>
      <c r="G501" s="3" t="s">
        <v>38</v>
      </c>
      <c r="H501" s="3" t="s">
        <v>114</v>
      </c>
      <c r="I501" s="3">
        <v>35335</v>
      </c>
      <c r="J501" s="3">
        <v>2</v>
      </c>
      <c r="K501" s="3">
        <v>22566</v>
      </c>
      <c r="L501" s="3">
        <v>30685</v>
      </c>
      <c r="M501" s="3">
        <v>15</v>
      </c>
      <c r="N501" s="14">
        <v>1866.3474699999999</v>
      </c>
      <c r="O501" s="7">
        <f t="shared" si="63"/>
        <v>5.6601103721522572E-3</v>
      </c>
      <c r="P501" s="14">
        <f t="shared" si="64"/>
        <v>933.17373499999997</v>
      </c>
      <c r="Q501" s="14">
        <f t="shared" si="65"/>
        <v>124.42316466666666</v>
      </c>
      <c r="R501" s="4">
        <f t="shared" si="66"/>
        <v>750</v>
      </c>
      <c r="S501" s="14">
        <f t="shared" si="67"/>
        <v>60.822795176796483</v>
      </c>
      <c r="T501" s="4">
        <f t="shared" si="68"/>
        <v>63.863025328993913</v>
      </c>
      <c r="U501" s="3">
        <f>LEN(A501) - LEN(SUBSTITUTE(A501,"&gt;","")) +1</f>
        <v>4</v>
      </c>
      <c r="V501" s="8">
        <f t="shared" si="69"/>
        <v>2.1225413895570963E-2</v>
      </c>
      <c r="W501" s="14">
        <f t="shared" si="70"/>
        <v>466.58686749999998</v>
      </c>
      <c r="X501" s="4">
        <f t="shared" si="71"/>
        <v>3.4118106467448367E-2</v>
      </c>
    </row>
    <row r="502" spans="1:24" ht="14.25" customHeight="1" x14ac:dyDescent="0.2">
      <c r="A502" s="5" t="s">
        <v>1911</v>
      </c>
      <c r="B502" s="3" t="s">
        <v>14</v>
      </c>
      <c r="C502" s="3" t="s">
        <v>35</v>
      </c>
      <c r="D502" s="3" t="s">
        <v>2353</v>
      </c>
      <c r="E502" s="3" t="s">
        <v>2354</v>
      </c>
      <c r="F502" s="3" t="s">
        <v>756</v>
      </c>
      <c r="G502" s="3" t="s">
        <v>27</v>
      </c>
      <c r="H502" s="3" t="s">
        <v>19</v>
      </c>
      <c r="I502" s="3">
        <v>15322</v>
      </c>
      <c r="J502" s="3">
        <v>2</v>
      </c>
      <c r="K502" s="3">
        <v>6416</v>
      </c>
      <c r="L502" s="3">
        <v>14049</v>
      </c>
      <c r="M502" s="3">
        <v>1</v>
      </c>
      <c r="N502" s="14">
        <v>1850.464205</v>
      </c>
      <c r="O502" s="7">
        <f t="shared" si="63"/>
        <v>1.3053126223730584E-2</v>
      </c>
      <c r="P502" s="14">
        <f t="shared" si="64"/>
        <v>925.2321025</v>
      </c>
      <c r="Q502" s="14">
        <f t="shared" si="65"/>
        <v>1850.464205</v>
      </c>
      <c r="R502" s="4">
        <f t="shared" si="66"/>
        <v>50</v>
      </c>
      <c r="S502" s="14">
        <f t="shared" si="67"/>
        <v>131.71501210050536</v>
      </c>
      <c r="T502" s="4">
        <f t="shared" si="68"/>
        <v>41.874428925727713</v>
      </c>
      <c r="U502" s="3">
        <f>LEN(A502) - LEN(SUBSTITUTE(A502,"&gt;","")) +1</f>
        <v>4</v>
      </c>
      <c r="V502" s="8">
        <f t="shared" si="69"/>
        <v>3.2632815559326457E-3</v>
      </c>
      <c r="W502" s="14">
        <f t="shared" si="70"/>
        <v>462.61605125</v>
      </c>
      <c r="X502" s="4">
        <f t="shared" si="71"/>
        <v>3.526986955073412E-4</v>
      </c>
    </row>
    <row r="503" spans="1:24" ht="14.25" customHeight="1" x14ac:dyDescent="0.2">
      <c r="A503" s="5" t="s">
        <v>1912</v>
      </c>
      <c r="B503" s="3" t="s">
        <v>14</v>
      </c>
      <c r="C503" s="3" t="s">
        <v>15</v>
      </c>
      <c r="D503" s="3" t="s">
        <v>2389</v>
      </c>
      <c r="E503" s="3" t="s">
        <v>2390</v>
      </c>
      <c r="F503" s="3" t="s">
        <v>96</v>
      </c>
      <c r="G503" s="3" t="s">
        <v>22</v>
      </c>
      <c r="H503" s="3" t="s">
        <v>19</v>
      </c>
      <c r="I503" s="3">
        <v>19549</v>
      </c>
      <c r="J503" s="3">
        <v>2</v>
      </c>
      <c r="K503" s="3">
        <v>6187</v>
      </c>
      <c r="L503" s="3">
        <v>17166</v>
      </c>
      <c r="M503" s="3">
        <v>2</v>
      </c>
      <c r="N503" s="14">
        <v>1844.9869209999999</v>
      </c>
      <c r="O503" s="7">
        <f t="shared" si="63"/>
        <v>1.0230702337715485E-2</v>
      </c>
      <c r="P503" s="14">
        <f t="shared" si="64"/>
        <v>922.49346049999997</v>
      </c>
      <c r="Q503" s="14">
        <f t="shared" si="65"/>
        <v>922.49346049999997</v>
      </c>
      <c r="R503" s="4">
        <f t="shared" si="66"/>
        <v>100</v>
      </c>
      <c r="S503" s="14">
        <f t="shared" si="67"/>
        <v>107.47914021903762</v>
      </c>
      <c r="T503" s="4">
        <f t="shared" si="68"/>
        <v>31.648677681722848</v>
      </c>
      <c r="U503" s="3">
        <f>LEN(A503) - LEN(SUBSTITUTE(A503,"&gt;","")) +1</f>
        <v>2</v>
      </c>
      <c r="V503" s="8">
        <f t="shared" si="69"/>
        <v>5.1153511688577418E-3</v>
      </c>
      <c r="W503" s="14">
        <f t="shared" si="70"/>
        <v>922.49346049999997</v>
      </c>
      <c r="X503" s="4">
        <f t="shared" si="71"/>
        <v>1.1090270853703775E-3</v>
      </c>
    </row>
    <row r="504" spans="1:24" ht="14.25" customHeight="1" x14ac:dyDescent="0.2">
      <c r="A504" s="5" t="s">
        <v>1913</v>
      </c>
      <c r="B504" s="3" t="s">
        <v>24</v>
      </c>
      <c r="C504" s="3" t="s">
        <v>15</v>
      </c>
      <c r="D504" s="3" t="s">
        <v>2357</v>
      </c>
      <c r="E504" s="3" t="s">
        <v>2358</v>
      </c>
      <c r="F504" s="3" t="s">
        <v>63</v>
      </c>
      <c r="G504" s="3" t="s">
        <v>27</v>
      </c>
      <c r="H504" s="3" t="s">
        <v>19</v>
      </c>
      <c r="I504" s="3">
        <v>88499</v>
      </c>
      <c r="J504" s="3">
        <v>2</v>
      </c>
      <c r="K504" s="3">
        <v>18950</v>
      </c>
      <c r="L504" s="3">
        <v>71458</v>
      </c>
      <c r="M504" s="3">
        <v>5</v>
      </c>
      <c r="N504" s="14">
        <v>1803.1398119999999</v>
      </c>
      <c r="O504" s="7">
        <f t="shared" si="63"/>
        <v>2.2599125413846487E-3</v>
      </c>
      <c r="P504" s="14">
        <f t="shared" si="64"/>
        <v>901.56990599999995</v>
      </c>
      <c r="Q504" s="14">
        <f t="shared" si="65"/>
        <v>360.6279624</v>
      </c>
      <c r="R504" s="4">
        <f t="shared" si="66"/>
        <v>250</v>
      </c>
      <c r="S504" s="14">
        <f t="shared" si="67"/>
        <v>25.233561140809982</v>
      </c>
      <c r="T504" s="4">
        <f t="shared" si="68"/>
        <v>21.412671329619542</v>
      </c>
      <c r="U504" s="3">
        <f>LEN(A504) - LEN(SUBSTITUTE(A504,"&gt;","")) +1</f>
        <v>4</v>
      </c>
      <c r="V504" s="8">
        <f t="shared" si="69"/>
        <v>2.8248906767308103E-3</v>
      </c>
      <c r="W504" s="14">
        <f t="shared" si="70"/>
        <v>450.78495299999997</v>
      </c>
      <c r="X504" s="4">
        <f t="shared" si="71"/>
        <v>1.5666509373987527E-3</v>
      </c>
    </row>
    <row r="505" spans="1:24" ht="14.25" customHeight="1" x14ac:dyDescent="0.2">
      <c r="A505" s="5" t="s">
        <v>1914</v>
      </c>
      <c r="B505" s="3" t="s">
        <v>14</v>
      </c>
      <c r="C505" s="3" t="s">
        <v>29</v>
      </c>
      <c r="D505" s="3" t="s">
        <v>2349</v>
      </c>
      <c r="E505" s="3" t="s">
        <v>2350</v>
      </c>
      <c r="F505" s="3" t="s">
        <v>760</v>
      </c>
      <c r="G505" s="3" t="s">
        <v>27</v>
      </c>
      <c r="H505" s="3" t="s">
        <v>19</v>
      </c>
      <c r="I505" s="3">
        <v>6648</v>
      </c>
      <c r="J505" s="3">
        <v>2</v>
      </c>
      <c r="K505" s="3">
        <v>2148</v>
      </c>
      <c r="L505" s="3">
        <v>6178</v>
      </c>
      <c r="M505" s="3">
        <v>2</v>
      </c>
      <c r="N505" s="14">
        <v>1787.934186</v>
      </c>
      <c r="O505" s="7">
        <f t="shared" si="63"/>
        <v>3.0084235860409148E-2</v>
      </c>
      <c r="P505" s="14">
        <f t="shared" si="64"/>
        <v>893.96709299999998</v>
      </c>
      <c r="Q505" s="14">
        <f t="shared" si="65"/>
        <v>893.96709299999998</v>
      </c>
      <c r="R505" s="4">
        <f t="shared" si="66"/>
        <v>100</v>
      </c>
      <c r="S505" s="14">
        <f t="shared" si="67"/>
        <v>289.40339689219815</v>
      </c>
      <c r="T505" s="4">
        <f t="shared" si="68"/>
        <v>32.31046931407942</v>
      </c>
      <c r="U505" s="3">
        <f>LEN(A505) - LEN(SUBSTITUTE(A505,"&gt;","")) +1</f>
        <v>3</v>
      </c>
      <c r="V505" s="8">
        <f t="shared" si="69"/>
        <v>1.5042117930204572E-2</v>
      </c>
      <c r="W505" s="14">
        <f t="shared" si="70"/>
        <v>595.97806200000002</v>
      </c>
      <c r="X505" s="4">
        <f t="shared" si="71"/>
        <v>3.3652509243323066E-3</v>
      </c>
    </row>
    <row r="506" spans="1:24" ht="14.25" customHeight="1" x14ac:dyDescent="0.2">
      <c r="A506" s="5" t="s">
        <v>1915</v>
      </c>
      <c r="B506" s="3" t="s">
        <v>68</v>
      </c>
      <c r="C506" s="3" t="s">
        <v>29</v>
      </c>
      <c r="D506" s="3" t="s">
        <v>2369</v>
      </c>
      <c r="E506" s="3" t="s">
        <v>2365</v>
      </c>
      <c r="F506" s="3" t="s">
        <v>762</v>
      </c>
      <c r="G506" s="3" t="s">
        <v>41</v>
      </c>
      <c r="H506" s="3" t="s">
        <v>19</v>
      </c>
      <c r="I506" s="3">
        <v>13608</v>
      </c>
      <c r="J506" s="3">
        <v>2</v>
      </c>
      <c r="K506" s="3">
        <v>2714</v>
      </c>
      <c r="L506" s="3">
        <v>9332</v>
      </c>
      <c r="M506" s="3">
        <v>1</v>
      </c>
      <c r="N506" s="14">
        <v>1762.663235</v>
      </c>
      <c r="O506" s="7">
        <f t="shared" si="63"/>
        <v>1.4697236919459141E-2</v>
      </c>
      <c r="P506" s="14">
        <f t="shared" si="64"/>
        <v>881.33161749999999</v>
      </c>
      <c r="Q506" s="14">
        <f t="shared" si="65"/>
        <v>1762.663235</v>
      </c>
      <c r="R506" s="4">
        <f t="shared" si="66"/>
        <v>50</v>
      </c>
      <c r="S506" s="14">
        <f t="shared" si="67"/>
        <v>188.88375857265325</v>
      </c>
      <c r="T506" s="4">
        <f t="shared" si="68"/>
        <v>19.944150499706055</v>
      </c>
      <c r="U506" s="3">
        <f>LEN(A506) - LEN(SUBSTITUTE(A506,"&gt;","")) +1</f>
        <v>5</v>
      </c>
      <c r="V506" s="8">
        <f t="shared" si="69"/>
        <v>3.6743092298647854E-3</v>
      </c>
      <c r="W506" s="14">
        <f t="shared" si="70"/>
        <v>352.532647</v>
      </c>
      <c r="X506" s="4">
        <f t="shared" si="71"/>
        <v>4.1690427949100391E-4</v>
      </c>
    </row>
    <row r="507" spans="1:24" ht="14.25" customHeight="1" x14ac:dyDescent="0.2">
      <c r="A507" s="5" t="s">
        <v>1916</v>
      </c>
      <c r="B507" s="3" t="s">
        <v>14</v>
      </c>
      <c r="C507" s="3" t="s">
        <v>29</v>
      </c>
      <c r="D507" s="3" t="s">
        <v>2359</v>
      </c>
      <c r="E507" s="3" t="s">
        <v>2360</v>
      </c>
      <c r="F507" s="3" t="s">
        <v>764</v>
      </c>
      <c r="G507" s="3" t="s">
        <v>27</v>
      </c>
      <c r="H507" s="3" t="s">
        <v>19</v>
      </c>
      <c r="I507" s="3">
        <v>10779</v>
      </c>
      <c r="J507" s="3">
        <v>2</v>
      </c>
      <c r="K507" s="3">
        <v>6420</v>
      </c>
      <c r="L507" s="3">
        <v>10287</v>
      </c>
      <c r="M507" s="3">
        <v>1</v>
      </c>
      <c r="N507" s="14">
        <v>1759.704833</v>
      </c>
      <c r="O507" s="7">
        <f t="shared" si="63"/>
        <v>1.8554596901382316E-2</v>
      </c>
      <c r="P507" s="14">
        <f t="shared" si="64"/>
        <v>879.8524165</v>
      </c>
      <c r="Q507" s="14">
        <f t="shared" si="65"/>
        <v>1759.704833</v>
      </c>
      <c r="R507" s="4">
        <f t="shared" si="66"/>
        <v>50</v>
      </c>
      <c r="S507" s="14">
        <f t="shared" si="67"/>
        <v>171.06103169048313</v>
      </c>
      <c r="T507" s="4">
        <f t="shared" si="68"/>
        <v>59.560256053437243</v>
      </c>
      <c r="U507" s="3">
        <f>LEN(A507) - LEN(SUBSTITUTE(A507,"&gt;","")) +1</f>
        <v>3</v>
      </c>
      <c r="V507" s="8">
        <f t="shared" si="69"/>
        <v>4.6386492253455798E-3</v>
      </c>
      <c r="W507" s="14">
        <f t="shared" si="70"/>
        <v>586.56827766666663</v>
      </c>
      <c r="X507" s="4">
        <f t="shared" si="71"/>
        <v>5.2720764736861739E-4</v>
      </c>
    </row>
    <row r="508" spans="1:24" ht="14.25" customHeight="1" x14ac:dyDescent="0.2">
      <c r="A508" s="5" t="s">
        <v>1917</v>
      </c>
      <c r="B508" s="3" t="s">
        <v>68</v>
      </c>
      <c r="C508" s="3" t="s">
        <v>15</v>
      </c>
      <c r="D508" s="3" t="s">
        <v>2349</v>
      </c>
      <c r="E508" s="3" t="s">
        <v>2350</v>
      </c>
      <c r="F508" s="3" t="s">
        <v>597</v>
      </c>
      <c r="G508" s="3" t="s">
        <v>64</v>
      </c>
      <c r="H508" s="3" t="s">
        <v>19</v>
      </c>
      <c r="I508" s="3">
        <v>72117</v>
      </c>
      <c r="J508" s="3">
        <v>2</v>
      </c>
      <c r="K508" s="3">
        <v>9807</v>
      </c>
      <c r="L508" s="3">
        <v>68568</v>
      </c>
      <c r="M508" s="3">
        <v>16</v>
      </c>
      <c r="N508" s="14">
        <v>1702.3172059999999</v>
      </c>
      <c r="O508" s="7">
        <f t="shared" si="63"/>
        <v>2.773271212058183E-3</v>
      </c>
      <c r="P508" s="14">
        <f t="shared" si="64"/>
        <v>851.15860299999997</v>
      </c>
      <c r="Q508" s="14">
        <f t="shared" si="65"/>
        <v>106.394825375</v>
      </c>
      <c r="R508" s="4">
        <f t="shared" si="66"/>
        <v>800</v>
      </c>
      <c r="S508" s="14">
        <f t="shared" si="67"/>
        <v>24.826700589196125</v>
      </c>
      <c r="T508" s="4">
        <f t="shared" si="68"/>
        <v>13.598735388327302</v>
      </c>
      <c r="U508" s="3">
        <f>LEN(A508) - LEN(SUBSTITUTE(A508,"&gt;","")) +1</f>
        <v>4</v>
      </c>
      <c r="V508" s="8">
        <f t="shared" si="69"/>
        <v>1.1093084848232734E-2</v>
      </c>
      <c r="W508" s="14">
        <f t="shared" si="70"/>
        <v>425.57930149999999</v>
      </c>
      <c r="X508" s="4">
        <f t="shared" si="71"/>
        <v>2.0852677391280945E-2</v>
      </c>
    </row>
    <row r="509" spans="1:24" ht="14.25" customHeight="1" x14ac:dyDescent="0.2">
      <c r="A509" s="5" t="s">
        <v>1918</v>
      </c>
      <c r="B509" s="3" t="s">
        <v>14</v>
      </c>
      <c r="C509" s="3" t="s">
        <v>15</v>
      </c>
      <c r="D509" s="3" t="s">
        <v>2384</v>
      </c>
      <c r="E509" s="3" t="s">
        <v>2385</v>
      </c>
      <c r="F509" s="3" t="s">
        <v>767</v>
      </c>
      <c r="G509" s="3" t="s">
        <v>33</v>
      </c>
      <c r="H509" s="3" t="s">
        <v>19</v>
      </c>
      <c r="I509" s="3">
        <v>9078</v>
      </c>
      <c r="J509" s="3">
        <v>2</v>
      </c>
      <c r="K509" s="3">
        <v>4051</v>
      </c>
      <c r="L509" s="3">
        <v>6215</v>
      </c>
      <c r="M509" s="3">
        <v>1</v>
      </c>
      <c r="N509" s="14">
        <v>1700.795736</v>
      </c>
      <c r="O509" s="7">
        <f t="shared" si="63"/>
        <v>2.203128442388191E-2</v>
      </c>
      <c r="P509" s="14">
        <f t="shared" si="64"/>
        <v>850.39786800000002</v>
      </c>
      <c r="Q509" s="14">
        <f t="shared" si="65"/>
        <v>1700.795736</v>
      </c>
      <c r="R509" s="4">
        <f t="shared" si="66"/>
        <v>50</v>
      </c>
      <c r="S509" s="14">
        <f t="shared" si="67"/>
        <v>273.65981271118261</v>
      </c>
      <c r="T509" s="4">
        <f t="shared" si="68"/>
        <v>44.624366600572813</v>
      </c>
      <c r="U509" s="3">
        <f>LEN(A509) - LEN(SUBSTITUTE(A509,"&gt;","")) +1</f>
        <v>4</v>
      </c>
      <c r="V509" s="8">
        <f t="shared" si="69"/>
        <v>5.5078211059704785E-3</v>
      </c>
      <c r="W509" s="14">
        <f t="shared" si="70"/>
        <v>425.19893400000001</v>
      </c>
      <c r="X509" s="4">
        <f t="shared" si="71"/>
        <v>6.4767578956000831E-4</v>
      </c>
    </row>
    <row r="510" spans="1:24" ht="14.25" customHeight="1" x14ac:dyDescent="0.2">
      <c r="A510" s="5" t="s">
        <v>1919</v>
      </c>
      <c r="B510" s="3" t="s">
        <v>24</v>
      </c>
      <c r="C510" s="3" t="s">
        <v>15</v>
      </c>
      <c r="D510" s="3" t="s">
        <v>2353</v>
      </c>
      <c r="E510" s="3" t="s">
        <v>2354</v>
      </c>
      <c r="F510" s="3" t="s">
        <v>769</v>
      </c>
      <c r="G510" s="3" t="s">
        <v>18</v>
      </c>
      <c r="H510" s="3" t="s">
        <v>19</v>
      </c>
      <c r="I510" s="3">
        <v>11296</v>
      </c>
      <c r="J510" s="3">
        <v>2</v>
      </c>
      <c r="K510" s="3">
        <v>6822</v>
      </c>
      <c r="L510" s="3">
        <v>9274</v>
      </c>
      <c r="M510" s="3">
        <v>1</v>
      </c>
      <c r="N510" s="14">
        <v>1682.338499</v>
      </c>
      <c r="O510" s="7">
        <f t="shared" si="63"/>
        <v>1.7705382436260624E-2</v>
      </c>
      <c r="P510" s="14">
        <f t="shared" si="64"/>
        <v>841.16924949999998</v>
      </c>
      <c r="Q510" s="14">
        <f t="shared" si="65"/>
        <v>1682.338499</v>
      </c>
      <c r="R510" s="4">
        <f t="shared" si="66"/>
        <v>50</v>
      </c>
      <c r="S510" s="14">
        <f t="shared" si="67"/>
        <v>181.40376310114297</v>
      </c>
      <c r="T510" s="4">
        <f t="shared" si="68"/>
        <v>60.393059490084987</v>
      </c>
      <c r="U510" s="3">
        <f>LEN(A510) - LEN(SUBSTITUTE(A510,"&gt;","")) +1</f>
        <v>5</v>
      </c>
      <c r="V510" s="8">
        <f t="shared" si="69"/>
        <v>4.4263456090651559E-3</v>
      </c>
      <c r="W510" s="14">
        <f t="shared" si="70"/>
        <v>336.46769979999999</v>
      </c>
      <c r="X510" s="4">
        <f t="shared" si="71"/>
        <v>5.262134358449531E-4</v>
      </c>
    </row>
    <row r="511" spans="1:24" ht="14.25" customHeight="1" x14ac:dyDescent="0.2">
      <c r="A511" s="5" t="s">
        <v>1920</v>
      </c>
      <c r="B511" s="3" t="s">
        <v>14</v>
      </c>
      <c r="C511" s="3" t="s">
        <v>35</v>
      </c>
      <c r="D511" s="3" t="s">
        <v>2349</v>
      </c>
      <c r="E511" s="3" t="s">
        <v>2350</v>
      </c>
      <c r="F511" s="3" t="s">
        <v>159</v>
      </c>
      <c r="G511" s="3" t="s">
        <v>27</v>
      </c>
      <c r="H511" s="3" t="s">
        <v>19</v>
      </c>
      <c r="I511" s="3">
        <v>20899</v>
      </c>
      <c r="J511" s="3">
        <v>2</v>
      </c>
      <c r="K511" s="3">
        <v>11394</v>
      </c>
      <c r="L511" s="3">
        <v>19576</v>
      </c>
      <c r="M511" s="3">
        <v>19</v>
      </c>
      <c r="N511" s="14">
        <v>1649.459852</v>
      </c>
      <c r="O511" s="7">
        <f t="shared" si="63"/>
        <v>9.569835877314704E-3</v>
      </c>
      <c r="P511" s="14">
        <f t="shared" si="64"/>
        <v>824.72992599999998</v>
      </c>
      <c r="Q511" s="14">
        <f t="shared" si="65"/>
        <v>86.813676421052634</v>
      </c>
      <c r="R511" s="4">
        <f t="shared" si="66"/>
        <v>950</v>
      </c>
      <c r="S511" s="14">
        <f t="shared" si="67"/>
        <v>84.259289538210041</v>
      </c>
      <c r="T511" s="4">
        <f t="shared" si="68"/>
        <v>54.519354993061867</v>
      </c>
      <c r="U511" s="3">
        <f>LEN(A511) - LEN(SUBSTITUTE(A511,"&gt;","")) +1</f>
        <v>4</v>
      </c>
      <c r="V511" s="8">
        <f t="shared" si="69"/>
        <v>4.5456720417244842E-2</v>
      </c>
      <c r="W511" s="14">
        <f t="shared" si="70"/>
        <v>412.36496299999999</v>
      </c>
      <c r="X511" s="4">
        <f t="shared" si="71"/>
        <v>0.10472248680444414</v>
      </c>
    </row>
    <row r="512" spans="1:24" ht="14.25" customHeight="1" x14ac:dyDescent="0.2">
      <c r="A512" s="5" t="s">
        <v>1921</v>
      </c>
      <c r="B512" s="3" t="s">
        <v>68</v>
      </c>
      <c r="C512" s="3" t="s">
        <v>29</v>
      </c>
      <c r="D512" s="3" t="s">
        <v>2401</v>
      </c>
      <c r="E512" s="3" t="s">
        <v>2375</v>
      </c>
      <c r="F512" s="3" t="s">
        <v>772</v>
      </c>
      <c r="G512" s="3" t="s">
        <v>27</v>
      </c>
      <c r="H512" s="3" t="s">
        <v>19</v>
      </c>
      <c r="I512" s="3">
        <v>7394</v>
      </c>
      <c r="J512" s="3">
        <v>2</v>
      </c>
      <c r="K512" s="3">
        <v>3441</v>
      </c>
      <c r="L512" s="3">
        <v>6663</v>
      </c>
      <c r="M512" s="3">
        <v>1</v>
      </c>
      <c r="N512" s="14">
        <v>1624.840774</v>
      </c>
      <c r="O512" s="7">
        <f t="shared" si="63"/>
        <v>2.7048958615093318E-2</v>
      </c>
      <c r="P512" s="14">
        <f t="shared" si="64"/>
        <v>812.42038700000001</v>
      </c>
      <c r="Q512" s="14">
        <f t="shared" si="65"/>
        <v>1624.840774</v>
      </c>
      <c r="R512" s="4">
        <f t="shared" si="66"/>
        <v>50</v>
      </c>
      <c r="S512" s="14">
        <f t="shared" si="67"/>
        <v>243.86023923157737</v>
      </c>
      <c r="T512" s="4">
        <f t="shared" si="68"/>
        <v>46.537733297268055</v>
      </c>
      <c r="U512" s="3">
        <f>LEN(A512) - LEN(SUBSTITUTE(A512,"&gt;","")) +1</f>
        <v>3</v>
      </c>
      <c r="V512" s="8">
        <f t="shared" si="69"/>
        <v>6.7622396537733295E-3</v>
      </c>
      <c r="W512" s="14">
        <f t="shared" si="70"/>
        <v>541.61359133333337</v>
      </c>
      <c r="X512" s="4">
        <f t="shared" si="71"/>
        <v>8.3235720840832742E-4</v>
      </c>
    </row>
    <row r="513" spans="1:24" ht="14.25" customHeight="1" x14ac:dyDescent="0.2">
      <c r="A513" s="5" t="s">
        <v>1922</v>
      </c>
      <c r="B513" s="3" t="s">
        <v>24</v>
      </c>
      <c r="C513" s="3" t="s">
        <v>29</v>
      </c>
      <c r="D513" s="3" t="s">
        <v>2374</v>
      </c>
      <c r="E513" s="3" t="s">
        <v>2375</v>
      </c>
      <c r="F513" s="3" t="s">
        <v>159</v>
      </c>
      <c r="G513" s="3" t="s">
        <v>27</v>
      </c>
      <c r="H513" s="3" t="s">
        <v>114</v>
      </c>
      <c r="I513" s="3">
        <v>22800</v>
      </c>
      <c r="J513" s="3">
        <v>2</v>
      </c>
      <c r="K513" s="3">
        <v>8298</v>
      </c>
      <c r="L513" s="3">
        <v>21161</v>
      </c>
      <c r="M513" s="3">
        <v>24</v>
      </c>
      <c r="N513" s="14">
        <v>1620.1655000000001</v>
      </c>
      <c r="O513" s="7">
        <f t="shared" si="63"/>
        <v>8.771929824561403E-3</v>
      </c>
      <c r="P513" s="14">
        <f t="shared" si="64"/>
        <v>810.08275000000003</v>
      </c>
      <c r="Q513" s="14">
        <f t="shared" si="65"/>
        <v>67.506895833333331</v>
      </c>
      <c r="R513" s="4">
        <f t="shared" si="66"/>
        <v>1200</v>
      </c>
      <c r="S513" s="14">
        <f t="shared" si="67"/>
        <v>76.563749350219737</v>
      </c>
      <c r="T513" s="4">
        <f t="shared" si="68"/>
        <v>36.39473684210526</v>
      </c>
      <c r="U513" s="3">
        <f>LEN(A513) - LEN(SUBSTITUTE(A513,"&gt;","")) +1</f>
        <v>4</v>
      </c>
      <c r="V513" s="8">
        <f t="shared" si="69"/>
        <v>5.2631578947368418E-2</v>
      </c>
      <c r="W513" s="14">
        <f t="shared" si="70"/>
        <v>405.04137500000002</v>
      </c>
      <c r="X513" s="4">
        <f t="shared" si="71"/>
        <v>0.15592948926968783</v>
      </c>
    </row>
    <row r="514" spans="1:24" ht="14.25" customHeight="1" x14ac:dyDescent="0.2">
      <c r="A514" s="5" t="s">
        <v>774</v>
      </c>
      <c r="B514" s="3" t="s">
        <v>14</v>
      </c>
      <c r="C514" s="3" t="s">
        <v>15</v>
      </c>
      <c r="D514" s="3" t="s">
        <v>2349</v>
      </c>
      <c r="E514" s="3" t="s">
        <v>2350</v>
      </c>
      <c r="F514" s="3" t="s">
        <v>79</v>
      </c>
      <c r="G514" s="3" t="s">
        <v>27</v>
      </c>
      <c r="H514" s="3" t="s">
        <v>19</v>
      </c>
      <c r="I514" s="3">
        <v>78433</v>
      </c>
      <c r="J514" s="3">
        <v>2</v>
      </c>
      <c r="K514" s="3">
        <v>24067</v>
      </c>
      <c r="L514" s="3">
        <v>58308</v>
      </c>
      <c r="M514" s="3">
        <v>16</v>
      </c>
      <c r="N514" s="14">
        <v>1612.5493269999999</v>
      </c>
      <c r="O514" s="7">
        <f t="shared" si="63"/>
        <v>2.5499470885979115E-3</v>
      </c>
      <c r="P514" s="14">
        <f t="shared" si="64"/>
        <v>806.27466349999997</v>
      </c>
      <c r="Q514" s="14">
        <f t="shared" si="65"/>
        <v>100.7843329375</v>
      </c>
      <c r="R514" s="4">
        <f t="shared" si="66"/>
        <v>800</v>
      </c>
      <c r="S514" s="14">
        <f t="shared" si="67"/>
        <v>27.655713229745487</v>
      </c>
      <c r="T514" s="4">
        <f t="shared" si="68"/>
        <v>30.684788290642967</v>
      </c>
      <c r="U514" s="3">
        <f>LEN(A514) - LEN(SUBSTITUTE(A514,"&gt;","")) +1</f>
        <v>1</v>
      </c>
      <c r="V514" s="8">
        <f t="shared" si="69"/>
        <v>1.0199788354391646E-2</v>
      </c>
      <c r="W514" s="14">
        <f t="shared" si="70"/>
        <v>1612.5493269999999</v>
      </c>
      <c r="X514" s="4">
        <f t="shared" si="71"/>
        <v>2.0240821280658579E-2</v>
      </c>
    </row>
    <row r="515" spans="1:24" ht="14.25" customHeight="1" x14ac:dyDescent="0.2">
      <c r="A515" s="5" t="s">
        <v>1923</v>
      </c>
      <c r="B515" s="3" t="s">
        <v>14</v>
      </c>
      <c r="C515" s="3" t="s">
        <v>15</v>
      </c>
      <c r="D515" s="3" t="s">
        <v>2362</v>
      </c>
      <c r="E515" s="3" t="s">
        <v>2352</v>
      </c>
      <c r="F515" s="3" t="s">
        <v>772</v>
      </c>
      <c r="G515" s="3" t="s">
        <v>27</v>
      </c>
      <c r="H515" s="3" t="s">
        <v>19</v>
      </c>
      <c r="I515" s="3">
        <v>22259</v>
      </c>
      <c r="J515" s="3">
        <v>2</v>
      </c>
      <c r="K515" s="3">
        <v>12405</v>
      </c>
      <c r="L515" s="3">
        <v>17609</v>
      </c>
      <c r="M515" s="3">
        <v>14</v>
      </c>
      <c r="N515" s="14">
        <v>1611.340211</v>
      </c>
      <c r="O515" s="7">
        <f t="shared" ref="O515:O578" si="72">IFERROR((J515/I515)*100, 0)</f>
        <v>8.985129610494632E-3</v>
      </c>
      <c r="P515" s="14">
        <f t="shared" ref="P515:P578" si="73">IFERROR(N515/J515, 0)</f>
        <v>805.67010549999998</v>
      </c>
      <c r="Q515" s="14">
        <f t="shared" ref="Q515:Q578" si="74">IFERROR(N515/M515, 0)</f>
        <v>115.09572935714286</v>
      </c>
      <c r="R515" s="4">
        <f t="shared" ref="R515:R578" si="75">IFERROR((M515/J515)*100, 0)</f>
        <v>700</v>
      </c>
      <c r="S515" s="14">
        <f t="shared" ref="S515:S578" si="76">IFERROR((N515/L515)*1000, 0)</f>
        <v>91.506627917542161</v>
      </c>
      <c r="T515" s="4">
        <f t="shared" ref="T515:T578" si="77">(K515/I515)*100</f>
        <v>55.730266409092955</v>
      </c>
      <c r="U515" s="3">
        <f>LEN(A515) - LEN(SUBSTITUTE(A515,"&gt;","")) +1</f>
        <v>4</v>
      </c>
      <c r="V515" s="8">
        <f t="shared" ref="V515:V578" si="78">R515/I515</f>
        <v>3.144795363673121E-2</v>
      </c>
      <c r="W515" s="14">
        <f t="shared" ref="W515:W578" si="79">N515/U515</f>
        <v>402.83505274999999</v>
      </c>
      <c r="X515" s="4">
        <f t="shared" ref="X515:X578" si="80">(O515*R515/Q515)</f>
        <v>5.4646603852950948E-2</v>
      </c>
    </row>
    <row r="516" spans="1:24" ht="14.25" customHeight="1" x14ac:dyDescent="0.2">
      <c r="A516" s="5" t="s">
        <v>1924</v>
      </c>
      <c r="B516" s="3" t="s">
        <v>68</v>
      </c>
      <c r="C516" s="3" t="s">
        <v>32</v>
      </c>
      <c r="D516" s="3" t="s">
        <v>2357</v>
      </c>
      <c r="E516" s="3" t="s">
        <v>2358</v>
      </c>
      <c r="F516" s="3" t="s">
        <v>777</v>
      </c>
      <c r="G516" s="3" t="s">
        <v>27</v>
      </c>
      <c r="H516" s="3" t="s">
        <v>19</v>
      </c>
      <c r="I516" s="3">
        <v>20537</v>
      </c>
      <c r="J516" s="3">
        <v>2</v>
      </c>
      <c r="K516" s="3">
        <v>15587</v>
      </c>
      <c r="L516" s="3">
        <v>19288</v>
      </c>
      <c r="M516" s="3">
        <v>10</v>
      </c>
      <c r="N516" s="14">
        <v>1609.880674</v>
      </c>
      <c r="O516" s="7">
        <f t="shared" si="72"/>
        <v>9.7385207187028287E-3</v>
      </c>
      <c r="P516" s="14">
        <f t="shared" si="73"/>
        <v>804.940337</v>
      </c>
      <c r="Q516" s="14">
        <f t="shared" si="74"/>
        <v>160.98806740000001</v>
      </c>
      <c r="R516" s="4">
        <f t="shared" si="75"/>
        <v>500</v>
      </c>
      <c r="S516" s="14">
        <f t="shared" si="76"/>
        <v>83.465402011613435</v>
      </c>
      <c r="T516" s="4">
        <f t="shared" si="77"/>
        <v>75.897161221210496</v>
      </c>
      <c r="U516" s="3">
        <f>LEN(A516) - LEN(SUBSTITUTE(A516,"&gt;","")) +1</f>
        <v>4</v>
      </c>
      <c r="V516" s="8">
        <f t="shared" si="78"/>
        <v>2.4346301796757074E-2</v>
      </c>
      <c r="W516" s="14">
        <f t="shared" si="79"/>
        <v>402.4701685</v>
      </c>
      <c r="X516" s="4">
        <f t="shared" si="80"/>
        <v>3.0246094868963028E-2</v>
      </c>
    </row>
    <row r="517" spans="1:24" ht="14.25" customHeight="1" x14ac:dyDescent="0.2">
      <c r="A517" s="5" t="s">
        <v>1925</v>
      </c>
      <c r="B517" s="3" t="s">
        <v>14</v>
      </c>
      <c r="C517" s="3" t="s">
        <v>32</v>
      </c>
      <c r="D517" s="3" t="s">
        <v>2363</v>
      </c>
      <c r="E517" s="3" t="s">
        <v>2358</v>
      </c>
      <c r="F517" s="3" t="s">
        <v>779</v>
      </c>
      <c r="G517" s="3" t="s">
        <v>27</v>
      </c>
      <c r="H517" s="3" t="s">
        <v>19</v>
      </c>
      <c r="I517" s="3">
        <v>1293</v>
      </c>
      <c r="J517" s="3">
        <v>2</v>
      </c>
      <c r="K517" s="3">
        <v>951</v>
      </c>
      <c r="L517" s="3">
        <v>1162</v>
      </c>
      <c r="M517" s="3">
        <v>1</v>
      </c>
      <c r="N517" s="14">
        <v>1597.7823940000001</v>
      </c>
      <c r="O517" s="7">
        <f t="shared" si="72"/>
        <v>0.15467904098994587</v>
      </c>
      <c r="P517" s="14">
        <f t="shared" si="73"/>
        <v>798.89119700000003</v>
      </c>
      <c r="Q517" s="14">
        <f t="shared" si="74"/>
        <v>1597.7823940000001</v>
      </c>
      <c r="R517" s="4">
        <f t="shared" si="75"/>
        <v>50</v>
      </c>
      <c r="S517" s="14">
        <f t="shared" si="76"/>
        <v>1375.027877796902</v>
      </c>
      <c r="T517" s="4">
        <f t="shared" si="77"/>
        <v>73.549883990719252</v>
      </c>
      <c r="U517" s="3">
        <f>LEN(A517) - LEN(SUBSTITUTE(A517,"&gt;","")) +1</f>
        <v>2</v>
      </c>
      <c r="V517" s="8">
        <f t="shared" si="78"/>
        <v>3.8669760247486466E-2</v>
      </c>
      <c r="W517" s="14">
        <f t="shared" si="79"/>
        <v>798.89119700000003</v>
      </c>
      <c r="X517" s="4">
        <f t="shared" si="80"/>
        <v>4.840428883519975E-3</v>
      </c>
    </row>
    <row r="518" spans="1:24" ht="14.25" customHeight="1" x14ac:dyDescent="0.2">
      <c r="A518" s="5" t="s">
        <v>1926</v>
      </c>
      <c r="B518" s="3" t="s">
        <v>24</v>
      </c>
      <c r="C518" s="3" t="s">
        <v>15</v>
      </c>
      <c r="D518" s="3" t="s">
        <v>2357</v>
      </c>
      <c r="E518" s="3" t="s">
        <v>2358</v>
      </c>
      <c r="F518" s="3" t="s">
        <v>72</v>
      </c>
      <c r="G518" s="3" t="s">
        <v>22</v>
      </c>
      <c r="H518" s="3" t="s">
        <v>19</v>
      </c>
      <c r="I518" s="3">
        <v>77703</v>
      </c>
      <c r="J518" s="3">
        <v>2</v>
      </c>
      <c r="K518" s="3">
        <v>33478</v>
      </c>
      <c r="L518" s="3">
        <v>72874</v>
      </c>
      <c r="M518" s="3">
        <v>3</v>
      </c>
      <c r="N518" s="14">
        <v>1566.9124059999999</v>
      </c>
      <c r="O518" s="7">
        <f t="shared" si="72"/>
        <v>2.5739031955008171E-3</v>
      </c>
      <c r="P518" s="14">
        <f t="shared" si="73"/>
        <v>783.45620299999996</v>
      </c>
      <c r="Q518" s="14">
        <f t="shared" si="74"/>
        <v>522.30413533333331</v>
      </c>
      <c r="R518" s="4">
        <f t="shared" si="75"/>
        <v>150</v>
      </c>
      <c r="S518" s="14">
        <f t="shared" si="76"/>
        <v>21.501665971402694</v>
      </c>
      <c r="T518" s="4">
        <f t="shared" si="77"/>
        <v>43.084565589488179</v>
      </c>
      <c r="U518" s="3">
        <f>LEN(A518) - LEN(SUBSTITUTE(A518,"&gt;","")) +1</f>
        <v>5</v>
      </c>
      <c r="V518" s="8">
        <f t="shared" si="78"/>
        <v>1.930427396625613E-3</v>
      </c>
      <c r="W518" s="14">
        <f t="shared" si="79"/>
        <v>313.38248119999997</v>
      </c>
      <c r="X518" s="4">
        <f t="shared" si="80"/>
        <v>7.3919667336871399E-4</v>
      </c>
    </row>
    <row r="519" spans="1:24" ht="14.25" customHeight="1" x14ac:dyDescent="0.2">
      <c r="A519" s="5" t="s">
        <v>1927</v>
      </c>
      <c r="B519" s="3" t="s">
        <v>14</v>
      </c>
      <c r="C519" s="3" t="s">
        <v>29</v>
      </c>
      <c r="D519" s="3" t="s">
        <v>2366</v>
      </c>
      <c r="E519" s="3" t="s">
        <v>2352</v>
      </c>
      <c r="F519" s="3" t="s">
        <v>782</v>
      </c>
      <c r="G519" s="3" t="s">
        <v>287</v>
      </c>
      <c r="H519" s="3" t="s">
        <v>19</v>
      </c>
      <c r="I519" s="3">
        <v>7201</v>
      </c>
      <c r="J519" s="3">
        <v>2</v>
      </c>
      <c r="K519" s="3">
        <v>3116</v>
      </c>
      <c r="L519" s="3">
        <v>5788</v>
      </c>
      <c r="M519" s="3">
        <v>1</v>
      </c>
      <c r="N519" s="14">
        <v>1561.183147</v>
      </c>
      <c r="O519" s="7">
        <f t="shared" si="72"/>
        <v>2.7773920288848768E-2</v>
      </c>
      <c r="P519" s="14">
        <f t="shared" si="73"/>
        <v>780.59157349999998</v>
      </c>
      <c r="Q519" s="14">
        <f t="shared" si="74"/>
        <v>1561.183147</v>
      </c>
      <c r="R519" s="4">
        <f t="shared" si="75"/>
        <v>50</v>
      </c>
      <c r="S519" s="14">
        <f t="shared" si="76"/>
        <v>269.72756513476162</v>
      </c>
      <c r="T519" s="4">
        <f t="shared" si="77"/>
        <v>43.271767810026383</v>
      </c>
      <c r="U519" s="3">
        <f>LEN(A519) - LEN(SUBSTITUTE(A519,"&gt;","")) +1</f>
        <v>4</v>
      </c>
      <c r="V519" s="8">
        <f t="shared" si="78"/>
        <v>6.943480072212193E-3</v>
      </c>
      <c r="W519" s="14">
        <f t="shared" si="79"/>
        <v>390.29578674999999</v>
      </c>
      <c r="X519" s="4">
        <f t="shared" si="80"/>
        <v>8.89515120061976E-4</v>
      </c>
    </row>
    <row r="520" spans="1:24" ht="14.25" customHeight="1" x14ac:dyDescent="0.2">
      <c r="A520" s="5" t="s">
        <v>1928</v>
      </c>
      <c r="B520" s="3" t="s">
        <v>24</v>
      </c>
      <c r="C520" s="3" t="s">
        <v>32</v>
      </c>
      <c r="D520" s="3" t="s">
        <v>2357</v>
      </c>
      <c r="E520" s="3" t="s">
        <v>2358</v>
      </c>
      <c r="F520" s="3" t="s">
        <v>554</v>
      </c>
      <c r="G520" s="3" t="s">
        <v>41</v>
      </c>
      <c r="H520" s="3" t="s">
        <v>19</v>
      </c>
      <c r="I520" s="3">
        <v>67752</v>
      </c>
      <c r="J520" s="3">
        <v>2</v>
      </c>
      <c r="K520" s="3">
        <v>47126</v>
      </c>
      <c r="L520" s="3">
        <v>65080</v>
      </c>
      <c r="M520" s="3">
        <v>3</v>
      </c>
      <c r="N520" s="14">
        <v>1557.0157300000001</v>
      </c>
      <c r="O520" s="7">
        <f t="shared" si="72"/>
        <v>2.95194237808478E-3</v>
      </c>
      <c r="P520" s="14">
        <f t="shared" si="73"/>
        <v>778.50786500000004</v>
      </c>
      <c r="Q520" s="14">
        <f t="shared" si="74"/>
        <v>519.0052433333334</v>
      </c>
      <c r="R520" s="4">
        <f t="shared" si="75"/>
        <v>150</v>
      </c>
      <c r="S520" s="14">
        <f t="shared" si="76"/>
        <v>23.924642440073757</v>
      </c>
      <c r="T520" s="4">
        <f t="shared" si="77"/>
        <v>69.556618254811667</v>
      </c>
      <c r="U520" s="3">
        <f>LEN(A520) - LEN(SUBSTITUTE(A520,"&gt;","")) +1</f>
        <v>4</v>
      </c>
      <c r="V520" s="8">
        <f t="shared" si="78"/>
        <v>2.2139567835635847E-3</v>
      </c>
      <c r="W520" s="14">
        <f t="shared" si="79"/>
        <v>389.25393250000002</v>
      </c>
      <c r="X520" s="4">
        <f t="shared" si="80"/>
        <v>8.531539178079793E-4</v>
      </c>
    </row>
    <row r="521" spans="1:24" ht="14.25" customHeight="1" x14ac:dyDescent="0.2">
      <c r="A521" s="5" t="s">
        <v>1929</v>
      </c>
      <c r="B521" s="3" t="s">
        <v>24</v>
      </c>
      <c r="C521" s="3" t="s">
        <v>32</v>
      </c>
      <c r="D521" s="3" t="s">
        <v>2367</v>
      </c>
      <c r="E521" s="3" t="s">
        <v>2352</v>
      </c>
      <c r="F521" s="3" t="s">
        <v>785</v>
      </c>
      <c r="G521" s="3" t="s">
        <v>41</v>
      </c>
      <c r="H521" s="3" t="s">
        <v>19</v>
      </c>
      <c r="I521" s="3">
        <v>557</v>
      </c>
      <c r="J521" s="3">
        <v>2</v>
      </c>
      <c r="K521" s="3">
        <v>346</v>
      </c>
      <c r="L521" s="3">
        <v>533</v>
      </c>
      <c r="M521" s="3">
        <v>3</v>
      </c>
      <c r="N521" s="14">
        <v>1541.7017559999999</v>
      </c>
      <c r="O521" s="7">
        <f t="shared" si="72"/>
        <v>0.35906642728904847</v>
      </c>
      <c r="P521" s="14">
        <f t="shared" si="73"/>
        <v>770.85087799999997</v>
      </c>
      <c r="Q521" s="14">
        <f t="shared" si="74"/>
        <v>513.90058533333331</v>
      </c>
      <c r="R521" s="4">
        <f t="shared" si="75"/>
        <v>150</v>
      </c>
      <c r="S521" s="14">
        <f t="shared" si="76"/>
        <v>2892.4986041275797</v>
      </c>
      <c r="T521" s="4">
        <f t="shared" si="77"/>
        <v>62.118491921005379</v>
      </c>
      <c r="U521" s="3">
        <f>LEN(A521) - LEN(SUBSTITUTE(A521,"&gt;","")) +1</f>
        <v>5</v>
      </c>
      <c r="V521" s="8">
        <f t="shared" si="78"/>
        <v>0.26929982046678635</v>
      </c>
      <c r="W521" s="14">
        <f t="shared" si="79"/>
        <v>308.34035119999999</v>
      </c>
      <c r="X521" s="4">
        <f t="shared" si="80"/>
        <v>0.10480619331932045</v>
      </c>
    </row>
    <row r="522" spans="1:24" ht="14.25" customHeight="1" x14ac:dyDescent="0.2">
      <c r="A522" s="5" t="s">
        <v>1930</v>
      </c>
      <c r="B522" s="3" t="s">
        <v>14</v>
      </c>
      <c r="C522" s="3" t="s">
        <v>32</v>
      </c>
      <c r="D522" s="3" t="s">
        <v>2357</v>
      </c>
      <c r="E522" s="3" t="s">
        <v>2358</v>
      </c>
      <c r="F522" s="3" t="s">
        <v>787</v>
      </c>
      <c r="G522" s="3" t="s">
        <v>22</v>
      </c>
      <c r="H522" s="3" t="s">
        <v>19</v>
      </c>
      <c r="I522" s="3">
        <v>13779</v>
      </c>
      <c r="J522" s="3">
        <v>2</v>
      </c>
      <c r="K522" s="3">
        <v>3482</v>
      </c>
      <c r="L522" s="3">
        <v>12487</v>
      </c>
      <c r="M522" s="3">
        <v>1</v>
      </c>
      <c r="N522" s="14">
        <v>1530.041892</v>
      </c>
      <c r="O522" s="7">
        <f t="shared" si="72"/>
        <v>1.4514841425357429E-2</v>
      </c>
      <c r="P522" s="14">
        <f t="shared" si="73"/>
        <v>765.02094599999998</v>
      </c>
      <c r="Q522" s="14">
        <f t="shared" si="74"/>
        <v>1530.041892</v>
      </c>
      <c r="R522" s="4">
        <f t="shared" si="75"/>
        <v>50</v>
      </c>
      <c r="S522" s="14">
        <f t="shared" si="76"/>
        <v>122.5307833747097</v>
      </c>
      <c r="T522" s="4">
        <f t="shared" si="77"/>
        <v>25.270338921547282</v>
      </c>
      <c r="U522" s="3">
        <f>LEN(A522) - LEN(SUBSTITUTE(A522,"&gt;","")) +1</f>
        <v>3</v>
      </c>
      <c r="V522" s="8">
        <f t="shared" si="78"/>
        <v>3.6287103563393572E-3</v>
      </c>
      <c r="W522" s="14">
        <f t="shared" si="79"/>
        <v>510.01396399999999</v>
      </c>
      <c r="X522" s="4">
        <f t="shared" si="80"/>
        <v>4.7432823575779023E-4</v>
      </c>
    </row>
    <row r="523" spans="1:24" ht="14.25" customHeight="1" x14ac:dyDescent="0.2">
      <c r="A523" s="5" t="s">
        <v>1931</v>
      </c>
      <c r="B523" s="3" t="s">
        <v>14</v>
      </c>
      <c r="C523" s="3" t="s">
        <v>32</v>
      </c>
      <c r="D523" s="3" t="s">
        <v>2355</v>
      </c>
      <c r="E523" s="3" t="s">
        <v>2356</v>
      </c>
      <c r="F523" s="3" t="s">
        <v>57</v>
      </c>
      <c r="G523" s="3" t="s">
        <v>27</v>
      </c>
      <c r="H523" s="3" t="s">
        <v>19</v>
      </c>
      <c r="I523" s="3">
        <v>74516</v>
      </c>
      <c r="J523" s="3">
        <v>2</v>
      </c>
      <c r="K523" s="3">
        <v>23985</v>
      </c>
      <c r="L523" s="3">
        <v>63853</v>
      </c>
      <c r="M523" s="3">
        <v>24</v>
      </c>
      <c r="N523" s="14">
        <v>1523.783909</v>
      </c>
      <c r="O523" s="7">
        <f t="shared" si="72"/>
        <v>2.683987331579795E-3</v>
      </c>
      <c r="P523" s="14">
        <f t="shared" si="73"/>
        <v>761.8919545</v>
      </c>
      <c r="Q523" s="14">
        <f t="shared" si="74"/>
        <v>63.490996208333335</v>
      </c>
      <c r="R523" s="4">
        <f t="shared" si="75"/>
        <v>1200</v>
      </c>
      <c r="S523" s="14">
        <f t="shared" si="76"/>
        <v>23.863936056254207</v>
      </c>
      <c r="T523" s="4">
        <f t="shared" si="77"/>
        <v>32.187718073970686</v>
      </c>
      <c r="U523" s="3">
        <f>LEN(A523) - LEN(SUBSTITUTE(A523,"&gt;","")) +1</f>
        <v>4</v>
      </c>
      <c r="V523" s="8">
        <f t="shared" si="78"/>
        <v>1.6103923989478769E-2</v>
      </c>
      <c r="W523" s="14">
        <f t="shared" si="79"/>
        <v>380.94597725</v>
      </c>
      <c r="X523" s="4">
        <f t="shared" si="80"/>
        <v>5.0728213293856281E-2</v>
      </c>
    </row>
    <row r="524" spans="1:24" ht="14.25" customHeight="1" x14ac:dyDescent="0.2">
      <c r="A524" s="5" t="s">
        <v>1932</v>
      </c>
      <c r="B524" s="3" t="s">
        <v>24</v>
      </c>
      <c r="C524" s="3" t="s">
        <v>35</v>
      </c>
      <c r="D524" s="3" t="s">
        <v>2362</v>
      </c>
      <c r="E524" s="3" t="s">
        <v>2352</v>
      </c>
      <c r="F524" s="3" t="s">
        <v>790</v>
      </c>
      <c r="G524" s="3" t="s">
        <v>27</v>
      </c>
      <c r="H524" s="3" t="s">
        <v>114</v>
      </c>
      <c r="I524" s="3">
        <v>22501</v>
      </c>
      <c r="J524" s="3">
        <v>2</v>
      </c>
      <c r="K524" s="3">
        <v>13003</v>
      </c>
      <c r="L524" s="3">
        <v>21286</v>
      </c>
      <c r="M524" s="3">
        <v>1</v>
      </c>
      <c r="N524" s="14">
        <v>1522.517949</v>
      </c>
      <c r="O524" s="7">
        <f t="shared" si="72"/>
        <v>8.8884938447180133E-3</v>
      </c>
      <c r="P524" s="14">
        <f t="shared" si="73"/>
        <v>761.25897450000002</v>
      </c>
      <c r="Q524" s="14">
        <f t="shared" si="74"/>
        <v>1522.517949</v>
      </c>
      <c r="R524" s="4">
        <f t="shared" si="75"/>
        <v>50</v>
      </c>
      <c r="S524" s="14">
        <f t="shared" si="76"/>
        <v>71.526728788875317</v>
      </c>
      <c r="T524" s="4">
        <f t="shared" si="77"/>
        <v>57.788542731434156</v>
      </c>
      <c r="U524" s="3">
        <f>LEN(A524) - LEN(SUBSTITUTE(A524,"&gt;","")) +1</f>
        <v>3</v>
      </c>
      <c r="V524" s="8">
        <f t="shared" si="78"/>
        <v>2.2221234611795033E-3</v>
      </c>
      <c r="W524" s="14">
        <f t="shared" si="79"/>
        <v>507.50598300000001</v>
      </c>
      <c r="X524" s="4">
        <f t="shared" si="80"/>
        <v>2.9190111849111645E-4</v>
      </c>
    </row>
    <row r="525" spans="1:24" ht="14.25" customHeight="1" x14ac:dyDescent="0.2">
      <c r="A525" s="5" t="s">
        <v>1933</v>
      </c>
      <c r="B525" s="3" t="s">
        <v>68</v>
      </c>
      <c r="C525" s="3" t="s">
        <v>29</v>
      </c>
      <c r="D525" s="3" t="s">
        <v>2363</v>
      </c>
      <c r="E525" s="3" t="s">
        <v>2358</v>
      </c>
      <c r="F525" s="3" t="s">
        <v>250</v>
      </c>
      <c r="G525" s="3" t="s">
        <v>22</v>
      </c>
      <c r="H525" s="3" t="s">
        <v>19</v>
      </c>
      <c r="I525" s="3">
        <v>10819</v>
      </c>
      <c r="J525" s="3">
        <v>2</v>
      </c>
      <c r="K525" s="3">
        <v>4168</v>
      </c>
      <c r="L525" s="3">
        <v>9768</v>
      </c>
      <c r="M525" s="3">
        <v>1</v>
      </c>
      <c r="N525" s="14">
        <v>1504.3292140000001</v>
      </c>
      <c r="O525" s="7">
        <f t="shared" si="72"/>
        <v>1.8485996857380532E-2</v>
      </c>
      <c r="P525" s="14">
        <f t="shared" si="73"/>
        <v>752.16460700000005</v>
      </c>
      <c r="Q525" s="14">
        <f t="shared" si="74"/>
        <v>1504.3292140000001</v>
      </c>
      <c r="R525" s="4">
        <f t="shared" si="75"/>
        <v>50</v>
      </c>
      <c r="S525" s="14">
        <f t="shared" si="76"/>
        <v>154.0058572891073</v>
      </c>
      <c r="T525" s="4">
        <f t="shared" si="77"/>
        <v>38.524817450781036</v>
      </c>
      <c r="U525" s="3">
        <f>LEN(A525) - LEN(SUBSTITUTE(A525,"&gt;","")) +1</f>
        <v>4</v>
      </c>
      <c r="V525" s="8">
        <f t="shared" si="78"/>
        <v>4.6214992143451339E-3</v>
      </c>
      <c r="W525" s="14">
        <f t="shared" si="79"/>
        <v>376.08230350000002</v>
      </c>
      <c r="X525" s="4">
        <f t="shared" si="80"/>
        <v>6.1442657249959282E-4</v>
      </c>
    </row>
    <row r="526" spans="1:24" ht="14.25" customHeight="1" x14ac:dyDescent="0.2">
      <c r="A526" s="5" t="s">
        <v>1934</v>
      </c>
      <c r="B526" s="3" t="s">
        <v>24</v>
      </c>
      <c r="C526" s="3" t="s">
        <v>15</v>
      </c>
      <c r="D526" s="3" t="s">
        <v>2400</v>
      </c>
      <c r="E526" s="3" t="s">
        <v>2354</v>
      </c>
      <c r="F526" s="3" t="s">
        <v>772</v>
      </c>
      <c r="G526" s="3" t="s">
        <v>33</v>
      </c>
      <c r="H526" s="3" t="s">
        <v>114</v>
      </c>
      <c r="I526" s="3">
        <v>21143</v>
      </c>
      <c r="J526" s="3">
        <v>2</v>
      </c>
      <c r="K526" s="3">
        <v>3798</v>
      </c>
      <c r="L526" s="3">
        <v>19588</v>
      </c>
      <c r="M526" s="3">
        <v>2</v>
      </c>
      <c r="N526" s="14">
        <v>1500.41822</v>
      </c>
      <c r="O526" s="7">
        <f t="shared" si="72"/>
        <v>9.4593955446246984E-3</v>
      </c>
      <c r="P526" s="14">
        <f t="shared" si="73"/>
        <v>750.20911000000001</v>
      </c>
      <c r="Q526" s="14">
        <f t="shared" si="74"/>
        <v>750.20911000000001</v>
      </c>
      <c r="R526" s="4">
        <f t="shared" si="75"/>
        <v>100</v>
      </c>
      <c r="S526" s="14">
        <f t="shared" si="76"/>
        <v>76.598847253420459</v>
      </c>
      <c r="T526" s="4">
        <f t="shared" si="77"/>
        <v>17.963392139242302</v>
      </c>
      <c r="U526" s="3">
        <f>LEN(A526) - LEN(SUBSTITUTE(A526,"&gt;","")) +1</f>
        <v>3</v>
      </c>
      <c r="V526" s="8">
        <f t="shared" si="78"/>
        <v>4.7296977723123492E-3</v>
      </c>
      <c r="W526" s="14">
        <f t="shared" si="79"/>
        <v>500.13940666666667</v>
      </c>
      <c r="X526" s="4">
        <f t="shared" si="80"/>
        <v>1.2609011832213951E-3</v>
      </c>
    </row>
    <row r="527" spans="1:24" ht="14.25" customHeight="1" x14ac:dyDescent="0.2">
      <c r="A527" s="5" t="s">
        <v>1935</v>
      </c>
      <c r="B527" s="3" t="s">
        <v>24</v>
      </c>
      <c r="C527" s="3" t="s">
        <v>15</v>
      </c>
      <c r="D527" s="3" t="s">
        <v>2376</v>
      </c>
      <c r="E527" s="3" t="s">
        <v>2377</v>
      </c>
      <c r="F527" s="3" t="s">
        <v>546</v>
      </c>
      <c r="G527" s="3" t="s">
        <v>33</v>
      </c>
      <c r="H527" s="3" t="s">
        <v>19</v>
      </c>
      <c r="I527" s="3">
        <v>11062</v>
      </c>
      <c r="J527" s="3">
        <v>2</v>
      </c>
      <c r="K527" s="3">
        <v>6539</v>
      </c>
      <c r="L527" s="3">
        <v>9391</v>
      </c>
      <c r="M527" s="3">
        <v>1</v>
      </c>
      <c r="N527" s="14">
        <v>1500.09932</v>
      </c>
      <c r="O527" s="7">
        <f t="shared" si="72"/>
        <v>1.8079913216416561E-2</v>
      </c>
      <c r="P527" s="14">
        <f t="shared" si="73"/>
        <v>750.04966000000002</v>
      </c>
      <c r="Q527" s="14">
        <f t="shared" si="74"/>
        <v>1500.09932</v>
      </c>
      <c r="R527" s="4">
        <f t="shared" si="75"/>
        <v>50</v>
      </c>
      <c r="S527" s="14">
        <f t="shared" si="76"/>
        <v>159.73797465658609</v>
      </c>
      <c r="T527" s="4">
        <f t="shared" si="77"/>
        <v>59.112276261073951</v>
      </c>
      <c r="U527" s="3">
        <f>LEN(A527) - LEN(SUBSTITUTE(A527,"&gt;","")) +1</f>
        <v>6</v>
      </c>
      <c r="V527" s="8">
        <f t="shared" si="78"/>
        <v>4.5199783041041403E-3</v>
      </c>
      <c r="W527" s="14">
        <f t="shared" si="79"/>
        <v>250.01655333333335</v>
      </c>
      <c r="X527" s="4">
        <f t="shared" si="80"/>
        <v>6.0262387214523108E-4</v>
      </c>
    </row>
    <row r="528" spans="1:24" ht="14.25" customHeight="1" x14ac:dyDescent="0.2">
      <c r="A528" s="5" t="s">
        <v>1936</v>
      </c>
      <c r="B528" s="3" t="s">
        <v>24</v>
      </c>
      <c r="C528" s="3" t="s">
        <v>29</v>
      </c>
      <c r="D528" s="3" t="s">
        <v>2351</v>
      </c>
      <c r="E528" s="3" t="s">
        <v>2352</v>
      </c>
      <c r="F528" s="3" t="s">
        <v>149</v>
      </c>
      <c r="G528" s="3" t="s">
        <v>41</v>
      </c>
      <c r="H528" s="3" t="s">
        <v>114</v>
      </c>
      <c r="I528" s="3">
        <v>32173</v>
      </c>
      <c r="J528" s="3">
        <v>2</v>
      </c>
      <c r="K528" s="3">
        <v>24427</v>
      </c>
      <c r="L528" s="3">
        <v>30084</v>
      </c>
      <c r="M528" s="3">
        <v>11</v>
      </c>
      <c r="N528" s="14">
        <v>1498.2915399999999</v>
      </c>
      <c r="O528" s="7">
        <f t="shared" si="72"/>
        <v>6.2163926273583435E-3</v>
      </c>
      <c r="P528" s="14">
        <f t="shared" si="73"/>
        <v>749.14576999999997</v>
      </c>
      <c r="Q528" s="14">
        <f t="shared" si="74"/>
        <v>136.20832181818182</v>
      </c>
      <c r="R528" s="4">
        <f t="shared" si="75"/>
        <v>550</v>
      </c>
      <c r="S528" s="14">
        <f t="shared" si="76"/>
        <v>49.803601249833797</v>
      </c>
      <c r="T528" s="4">
        <f t="shared" si="77"/>
        <v>75.923911354241142</v>
      </c>
      <c r="U528" s="3">
        <f>LEN(A528) - LEN(SUBSTITUTE(A528,"&gt;","")) +1</f>
        <v>4</v>
      </c>
      <c r="V528" s="8">
        <f t="shared" si="78"/>
        <v>1.7095079725235447E-2</v>
      </c>
      <c r="W528" s="14">
        <f t="shared" si="79"/>
        <v>374.57288499999999</v>
      </c>
      <c r="X528" s="4">
        <f t="shared" si="80"/>
        <v>2.5101373391935442E-2</v>
      </c>
    </row>
    <row r="529" spans="1:24" ht="14.25" customHeight="1" x14ac:dyDescent="0.2">
      <c r="A529" s="5" t="s">
        <v>1937</v>
      </c>
      <c r="B529" s="3" t="s">
        <v>14</v>
      </c>
      <c r="C529" s="3" t="s">
        <v>15</v>
      </c>
      <c r="D529" s="3" t="s">
        <v>2369</v>
      </c>
      <c r="E529" s="3" t="s">
        <v>2365</v>
      </c>
      <c r="F529" s="3" t="s">
        <v>796</v>
      </c>
      <c r="G529" s="3" t="s">
        <v>33</v>
      </c>
      <c r="H529" s="3" t="s">
        <v>19</v>
      </c>
      <c r="I529" s="3">
        <v>13713</v>
      </c>
      <c r="J529" s="3">
        <v>2</v>
      </c>
      <c r="K529" s="3">
        <v>8339</v>
      </c>
      <c r="L529" s="3">
        <v>13051</v>
      </c>
      <c r="M529" s="3">
        <v>4</v>
      </c>
      <c r="N529" s="14">
        <v>1490.0061969999999</v>
      </c>
      <c r="O529" s="7">
        <f t="shared" si="72"/>
        <v>1.4584700649019179E-2</v>
      </c>
      <c r="P529" s="14">
        <f t="shared" si="73"/>
        <v>745.00309849999996</v>
      </c>
      <c r="Q529" s="14">
        <f t="shared" si="74"/>
        <v>372.50154924999998</v>
      </c>
      <c r="R529" s="4">
        <f t="shared" si="75"/>
        <v>200</v>
      </c>
      <c r="S529" s="14">
        <f t="shared" si="76"/>
        <v>114.16797157305952</v>
      </c>
      <c r="T529" s="4">
        <f t="shared" si="77"/>
        <v>60.81090935608546</v>
      </c>
      <c r="U529" s="3">
        <f>LEN(A529) - LEN(SUBSTITUTE(A529,"&gt;","")) +1</f>
        <v>3</v>
      </c>
      <c r="V529" s="8">
        <f t="shared" si="78"/>
        <v>1.4584700649019179E-2</v>
      </c>
      <c r="W529" s="14">
        <f t="shared" si="79"/>
        <v>496.66873233333331</v>
      </c>
      <c r="X529" s="4">
        <f t="shared" si="80"/>
        <v>7.8306791895949041E-3</v>
      </c>
    </row>
    <row r="530" spans="1:24" ht="14.25" customHeight="1" x14ac:dyDescent="0.2">
      <c r="A530" s="5" t="s">
        <v>1938</v>
      </c>
      <c r="B530" s="3" t="s">
        <v>14</v>
      </c>
      <c r="C530" s="3" t="s">
        <v>29</v>
      </c>
      <c r="D530" s="3" t="s">
        <v>2395</v>
      </c>
      <c r="E530" s="3" t="s">
        <v>2354</v>
      </c>
      <c r="F530" s="3" t="s">
        <v>798</v>
      </c>
      <c r="G530" s="3" t="s">
        <v>415</v>
      </c>
      <c r="H530" s="3" t="s">
        <v>19</v>
      </c>
      <c r="I530" s="3">
        <v>158</v>
      </c>
      <c r="J530" s="3">
        <v>2</v>
      </c>
      <c r="K530" s="3">
        <v>119</v>
      </c>
      <c r="L530" s="3">
        <v>147</v>
      </c>
      <c r="M530" s="3">
        <v>9</v>
      </c>
      <c r="N530" s="14">
        <v>1466.7293970000001</v>
      </c>
      <c r="O530" s="7">
        <f t="shared" si="72"/>
        <v>1.2658227848101267</v>
      </c>
      <c r="P530" s="14">
        <f t="shared" si="73"/>
        <v>733.36469850000003</v>
      </c>
      <c r="Q530" s="14">
        <f t="shared" si="74"/>
        <v>162.969933</v>
      </c>
      <c r="R530" s="4">
        <f t="shared" si="75"/>
        <v>450</v>
      </c>
      <c r="S530" s="14">
        <f t="shared" si="76"/>
        <v>9977.7510000000002</v>
      </c>
      <c r="T530" s="4">
        <f t="shared" si="77"/>
        <v>75.316455696202539</v>
      </c>
      <c r="U530" s="3">
        <f>LEN(A530) - LEN(SUBSTITUTE(A530,"&gt;","")) +1</f>
        <v>4</v>
      </c>
      <c r="V530" s="8">
        <f t="shared" si="78"/>
        <v>2.8481012658227849</v>
      </c>
      <c r="W530" s="14">
        <f t="shared" si="79"/>
        <v>366.68234925000002</v>
      </c>
      <c r="X530" s="4">
        <f t="shared" si="80"/>
        <v>3.4952475139359418</v>
      </c>
    </row>
    <row r="531" spans="1:24" ht="14.25" customHeight="1" x14ac:dyDescent="0.2">
      <c r="A531" s="5" t="s">
        <v>1939</v>
      </c>
      <c r="B531" s="3" t="s">
        <v>24</v>
      </c>
      <c r="C531" s="3" t="s">
        <v>29</v>
      </c>
      <c r="D531" s="3" t="s">
        <v>2349</v>
      </c>
      <c r="E531" s="3" t="s">
        <v>2350</v>
      </c>
      <c r="F531" s="3" t="s">
        <v>800</v>
      </c>
      <c r="G531" s="3" t="s">
        <v>27</v>
      </c>
      <c r="H531" s="3" t="s">
        <v>114</v>
      </c>
      <c r="I531" s="3">
        <v>145</v>
      </c>
      <c r="J531" s="3">
        <v>2</v>
      </c>
      <c r="K531" s="3">
        <v>81</v>
      </c>
      <c r="L531" s="3">
        <v>135</v>
      </c>
      <c r="M531" s="3">
        <v>2</v>
      </c>
      <c r="N531" s="14">
        <v>1458.9389659999999</v>
      </c>
      <c r="O531" s="7">
        <f t="shared" si="72"/>
        <v>1.3793103448275863</v>
      </c>
      <c r="P531" s="14">
        <f t="shared" si="73"/>
        <v>729.46948299999997</v>
      </c>
      <c r="Q531" s="14">
        <f t="shared" si="74"/>
        <v>729.46948299999997</v>
      </c>
      <c r="R531" s="4">
        <f t="shared" si="75"/>
        <v>100</v>
      </c>
      <c r="S531" s="14">
        <f t="shared" si="76"/>
        <v>10806.955303703702</v>
      </c>
      <c r="T531" s="4">
        <f t="shared" si="77"/>
        <v>55.862068965517238</v>
      </c>
      <c r="U531" s="3">
        <f>LEN(A531) - LEN(SUBSTITUTE(A531,"&gt;","")) +1</f>
        <v>4</v>
      </c>
      <c r="V531" s="8">
        <f t="shared" si="78"/>
        <v>0.68965517241379315</v>
      </c>
      <c r="W531" s="14">
        <f t="shared" si="79"/>
        <v>364.73474149999998</v>
      </c>
      <c r="X531" s="4">
        <f t="shared" si="80"/>
        <v>0.18908403668307897</v>
      </c>
    </row>
    <row r="532" spans="1:24" ht="14.25" customHeight="1" x14ac:dyDescent="0.2">
      <c r="A532" s="5" t="s">
        <v>1940</v>
      </c>
      <c r="B532" s="3" t="s">
        <v>14</v>
      </c>
      <c r="C532" s="3" t="s">
        <v>32</v>
      </c>
      <c r="D532" s="3" t="s">
        <v>2353</v>
      </c>
      <c r="E532" s="3" t="s">
        <v>2354</v>
      </c>
      <c r="F532" s="3" t="s">
        <v>802</v>
      </c>
      <c r="G532" s="3" t="s">
        <v>58</v>
      </c>
      <c r="H532" s="3" t="s">
        <v>19</v>
      </c>
      <c r="I532" s="3">
        <v>9920</v>
      </c>
      <c r="J532" s="3">
        <v>2</v>
      </c>
      <c r="K532" s="3">
        <v>6702</v>
      </c>
      <c r="L532" s="3">
        <v>9096</v>
      </c>
      <c r="M532" s="3">
        <v>10</v>
      </c>
      <c r="N532" s="14">
        <v>1453.11439</v>
      </c>
      <c r="O532" s="7">
        <f t="shared" si="72"/>
        <v>2.0161290322580645E-2</v>
      </c>
      <c r="P532" s="14">
        <f t="shared" si="73"/>
        <v>726.55719499999998</v>
      </c>
      <c r="Q532" s="14">
        <f t="shared" si="74"/>
        <v>145.31143900000001</v>
      </c>
      <c r="R532" s="4">
        <f t="shared" si="75"/>
        <v>500</v>
      </c>
      <c r="S532" s="14">
        <f t="shared" si="76"/>
        <v>159.75312115215479</v>
      </c>
      <c r="T532" s="4">
        <f t="shared" si="77"/>
        <v>67.560483870967744</v>
      </c>
      <c r="U532" s="3">
        <f>LEN(A532) - LEN(SUBSTITUTE(A532,"&gt;","")) +1</f>
        <v>3</v>
      </c>
      <c r="V532" s="8">
        <f t="shared" si="78"/>
        <v>5.040322580645161E-2</v>
      </c>
      <c r="W532" s="14">
        <f t="shared" si="79"/>
        <v>484.37146333333334</v>
      </c>
      <c r="X532" s="4">
        <f t="shared" si="80"/>
        <v>6.9372688280172637E-2</v>
      </c>
    </row>
    <row r="533" spans="1:24" ht="14.25" customHeight="1" x14ac:dyDescent="0.2">
      <c r="A533" s="5" t="s">
        <v>1941</v>
      </c>
      <c r="B533" s="3" t="s">
        <v>24</v>
      </c>
      <c r="C533" s="3" t="s">
        <v>35</v>
      </c>
      <c r="D533" s="3" t="s">
        <v>2357</v>
      </c>
      <c r="E533" s="3" t="s">
        <v>2358</v>
      </c>
      <c r="F533" s="3" t="s">
        <v>72</v>
      </c>
      <c r="G533" s="3" t="s">
        <v>41</v>
      </c>
      <c r="H533" s="3" t="s">
        <v>19</v>
      </c>
      <c r="I533" s="3">
        <v>13326</v>
      </c>
      <c r="J533" s="3">
        <v>2</v>
      </c>
      <c r="K533" s="3">
        <v>3568</v>
      </c>
      <c r="L533" s="3">
        <v>11388</v>
      </c>
      <c r="M533" s="3">
        <v>1</v>
      </c>
      <c r="N533" s="14">
        <v>1442.032183</v>
      </c>
      <c r="O533" s="7">
        <f t="shared" si="72"/>
        <v>1.5008254539996999E-2</v>
      </c>
      <c r="P533" s="14">
        <f t="shared" si="73"/>
        <v>721.01609150000002</v>
      </c>
      <c r="Q533" s="14">
        <f t="shared" si="74"/>
        <v>1442.032183</v>
      </c>
      <c r="R533" s="4">
        <f t="shared" si="75"/>
        <v>50</v>
      </c>
      <c r="S533" s="14">
        <f t="shared" si="76"/>
        <v>126.62734308043555</v>
      </c>
      <c r="T533" s="4">
        <f t="shared" si="77"/>
        <v>26.774726099354645</v>
      </c>
      <c r="U533" s="3">
        <f>LEN(A533) - LEN(SUBSTITUTE(A533,"&gt;","")) +1</f>
        <v>4</v>
      </c>
      <c r="V533" s="8">
        <f t="shared" si="78"/>
        <v>3.7520636349992497E-3</v>
      </c>
      <c r="W533" s="14">
        <f t="shared" si="79"/>
        <v>360.50804575000001</v>
      </c>
      <c r="X533" s="4">
        <f t="shared" si="80"/>
        <v>5.203855613254714E-4</v>
      </c>
    </row>
    <row r="534" spans="1:24" ht="14.25" customHeight="1" x14ac:dyDescent="0.2">
      <c r="A534" s="5" t="s">
        <v>1942</v>
      </c>
      <c r="B534" s="3" t="s">
        <v>24</v>
      </c>
      <c r="C534" s="3" t="s">
        <v>15</v>
      </c>
      <c r="D534" s="3" t="s">
        <v>2353</v>
      </c>
      <c r="E534" s="3" t="s">
        <v>2354</v>
      </c>
      <c r="F534" s="3" t="s">
        <v>805</v>
      </c>
      <c r="G534" s="3" t="s">
        <v>64</v>
      </c>
      <c r="H534" s="3" t="s">
        <v>19</v>
      </c>
      <c r="I534" s="3">
        <v>12710</v>
      </c>
      <c r="J534" s="3">
        <v>1</v>
      </c>
      <c r="K534" s="3">
        <v>8159</v>
      </c>
      <c r="L534" s="3">
        <v>11984</v>
      </c>
      <c r="M534" s="3">
        <v>11</v>
      </c>
      <c r="N534" s="14">
        <v>7851.3974779999999</v>
      </c>
      <c r="O534" s="7">
        <f t="shared" si="72"/>
        <v>7.8678206136900079E-3</v>
      </c>
      <c r="P534" s="14">
        <f t="shared" si="73"/>
        <v>7851.3974779999999</v>
      </c>
      <c r="Q534" s="14">
        <f t="shared" si="74"/>
        <v>713.76340709090903</v>
      </c>
      <c r="R534" s="4">
        <f t="shared" si="75"/>
        <v>1100</v>
      </c>
      <c r="S534" s="14">
        <f t="shared" si="76"/>
        <v>655.1566653871829</v>
      </c>
      <c r="T534" s="4">
        <f t="shared" si="77"/>
        <v>64.193548387096783</v>
      </c>
      <c r="U534" s="3">
        <f>LEN(A534) - LEN(SUBSTITUTE(A534,"&gt;","")) +1</f>
        <v>5</v>
      </c>
      <c r="V534" s="8">
        <f t="shared" si="78"/>
        <v>8.6546026750590088E-2</v>
      </c>
      <c r="W534" s="14">
        <f t="shared" si="79"/>
        <v>1570.2794956</v>
      </c>
      <c r="X534" s="4">
        <f t="shared" si="80"/>
        <v>1.2125310136495563E-2</v>
      </c>
    </row>
    <row r="535" spans="1:24" ht="14.25" customHeight="1" x14ac:dyDescent="0.2">
      <c r="A535" s="5" t="s">
        <v>806</v>
      </c>
      <c r="B535" s="3" t="s">
        <v>24</v>
      </c>
      <c r="C535" s="3" t="s">
        <v>15</v>
      </c>
      <c r="D535" s="3" t="s">
        <v>2349</v>
      </c>
      <c r="E535" s="3" t="s">
        <v>2350</v>
      </c>
      <c r="F535" s="3" t="s">
        <v>459</v>
      </c>
      <c r="G535" s="3" t="s">
        <v>41</v>
      </c>
      <c r="H535" s="3" t="s">
        <v>19</v>
      </c>
      <c r="I535" s="3">
        <v>9362</v>
      </c>
      <c r="J535" s="3">
        <v>1</v>
      </c>
      <c r="K535" s="3">
        <v>5202</v>
      </c>
      <c r="L535" s="3">
        <v>8928</v>
      </c>
      <c r="M535" s="3">
        <v>1</v>
      </c>
      <c r="N535" s="14">
        <v>7312.492757</v>
      </c>
      <c r="O535" s="7">
        <f t="shared" si="72"/>
        <v>1.0681478316599017E-2</v>
      </c>
      <c r="P535" s="14">
        <f t="shared" si="73"/>
        <v>7312.492757</v>
      </c>
      <c r="Q535" s="14">
        <f t="shared" si="74"/>
        <v>7312.492757</v>
      </c>
      <c r="R535" s="4">
        <f t="shared" si="75"/>
        <v>100</v>
      </c>
      <c r="S535" s="14">
        <f t="shared" si="76"/>
        <v>819.05160808691755</v>
      </c>
      <c r="T535" s="4">
        <f t="shared" si="77"/>
        <v>55.565050202948086</v>
      </c>
      <c r="U535" s="3">
        <f>LEN(A535) - LEN(SUBSTITUTE(A535,"&gt;","")) +1</f>
        <v>4</v>
      </c>
      <c r="V535" s="8">
        <f t="shared" si="78"/>
        <v>1.0681478316599017E-2</v>
      </c>
      <c r="W535" s="14">
        <f t="shared" si="79"/>
        <v>1828.12318925</v>
      </c>
      <c r="X535" s="4">
        <f t="shared" si="80"/>
        <v>1.4607164302999143E-4</v>
      </c>
    </row>
    <row r="536" spans="1:24" ht="14.25" customHeight="1" x14ac:dyDescent="0.2">
      <c r="A536" s="5" t="s">
        <v>1943</v>
      </c>
      <c r="B536" s="3" t="s">
        <v>14</v>
      </c>
      <c r="C536" s="3" t="s">
        <v>35</v>
      </c>
      <c r="D536" s="3" t="s">
        <v>2351</v>
      </c>
      <c r="E536" s="3" t="s">
        <v>2352</v>
      </c>
      <c r="F536" s="3" t="s">
        <v>585</v>
      </c>
      <c r="G536" s="3" t="s">
        <v>27</v>
      </c>
      <c r="H536" s="3" t="s">
        <v>19</v>
      </c>
      <c r="I536" s="3">
        <v>2366</v>
      </c>
      <c r="J536" s="3">
        <v>1</v>
      </c>
      <c r="K536" s="3">
        <v>1648</v>
      </c>
      <c r="L536" s="3">
        <v>2207</v>
      </c>
      <c r="M536" s="3">
        <v>2</v>
      </c>
      <c r="N536" s="14">
        <v>7079.5175380000001</v>
      </c>
      <c r="O536" s="7">
        <f t="shared" si="72"/>
        <v>4.2265426880811495E-2</v>
      </c>
      <c r="P536" s="14">
        <f t="shared" si="73"/>
        <v>7079.5175380000001</v>
      </c>
      <c r="Q536" s="14">
        <f t="shared" si="74"/>
        <v>3539.758769</v>
      </c>
      <c r="R536" s="4">
        <f t="shared" si="75"/>
        <v>200</v>
      </c>
      <c r="S536" s="14">
        <f t="shared" si="76"/>
        <v>3207.7560208427731</v>
      </c>
      <c r="T536" s="4">
        <f t="shared" si="77"/>
        <v>69.653423499577343</v>
      </c>
      <c r="U536" s="3">
        <f>LEN(A536) - LEN(SUBSTITUTE(A536,"&gt;","")) +1</f>
        <v>5</v>
      </c>
      <c r="V536" s="8">
        <f t="shared" si="78"/>
        <v>8.453085376162299E-2</v>
      </c>
      <c r="W536" s="14">
        <f t="shared" si="79"/>
        <v>1415.9035076</v>
      </c>
      <c r="X536" s="4">
        <f t="shared" si="80"/>
        <v>2.3880399563358775E-3</v>
      </c>
    </row>
    <row r="537" spans="1:24" ht="14.25" customHeight="1" x14ac:dyDescent="0.2">
      <c r="A537" s="5" t="s">
        <v>808</v>
      </c>
      <c r="B537" s="3" t="s">
        <v>14</v>
      </c>
      <c r="C537" s="3" t="s">
        <v>15</v>
      </c>
      <c r="D537" s="3" t="s">
        <v>2362</v>
      </c>
      <c r="E537" s="3" t="s">
        <v>2352</v>
      </c>
      <c r="F537" s="3" t="s">
        <v>809</v>
      </c>
      <c r="G537" s="3" t="s">
        <v>33</v>
      </c>
      <c r="H537" s="3" t="s">
        <v>19</v>
      </c>
      <c r="I537" s="3">
        <v>14553</v>
      </c>
      <c r="J537" s="3">
        <v>1</v>
      </c>
      <c r="K537" s="3">
        <v>6119</v>
      </c>
      <c r="L537" s="3">
        <v>12505</v>
      </c>
      <c r="M537" s="3">
        <v>1</v>
      </c>
      <c r="N537" s="14">
        <v>6968.00047</v>
      </c>
      <c r="O537" s="7">
        <f t="shared" si="72"/>
        <v>6.8714354428640141E-3</v>
      </c>
      <c r="P537" s="14">
        <f t="shared" si="73"/>
        <v>6968.00047</v>
      </c>
      <c r="Q537" s="14">
        <f t="shared" si="74"/>
        <v>6968.00047</v>
      </c>
      <c r="R537" s="4">
        <f t="shared" si="75"/>
        <v>100</v>
      </c>
      <c r="S537" s="14">
        <f t="shared" si="76"/>
        <v>557.21715073970415</v>
      </c>
      <c r="T537" s="4">
        <f t="shared" si="77"/>
        <v>42.046313474884904</v>
      </c>
      <c r="U537" s="3">
        <f>LEN(A537) - LEN(SUBSTITUTE(A537,"&gt;","")) +1</f>
        <v>4</v>
      </c>
      <c r="V537" s="8">
        <f t="shared" si="78"/>
        <v>6.8714354428640141E-3</v>
      </c>
      <c r="W537" s="14">
        <f t="shared" si="79"/>
        <v>1742.0001175</v>
      </c>
      <c r="X537" s="4">
        <f t="shared" si="80"/>
        <v>9.8614164457196343E-5</v>
      </c>
    </row>
    <row r="538" spans="1:24" ht="14.25" customHeight="1" x14ac:dyDescent="0.2">
      <c r="A538" s="5" t="s">
        <v>810</v>
      </c>
      <c r="B538" s="3" t="s">
        <v>14</v>
      </c>
      <c r="C538" s="3" t="s">
        <v>32</v>
      </c>
      <c r="D538" s="3" t="s">
        <v>2359</v>
      </c>
      <c r="E538" s="3" t="s">
        <v>2360</v>
      </c>
      <c r="F538" s="3" t="s">
        <v>159</v>
      </c>
      <c r="G538" s="3" t="s">
        <v>27</v>
      </c>
      <c r="H538" s="3" t="s">
        <v>19</v>
      </c>
      <c r="I538" s="3">
        <v>15326</v>
      </c>
      <c r="J538" s="3">
        <v>1</v>
      </c>
      <c r="K538" s="3">
        <v>7941</v>
      </c>
      <c r="L538" s="3">
        <v>14331</v>
      </c>
      <c r="M538" s="3">
        <v>8</v>
      </c>
      <c r="N538" s="14">
        <v>6943.5158240000001</v>
      </c>
      <c r="O538" s="7">
        <f t="shared" si="72"/>
        <v>6.524859715516116E-3</v>
      </c>
      <c r="P538" s="14">
        <f t="shared" si="73"/>
        <v>6943.5158240000001</v>
      </c>
      <c r="Q538" s="14">
        <f t="shared" si="74"/>
        <v>867.93947800000001</v>
      </c>
      <c r="R538" s="4">
        <f t="shared" si="75"/>
        <v>800</v>
      </c>
      <c r="S538" s="14">
        <f t="shared" si="76"/>
        <v>484.5102103133068</v>
      </c>
      <c r="T538" s="4">
        <f t="shared" si="77"/>
        <v>51.813911000913478</v>
      </c>
      <c r="U538" s="3">
        <f>LEN(A538) - LEN(SUBSTITUTE(A538,"&gt;","")) +1</f>
        <v>4</v>
      </c>
      <c r="V538" s="8">
        <f t="shared" si="78"/>
        <v>5.2198877724128928E-2</v>
      </c>
      <c r="W538" s="14">
        <f t="shared" si="79"/>
        <v>1735.878956</v>
      </c>
      <c r="X538" s="4">
        <f t="shared" si="80"/>
        <v>6.0141149293509756E-3</v>
      </c>
    </row>
    <row r="539" spans="1:24" ht="14.25" customHeight="1" x14ac:dyDescent="0.2">
      <c r="A539" s="5" t="s">
        <v>811</v>
      </c>
      <c r="B539" s="3" t="s">
        <v>24</v>
      </c>
      <c r="C539" s="3" t="s">
        <v>15</v>
      </c>
      <c r="D539" s="3" t="s">
        <v>2357</v>
      </c>
      <c r="E539" s="3" t="s">
        <v>2358</v>
      </c>
      <c r="F539" s="3" t="s">
        <v>597</v>
      </c>
      <c r="G539" s="3" t="s">
        <v>64</v>
      </c>
      <c r="H539" s="3" t="s">
        <v>19</v>
      </c>
      <c r="I539" s="3">
        <v>11607</v>
      </c>
      <c r="J539" s="3">
        <v>1</v>
      </c>
      <c r="K539" s="3">
        <v>5218</v>
      </c>
      <c r="L539" s="3">
        <v>10763</v>
      </c>
      <c r="M539" s="3">
        <v>1</v>
      </c>
      <c r="N539" s="14">
        <v>6909.7323180000003</v>
      </c>
      <c r="O539" s="7">
        <f t="shared" si="72"/>
        <v>8.6154906521926436E-3</v>
      </c>
      <c r="P539" s="14">
        <f t="shared" si="73"/>
        <v>6909.7323180000003</v>
      </c>
      <c r="Q539" s="14">
        <f t="shared" si="74"/>
        <v>6909.7323180000003</v>
      </c>
      <c r="R539" s="4">
        <f t="shared" si="75"/>
        <v>100</v>
      </c>
      <c r="S539" s="14">
        <f t="shared" si="76"/>
        <v>641.98943770324252</v>
      </c>
      <c r="T539" s="4">
        <f t="shared" si="77"/>
        <v>44.955630223141206</v>
      </c>
      <c r="U539" s="3">
        <f>LEN(A539) - LEN(SUBSTITUTE(A539,"&gt;","")) +1</f>
        <v>4</v>
      </c>
      <c r="V539" s="8">
        <f t="shared" si="78"/>
        <v>8.6154906521926419E-3</v>
      </c>
      <c r="W539" s="14">
        <f t="shared" si="79"/>
        <v>1727.4330795000001</v>
      </c>
      <c r="X539" s="4">
        <f t="shared" si="80"/>
        <v>1.2468631570211635E-4</v>
      </c>
    </row>
    <row r="540" spans="1:24" ht="14.25" customHeight="1" x14ac:dyDescent="0.2">
      <c r="A540" s="5" t="s">
        <v>1944</v>
      </c>
      <c r="B540" s="3" t="s">
        <v>24</v>
      </c>
      <c r="C540" s="3" t="s">
        <v>15</v>
      </c>
      <c r="D540" s="3" t="s">
        <v>2359</v>
      </c>
      <c r="E540" s="3" t="s">
        <v>2360</v>
      </c>
      <c r="F540" s="3" t="s">
        <v>769</v>
      </c>
      <c r="G540" s="3" t="s">
        <v>323</v>
      </c>
      <c r="H540" s="3" t="s">
        <v>163</v>
      </c>
      <c r="I540" s="3">
        <v>10066</v>
      </c>
      <c r="J540" s="3">
        <v>1</v>
      </c>
      <c r="K540" s="3">
        <v>6978</v>
      </c>
      <c r="L540" s="3">
        <v>9369</v>
      </c>
      <c r="M540" s="3">
        <v>19</v>
      </c>
      <c r="N540" s="14">
        <v>6879.5870969999996</v>
      </c>
      <c r="O540" s="7">
        <f t="shared" si="72"/>
        <v>9.9344327438903243E-3</v>
      </c>
      <c r="P540" s="14">
        <f t="shared" si="73"/>
        <v>6879.5870969999996</v>
      </c>
      <c r="Q540" s="14">
        <f t="shared" si="74"/>
        <v>362.08353142105261</v>
      </c>
      <c r="R540" s="4">
        <f t="shared" si="75"/>
        <v>1900</v>
      </c>
      <c r="S540" s="14">
        <f t="shared" si="76"/>
        <v>734.29257092539228</v>
      </c>
      <c r="T540" s="4">
        <f t="shared" si="77"/>
        <v>69.322471686866677</v>
      </c>
      <c r="U540" s="3">
        <f>LEN(A540) - LEN(SUBSTITUTE(A540,"&gt;","")) +1</f>
        <v>5</v>
      </c>
      <c r="V540" s="8">
        <f t="shared" si="78"/>
        <v>0.18875422213391616</v>
      </c>
      <c r="W540" s="14">
        <f t="shared" si="79"/>
        <v>1375.9174194</v>
      </c>
      <c r="X540" s="4">
        <f t="shared" si="80"/>
        <v>5.2130021322185277E-2</v>
      </c>
    </row>
    <row r="541" spans="1:24" ht="14.25" customHeight="1" x14ac:dyDescent="0.2">
      <c r="A541" s="5" t="s">
        <v>813</v>
      </c>
      <c r="B541" s="3" t="s">
        <v>14</v>
      </c>
      <c r="C541" s="3" t="s">
        <v>29</v>
      </c>
      <c r="D541" s="3" t="s">
        <v>2353</v>
      </c>
      <c r="E541" s="3" t="s">
        <v>2354</v>
      </c>
      <c r="F541" s="3" t="s">
        <v>814</v>
      </c>
      <c r="G541" s="3" t="s">
        <v>58</v>
      </c>
      <c r="H541" s="3" t="s">
        <v>19</v>
      </c>
      <c r="I541" s="3">
        <v>9867</v>
      </c>
      <c r="J541" s="3">
        <v>1</v>
      </c>
      <c r="K541" s="3">
        <v>6867</v>
      </c>
      <c r="L541" s="3">
        <v>9347</v>
      </c>
      <c r="M541" s="3">
        <v>18</v>
      </c>
      <c r="N541" s="14">
        <v>6839.5690860000004</v>
      </c>
      <c r="O541" s="7">
        <f t="shared" si="72"/>
        <v>1.0134792743488396E-2</v>
      </c>
      <c r="P541" s="14">
        <f t="shared" si="73"/>
        <v>6839.5690860000004</v>
      </c>
      <c r="Q541" s="14">
        <f t="shared" si="74"/>
        <v>379.97606033333335</v>
      </c>
      <c r="R541" s="4">
        <f t="shared" si="75"/>
        <v>1800</v>
      </c>
      <c r="S541" s="14">
        <f t="shared" si="76"/>
        <v>731.73949780678288</v>
      </c>
      <c r="T541" s="4">
        <f t="shared" si="77"/>
        <v>69.595621769534816</v>
      </c>
      <c r="U541" s="3">
        <f>LEN(A541) - LEN(SUBSTITUTE(A541,"&gt;","")) +1</f>
        <v>4</v>
      </c>
      <c r="V541" s="8">
        <f t="shared" si="78"/>
        <v>0.18242626938279113</v>
      </c>
      <c r="W541" s="14">
        <f t="shared" si="79"/>
        <v>1709.8922715000001</v>
      </c>
      <c r="X541" s="4">
        <f t="shared" si="80"/>
        <v>4.8009937579424872E-2</v>
      </c>
    </row>
    <row r="542" spans="1:24" ht="14.25" customHeight="1" x14ac:dyDescent="0.2">
      <c r="A542" s="5" t="s">
        <v>815</v>
      </c>
      <c r="B542" s="3" t="s">
        <v>14</v>
      </c>
      <c r="C542" s="3" t="s">
        <v>29</v>
      </c>
      <c r="D542" s="3" t="s">
        <v>2363</v>
      </c>
      <c r="E542" s="3" t="s">
        <v>2358</v>
      </c>
      <c r="F542" s="3" t="s">
        <v>684</v>
      </c>
      <c r="G542" s="3" t="s">
        <v>27</v>
      </c>
      <c r="H542" s="3" t="s">
        <v>19</v>
      </c>
      <c r="I542" s="3">
        <v>11511</v>
      </c>
      <c r="J542" s="3">
        <v>1</v>
      </c>
      <c r="K542" s="3">
        <v>8268</v>
      </c>
      <c r="L542" s="3">
        <v>11042</v>
      </c>
      <c r="M542" s="3">
        <v>1</v>
      </c>
      <c r="N542" s="14">
        <v>6815.7123250000004</v>
      </c>
      <c r="O542" s="7">
        <f t="shared" si="72"/>
        <v>8.6873425419164273E-3</v>
      </c>
      <c r="P542" s="14">
        <f t="shared" si="73"/>
        <v>6815.7123250000004</v>
      </c>
      <c r="Q542" s="14">
        <f t="shared" si="74"/>
        <v>6815.7123250000004</v>
      </c>
      <c r="R542" s="4">
        <f t="shared" si="75"/>
        <v>100</v>
      </c>
      <c r="S542" s="14">
        <f t="shared" si="76"/>
        <v>617.25342555696443</v>
      </c>
      <c r="T542" s="4">
        <f t="shared" si="77"/>
        <v>71.826948136565022</v>
      </c>
      <c r="U542" s="3">
        <f>LEN(A542) - LEN(SUBSTITUTE(A542,"&gt;","")) +1</f>
        <v>4</v>
      </c>
      <c r="V542" s="8">
        <f t="shared" si="78"/>
        <v>8.6873425419164273E-3</v>
      </c>
      <c r="W542" s="14">
        <f t="shared" si="79"/>
        <v>1703.9280812500001</v>
      </c>
      <c r="X542" s="4">
        <f t="shared" si="80"/>
        <v>1.2746052250549509E-4</v>
      </c>
    </row>
    <row r="543" spans="1:24" ht="14.25" customHeight="1" x14ac:dyDescent="0.2">
      <c r="A543" s="5" t="s">
        <v>816</v>
      </c>
      <c r="B543" s="3" t="s">
        <v>24</v>
      </c>
      <c r="C543" s="3" t="s">
        <v>15</v>
      </c>
      <c r="D543" s="3" t="s">
        <v>2357</v>
      </c>
      <c r="E543" s="3" t="s">
        <v>2358</v>
      </c>
      <c r="F543" s="3" t="s">
        <v>762</v>
      </c>
      <c r="G543" s="3" t="s">
        <v>38</v>
      </c>
      <c r="H543" s="3" t="s">
        <v>19</v>
      </c>
      <c r="I543" s="3">
        <v>7151</v>
      </c>
      <c r="J543" s="3">
        <v>1</v>
      </c>
      <c r="K543" s="3">
        <v>3359</v>
      </c>
      <c r="L543" s="3">
        <v>6108</v>
      </c>
      <c r="M543" s="3">
        <v>1</v>
      </c>
      <c r="N543" s="14">
        <v>6806.266799</v>
      </c>
      <c r="O543" s="7">
        <f t="shared" si="72"/>
        <v>1.3984058173682003E-2</v>
      </c>
      <c r="P543" s="14">
        <f t="shared" si="73"/>
        <v>6806.266799</v>
      </c>
      <c r="Q543" s="14">
        <f t="shared" si="74"/>
        <v>6806.266799</v>
      </c>
      <c r="R543" s="4">
        <f t="shared" si="75"/>
        <v>100</v>
      </c>
      <c r="S543" s="14">
        <f t="shared" si="76"/>
        <v>1114.3200391290111</v>
      </c>
      <c r="T543" s="4">
        <f t="shared" si="77"/>
        <v>46.972451405397848</v>
      </c>
      <c r="U543" s="3">
        <f>LEN(A543) - LEN(SUBSTITUTE(A543,"&gt;","")) +1</f>
        <v>4</v>
      </c>
      <c r="V543" s="8">
        <f t="shared" si="78"/>
        <v>1.3984058173682002E-2</v>
      </c>
      <c r="W543" s="14">
        <f t="shared" si="79"/>
        <v>1701.56669975</v>
      </c>
      <c r="X543" s="4">
        <f t="shared" si="80"/>
        <v>2.0545856615166171E-4</v>
      </c>
    </row>
    <row r="544" spans="1:24" ht="14.25" customHeight="1" x14ac:dyDescent="0.2">
      <c r="A544" s="5" t="s">
        <v>817</v>
      </c>
      <c r="B544" s="3" t="s">
        <v>68</v>
      </c>
      <c r="C544" s="3" t="s">
        <v>15</v>
      </c>
      <c r="D544" s="3" t="s">
        <v>2357</v>
      </c>
      <c r="E544" s="3" t="s">
        <v>2358</v>
      </c>
      <c r="F544" s="3" t="s">
        <v>818</v>
      </c>
      <c r="G544" s="3" t="s">
        <v>41</v>
      </c>
      <c r="H544" s="3" t="s">
        <v>19</v>
      </c>
      <c r="I544" s="3">
        <v>10350</v>
      </c>
      <c r="J544" s="3">
        <v>1</v>
      </c>
      <c r="K544" s="3">
        <v>723</v>
      </c>
      <c r="L544" s="3">
        <v>8720</v>
      </c>
      <c r="M544" s="3">
        <v>19</v>
      </c>
      <c r="N544" s="14">
        <v>6774.202636</v>
      </c>
      <c r="O544" s="7">
        <f t="shared" si="72"/>
        <v>9.6618357487922701E-3</v>
      </c>
      <c r="P544" s="14">
        <f t="shared" si="73"/>
        <v>6774.202636</v>
      </c>
      <c r="Q544" s="14">
        <f t="shared" si="74"/>
        <v>356.53698084210527</v>
      </c>
      <c r="R544" s="4">
        <f t="shared" si="75"/>
        <v>1900</v>
      </c>
      <c r="S544" s="14">
        <f t="shared" si="76"/>
        <v>776.85810045871563</v>
      </c>
      <c r="T544" s="4">
        <f t="shared" si="77"/>
        <v>6.9855072463768115</v>
      </c>
      <c r="U544" s="3">
        <f>LEN(A544) - LEN(SUBSTITUTE(A544,"&gt;","")) +1</f>
        <v>4</v>
      </c>
      <c r="V544" s="8">
        <f t="shared" si="78"/>
        <v>0.18357487922705315</v>
      </c>
      <c r="W544" s="14">
        <f t="shared" si="79"/>
        <v>1693.550659</v>
      </c>
      <c r="X544" s="4">
        <f t="shared" si="80"/>
        <v>5.148831372091258E-2</v>
      </c>
    </row>
    <row r="545" spans="1:24" ht="14.25" customHeight="1" x14ac:dyDescent="0.2">
      <c r="A545" s="5" t="s">
        <v>1945</v>
      </c>
      <c r="B545" s="3" t="s">
        <v>14</v>
      </c>
      <c r="C545" s="3" t="s">
        <v>32</v>
      </c>
      <c r="D545" s="3" t="s">
        <v>2353</v>
      </c>
      <c r="E545" s="3" t="s">
        <v>2354</v>
      </c>
      <c r="F545" s="3" t="s">
        <v>159</v>
      </c>
      <c r="G545" s="3" t="s">
        <v>27</v>
      </c>
      <c r="H545" s="3" t="s">
        <v>19</v>
      </c>
      <c r="I545" s="3">
        <v>18095</v>
      </c>
      <c r="J545" s="3">
        <v>1</v>
      </c>
      <c r="K545" s="3">
        <v>10021</v>
      </c>
      <c r="L545" s="3">
        <v>16755</v>
      </c>
      <c r="M545" s="3">
        <v>24</v>
      </c>
      <c r="N545" s="14">
        <v>6768.7587679999997</v>
      </c>
      <c r="O545" s="7">
        <f t="shared" si="72"/>
        <v>5.526388505111909E-3</v>
      </c>
      <c r="P545" s="14">
        <f t="shared" si="73"/>
        <v>6768.7587679999997</v>
      </c>
      <c r="Q545" s="14">
        <f t="shared" si="74"/>
        <v>282.03161533333332</v>
      </c>
      <c r="R545" s="4">
        <f t="shared" si="75"/>
        <v>2400</v>
      </c>
      <c r="S545" s="14">
        <f t="shared" si="76"/>
        <v>403.98440871381672</v>
      </c>
      <c r="T545" s="4">
        <f t="shared" si="77"/>
        <v>55.379939209726444</v>
      </c>
      <c r="U545" s="3">
        <f>LEN(A545) - LEN(SUBSTITUTE(A545,"&gt;","")) +1</f>
        <v>5</v>
      </c>
      <c r="V545" s="8">
        <f t="shared" si="78"/>
        <v>0.13263332412268583</v>
      </c>
      <c r="W545" s="14">
        <f t="shared" si="79"/>
        <v>1353.7517536</v>
      </c>
      <c r="X545" s="4">
        <f t="shared" si="80"/>
        <v>4.7027821319225657E-2</v>
      </c>
    </row>
    <row r="546" spans="1:24" ht="14.25" customHeight="1" x14ac:dyDescent="0.2">
      <c r="A546" s="5" t="s">
        <v>1946</v>
      </c>
      <c r="B546" s="3" t="s">
        <v>14</v>
      </c>
      <c r="C546" s="3" t="s">
        <v>32</v>
      </c>
      <c r="D546" s="3" t="s">
        <v>2353</v>
      </c>
      <c r="E546" s="3" t="s">
        <v>2354</v>
      </c>
      <c r="F546" s="3" t="s">
        <v>149</v>
      </c>
      <c r="G546" s="3" t="s">
        <v>27</v>
      </c>
      <c r="H546" s="3" t="s">
        <v>19</v>
      </c>
      <c r="I546" s="3">
        <v>7514</v>
      </c>
      <c r="J546" s="3">
        <v>1</v>
      </c>
      <c r="K546" s="3">
        <v>2646</v>
      </c>
      <c r="L546" s="3">
        <v>3373</v>
      </c>
      <c r="M546" s="3">
        <v>3</v>
      </c>
      <c r="N546" s="14">
        <v>6756.2951789999997</v>
      </c>
      <c r="O546" s="7">
        <f t="shared" si="72"/>
        <v>1.3308490817141336E-2</v>
      </c>
      <c r="P546" s="14">
        <f t="shared" si="73"/>
        <v>6756.2951789999997</v>
      </c>
      <c r="Q546" s="14">
        <f t="shared" si="74"/>
        <v>2252.0983929999998</v>
      </c>
      <c r="R546" s="4">
        <f t="shared" si="75"/>
        <v>300</v>
      </c>
      <c r="S546" s="14">
        <f t="shared" si="76"/>
        <v>2003.0522321375629</v>
      </c>
      <c r="T546" s="4">
        <f t="shared" si="77"/>
        <v>35.214266702155975</v>
      </c>
      <c r="U546" s="3">
        <f>LEN(A546) - LEN(SUBSTITUTE(A546,"&gt;","")) +1</f>
        <v>5</v>
      </c>
      <c r="V546" s="8">
        <f t="shared" si="78"/>
        <v>3.9925472451424006E-2</v>
      </c>
      <c r="W546" s="14">
        <f t="shared" si="79"/>
        <v>1351.2590358</v>
      </c>
      <c r="X546" s="4">
        <f t="shared" si="80"/>
        <v>1.7728120838556992E-3</v>
      </c>
    </row>
    <row r="547" spans="1:24" ht="14.25" customHeight="1" x14ac:dyDescent="0.2">
      <c r="A547" s="5" t="s">
        <v>821</v>
      </c>
      <c r="B547" s="3" t="s">
        <v>24</v>
      </c>
      <c r="C547" s="3" t="s">
        <v>35</v>
      </c>
      <c r="D547" s="3" t="s">
        <v>2362</v>
      </c>
      <c r="E547" s="3" t="s">
        <v>2352</v>
      </c>
      <c r="F547" s="3" t="s">
        <v>111</v>
      </c>
      <c r="G547" s="3" t="s">
        <v>22</v>
      </c>
      <c r="H547" s="3" t="s">
        <v>19</v>
      </c>
      <c r="I547" s="3">
        <v>23829</v>
      </c>
      <c r="J547" s="3">
        <v>1</v>
      </c>
      <c r="K547" s="3">
        <v>8326</v>
      </c>
      <c r="L547" s="3">
        <v>18812</v>
      </c>
      <c r="M547" s="3">
        <v>5</v>
      </c>
      <c r="N547" s="14">
        <v>6696.1908149999999</v>
      </c>
      <c r="O547" s="7">
        <f t="shared" si="72"/>
        <v>4.1965672080238369E-3</v>
      </c>
      <c r="P547" s="14">
        <f t="shared" si="73"/>
        <v>6696.1908149999999</v>
      </c>
      <c r="Q547" s="14">
        <f t="shared" si="74"/>
        <v>1339.238163</v>
      </c>
      <c r="R547" s="4">
        <f t="shared" si="75"/>
        <v>500</v>
      </c>
      <c r="S547" s="14">
        <f t="shared" si="76"/>
        <v>355.95315835636825</v>
      </c>
      <c r="T547" s="4">
        <f t="shared" si="77"/>
        <v>34.940618574006457</v>
      </c>
      <c r="U547" s="3">
        <f>LEN(A547) - LEN(SUBSTITUTE(A547,"&gt;","")) +1</f>
        <v>4</v>
      </c>
      <c r="V547" s="8">
        <f t="shared" si="78"/>
        <v>2.0982836040119184E-2</v>
      </c>
      <c r="W547" s="14">
        <f t="shared" si="79"/>
        <v>1674.04770375</v>
      </c>
      <c r="X547" s="4">
        <f t="shared" si="80"/>
        <v>1.566774052578965E-3</v>
      </c>
    </row>
    <row r="548" spans="1:24" ht="14.25" customHeight="1" x14ac:dyDescent="0.2">
      <c r="A548" s="5" t="s">
        <v>1947</v>
      </c>
      <c r="B548" s="3" t="s">
        <v>68</v>
      </c>
      <c r="C548" s="3" t="s">
        <v>15</v>
      </c>
      <c r="D548" s="3" t="s">
        <v>2363</v>
      </c>
      <c r="E548" s="3" t="s">
        <v>2358</v>
      </c>
      <c r="F548" s="3" t="s">
        <v>823</v>
      </c>
      <c r="G548" s="3" t="s">
        <v>27</v>
      </c>
      <c r="H548" s="3" t="s">
        <v>19</v>
      </c>
      <c r="I548" s="3">
        <v>9238</v>
      </c>
      <c r="J548" s="3">
        <v>1</v>
      </c>
      <c r="K548" s="3">
        <v>4626</v>
      </c>
      <c r="L548" s="3">
        <v>8264</v>
      </c>
      <c r="M548" s="3">
        <v>15</v>
      </c>
      <c r="N548" s="14">
        <v>6683.2254869999997</v>
      </c>
      <c r="O548" s="7">
        <f t="shared" si="72"/>
        <v>1.0824853864472829E-2</v>
      </c>
      <c r="P548" s="14">
        <f t="shared" si="73"/>
        <v>6683.2254869999997</v>
      </c>
      <c r="Q548" s="14">
        <f t="shared" si="74"/>
        <v>445.5483658</v>
      </c>
      <c r="R548" s="4">
        <f t="shared" si="75"/>
        <v>1500</v>
      </c>
      <c r="S548" s="14">
        <f t="shared" si="76"/>
        <v>808.71557199903191</v>
      </c>
      <c r="T548" s="4">
        <f t="shared" si="77"/>
        <v>50.075773977051306</v>
      </c>
      <c r="U548" s="3">
        <f>LEN(A548) - LEN(SUBSTITUTE(A548,"&gt;","")) +1</f>
        <v>5</v>
      </c>
      <c r="V548" s="8">
        <f t="shared" si="78"/>
        <v>0.16237280796709244</v>
      </c>
      <c r="W548" s="14">
        <f t="shared" si="79"/>
        <v>1336.6450973999999</v>
      </c>
      <c r="X548" s="4">
        <f t="shared" si="80"/>
        <v>3.6443362927736367E-2</v>
      </c>
    </row>
    <row r="549" spans="1:24" ht="14.25" customHeight="1" x14ac:dyDescent="0.2">
      <c r="A549" s="5" t="s">
        <v>1948</v>
      </c>
      <c r="B549" s="3" t="s">
        <v>24</v>
      </c>
      <c r="C549" s="3" t="s">
        <v>29</v>
      </c>
      <c r="D549" s="3" t="s">
        <v>2353</v>
      </c>
      <c r="E549" s="3" t="s">
        <v>2354</v>
      </c>
      <c r="F549" s="3" t="s">
        <v>825</v>
      </c>
      <c r="G549" s="3" t="s">
        <v>22</v>
      </c>
      <c r="H549" s="3" t="s">
        <v>19</v>
      </c>
      <c r="I549" s="3">
        <v>6902</v>
      </c>
      <c r="J549" s="3">
        <v>1</v>
      </c>
      <c r="K549" s="3">
        <v>3884</v>
      </c>
      <c r="L549" s="3">
        <v>5793</v>
      </c>
      <c r="M549" s="3">
        <v>1</v>
      </c>
      <c r="N549" s="14">
        <v>6673.327432</v>
      </c>
      <c r="O549" s="7">
        <f t="shared" si="72"/>
        <v>1.4488554042306579E-2</v>
      </c>
      <c r="P549" s="14">
        <f t="shared" si="73"/>
        <v>6673.327432</v>
      </c>
      <c r="Q549" s="14">
        <f t="shared" si="74"/>
        <v>6673.327432</v>
      </c>
      <c r="R549" s="4">
        <f t="shared" si="75"/>
        <v>100</v>
      </c>
      <c r="S549" s="14">
        <f t="shared" si="76"/>
        <v>1151.9639965475574</v>
      </c>
      <c r="T549" s="4">
        <f t="shared" si="77"/>
        <v>56.273543900318742</v>
      </c>
      <c r="U549" s="3">
        <f>LEN(A549) - LEN(SUBSTITUTE(A549,"&gt;","")) +1</f>
        <v>5</v>
      </c>
      <c r="V549" s="8">
        <f t="shared" si="78"/>
        <v>1.4488554042306577E-2</v>
      </c>
      <c r="W549" s="14">
        <f t="shared" si="79"/>
        <v>1334.6654864</v>
      </c>
      <c r="X549" s="4">
        <f t="shared" si="80"/>
        <v>2.1711139143017219E-4</v>
      </c>
    </row>
    <row r="550" spans="1:24" ht="14.25" customHeight="1" x14ac:dyDescent="0.2">
      <c r="A550" s="5" t="s">
        <v>826</v>
      </c>
      <c r="B550" s="3" t="s">
        <v>14</v>
      </c>
      <c r="C550" s="3" t="s">
        <v>29</v>
      </c>
      <c r="D550" s="3" t="s">
        <v>2362</v>
      </c>
      <c r="E550" s="3" t="s">
        <v>2352</v>
      </c>
      <c r="F550" s="3" t="s">
        <v>501</v>
      </c>
      <c r="G550" s="3" t="s">
        <v>41</v>
      </c>
      <c r="H550" s="3" t="s">
        <v>19</v>
      </c>
      <c r="I550" s="3">
        <v>1455</v>
      </c>
      <c r="J550" s="3">
        <v>1</v>
      </c>
      <c r="K550" s="3">
        <v>713</v>
      </c>
      <c r="L550" s="3">
        <v>1355</v>
      </c>
      <c r="M550" s="3">
        <v>3</v>
      </c>
      <c r="N550" s="14">
        <v>6651.9811110000001</v>
      </c>
      <c r="O550" s="7">
        <f t="shared" si="72"/>
        <v>6.8728522336769765E-2</v>
      </c>
      <c r="P550" s="14">
        <f t="shared" si="73"/>
        <v>6651.9811110000001</v>
      </c>
      <c r="Q550" s="14">
        <f t="shared" si="74"/>
        <v>2217.327037</v>
      </c>
      <c r="R550" s="4">
        <f t="shared" si="75"/>
        <v>300</v>
      </c>
      <c r="S550" s="14">
        <f t="shared" si="76"/>
        <v>4909.2111520295202</v>
      </c>
      <c r="T550" s="4">
        <f t="shared" si="77"/>
        <v>49.003436426116835</v>
      </c>
      <c r="U550" s="3">
        <f>LEN(A550) - LEN(SUBSTITUTE(A550,"&gt;","")) +1</f>
        <v>4</v>
      </c>
      <c r="V550" s="8">
        <f t="shared" si="78"/>
        <v>0.20618556701030927</v>
      </c>
      <c r="W550" s="14">
        <f t="shared" si="79"/>
        <v>1662.99527775</v>
      </c>
      <c r="X550" s="4">
        <f t="shared" si="80"/>
        <v>9.2988342977711729E-3</v>
      </c>
    </row>
    <row r="551" spans="1:24" ht="14.25" customHeight="1" x14ac:dyDescent="0.2">
      <c r="A551" s="5" t="s">
        <v>827</v>
      </c>
      <c r="B551" s="3" t="s">
        <v>14</v>
      </c>
      <c r="C551" s="3" t="s">
        <v>32</v>
      </c>
      <c r="D551" s="3" t="s">
        <v>2353</v>
      </c>
      <c r="E551" s="3" t="s">
        <v>2354</v>
      </c>
      <c r="F551" s="3" t="s">
        <v>828</v>
      </c>
      <c r="G551" s="3" t="s">
        <v>41</v>
      </c>
      <c r="H551" s="3" t="s">
        <v>19</v>
      </c>
      <c r="I551" s="3">
        <v>310</v>
      </c>
      <c r="J551" s="3">
        <v>1</v>
      </c>
      <c r="K551" s="3">
        <v>24</v>
      </c>
      <c r="L551" s="3">
        <v>273</v>
      </c>
      <c r="M551" s="3">
        <v>2</v>
      </c>
      <c r="N551" s="14">
        <v>6552.7216410000001</v>
      </c>
      <c r="O551" s="7">
        <f t="shared" si="72"/>
        <v>0.32258064516129031</v>
      </c>
      <c r="P551" s="14">
        <f t="shared" si="73"/>
        <v>6552.7216410000001</v>
      </c>
      <c r="Q551" s="14">
        <f t="shared" si="74"/>
        <v>3276.3608205</v>
      </c>
      <c r="R551" s="4">
        <f t="shared" si="75"/>
        <v>200</v>
      </c>
      <c r="S551" s="14">
        <f t="shared" si="76"/>
        <v>24002.643373626372</v>
      </c>
      <c r="T551" s="4">
        <f t="shared" si="77"/>
        <v>7.741935483870968</v>
      </c>
      <c r="U551" s="3">
        <f>LEN(A551) - LEN(SUBSTITUTE(A551,"&gt;","")) +1</f>
        <v>4</v>
      </c>
      <c r="V551" s="8">
        <f t="shared" si="78"/>
        <v>0.64516129032258063</v>
      </c>
      <c r="W551" s="14">
        <f t="shared" si="79"/>
        <v>1638.18041025</v>
      </c>
      <c r="X551" s="4">
        <f t="shared" si="80"/>
        <v>1.9691399258770396E-2</v>
      </c>
    </row>
    <row r="552" spans="1:24" ht="14.25" customHeight="1" x14ac:dyDescent="0.2">
      <c r="A552" s="5" t="s">
        <v>829</v>
      </c>
      <c r="B552" s="3" t="s">
        <v>14</v>
      </c>
      <c r="C552" s="3" t="s">
        <v>15</v>
      </c>
      <c r="D552" s="3" t="s">
        <v>2378</v>
      </c>
      <c r="E552" s="3" t="s">
        <v>2352</v>
      </c>
      <c r="F552" s="3" t="s">
        <v>231</v>
      </c>
      <c r="G552" s="3" t="s">
        <v>27</v>
      </c>
      <c r="H552" s="3" t="s">
        <v>19</v>
      </c>
      <c r="I552" s="3">
        <v>7248</v>
      </c>
      <c r="J552" s="3">
        <v>1</v>
      </c>
      <c r="K552" s="3">
        <v>3988</v>
      </c>
      <c r="L552" s="3">
        <v>6863</v>
      </c>
      <c r="M552" s="3">
        <v>7</v>
      </c>
      <c r="N552" s="14">
        <v>6548.0725650000004</v>
      </c>
      <c r="O552" s="7">
        <f t="shared" si="72"/>
        <v>1.379690949227373E-2</v>
      </c>
      <c r="P552" s="14">
        <f t="shared" si="73"/>
        <v>6548.0725650000004</v>
      </c>
      <c r="Q552" s="14">
        <f t="shared" si="74"/>
        <v>935.43893785714295</v>
      </c>
      <c r="R552" s="4">
        <f t="shared" si="75"/>
        <v>700</v>
      </c>
      <c r="S552" s="14">
        <f t="shared" si="76"/>
        <v>954.11227815823986</v>
      </c>
      <c r="T552" s="4">
        <f t="shared" si="77"/>
        <v>55.022075055187635</v>
      </c>
      <c r="U552" s="3">
        <f>LEN(A552) - LEN(SUBSTITUTE(A552,"&gt;","")) +1</f>
        <v>4</v>
      </c>
      <c r="V552" s="8">
        <f t="shared" si="78"/>
        <v>9.6578366445916108E-2</v>
      </c>
      <c r="W552" s="14">
        <f t="shared" si="79"/>
        <v>1637.0181412500001</v>
      </c>
      <c r="X552" s="4">
        <f t="shared" si="80"/>
        <v>1.0324390244771406E-2</v>
      </c>
    </row>
    <row r="553" spans="1:24" ht="14.25" customHeight="1" x14ac:dyDescent="0.2">
      <c r="A553" s="5" t="s">
        <v>830</v>
      </c>
      <c r="B553" s="3" t="s">
        <v>14</v>
      </c>
      <c r="C553" s="3" t="s">
        <v>29</v>
      </c>
      <c r="D553" s="3" t="s">
        <v>2349</v>
      </c>
      <c r="E553" s="3" t="s">
        <v>2350</v>
      </c>
      <c r="F553" s="3" t="s">
        <v>831</v>
      </c>
      <c r="G553" s="3" t="s">
        <v>27</v>
      </c>
      <c r="H553" s="3" t="s">
        <v>19</v>
      </c>
      <c r="I553" s="3">
        <v>18081</v>
      </c>
      <c r="J553" s="3">
        <v>1</v>
      </c>
      <c r="K553" s="3">
        <v>4545</v>
      </c>
      <c r="L553" s="3">
        <v>15617</v>
      </c>
      <c r="M553" s="3">
        <v>5</v>
      </c>
      <c r="N553" s="14">
        <v>6522.6375260000004</v>
      </c>
      <c r="O553" s="7">
        <f t="shared" si="72"/>
        <v>5.5306675515734748E-3</v>
      </c>
      <c r="P553" s="14">
        <f t="shared" si="73"/>
        <v>6522.6375260000004</v>
      </c>
      <c r="Q553" s="14">
        <f t="shared" si="74"/>
        <v>1304.5275052000002</v>
      </c>
      <c r="R553" s="4">
        <f t="shared" si="75"/>
        <v>500</v>
      </c>
      <c r="S553" s="14">
        <f t="shared" si="76"/>
        <v>417.66264493820836</v>
      </c>
      <c r="T553" s="4">
        <f t="shared" si="77"/>
        <v>25.136884021901444</v>
      </c>
      <c r="U553" s="3">
        <f>LEN(A553) - LEN(SUBSTITUTE(A553,"&gt;","")) +1</f>
        <v>4</v>
      </c>
      <c r="V553" s="8">
        <f t="shared" si="78"/>
        <v>2.7653337757867373E-2</v>
      </c>
      <c r="W553" s="14">
        <f t="shared" si="79"/>
        <v>1630.6593815000001</v>
      </c>
      <c r="X553" s="4">
        <f t="shared" si="80"/>
        <v>2.1197972175855178E-3</v>
      </c>
    </row>
    <row r="554" spans="1:24" ht="14.25" customHeight="1" x14ac:dyDescent="0.2">
      <c r="A554" s="5" t="s">
        <v>1949</v>
      </c>
      <c r="B554" s="3" t="s">
        <v>14</v>
      </c>
      <c r="C554" s="3" t="s">
        <v>29</v>
      </c>
      <c r="D554" s="3" t="s">
        <v>2363</v>
      </c>
      <c r="E554" s="3" t="s">
        <v>2358</v>
      </c>
      <c r="F554" s="3" t="s">
        <v>635</v>
      </c>
      <c r="G554" s="3" t="s">
        <v>64</v>
      </c>
      <c r="H554" s="3" t="s">
        <v>19</v>
      </c>
      <c r="I554" s="3">
        <v>47360</v>
      </c>
      <c r="J554" s="3">
        <v>1</v>
      </c>
      <c r="K554" s="3">
        <v>8047</v>
      </c>
      <c r="L554" s="3">
        <v>33641</v>
      </c>
      <c r="M554" s="3">
        <v>2</v>
      </c>
      <c r="N554" s="14">
        <v>6502.2749329999997</v>
      </c>
      <c r="O554" s="7">
        <f t="shared" si="72"/>
        <v>2.1114864864864866E-3</v>
      </c>
      <c r="P554" s="14">
        <f t="shared" si="73"/>
        <v>6502.2749329999997</v>
      </c>
      <c r="Q554" s="14">
        <f t="shared" si="74"/>
        <v>3251.1374664999998</v>
      </c>
      <c r="R554" s="4">
        <f t="shared" si="75"/>
        <v>200</v>
      </c>
      <c r="S554" s="14">
        <f t="shared" si="76"/>
        <v>193.28423450551409</v>
      </c>
      <c r="T554" s="4">
        <f t="shared" si="77"/>
        <v>16.991131756756754</v>
      </c>
      <c r="U554" s="3">
        <f>LEN(A554) - LEN(SUBSTITUTE(A554,"&gt;","")) +1</f>
        <v>5</v>
      </c>
      <c r="V554" s="8">
        <f t="shared" si="78"/>
        <v>4.2229729729729732E-3</v>
      </c>
      <c r="W554" s="14">
        <f t="shared" si="79"/>
        <v>1300.4549866</v>
      </c>
      <c r="X554" s="4">
        <f t="shared" si="80"/>
        <v>1.2989216901736238E-4</v>
      </c>
    </row>
    <row r="555" spans="1:24" ht="14.25" customHeight="1" x14ac:dyDescent="0.2">
      <c r="A555" s="5" t="s">
        <v>1950</v>
      </c>
      <c r="B555" s="3" t="s">
        <v>14</v>
      </c>
      <c r="C555" s="3" t="s">
        <v>32</v>
      </c>
      <c r="D555" s="3" t="s">
        <v>2368</v>
      </c>
      <c r="E555" s="3" t="s">
        <v>2352</v>
      </c>
      <c r="F555" s="3" t="s">
        <v>681</v>
      </c>
      <c r="G555" s="3" t="s">
        <v>27</v>
      </c>
      <c r="H555" s="3" t="s">
        <v>19</v>
      </c>
      <c r="I555" s="3">
        <v>7687</v>
      </c>
      <c r="J555" s="3">
        <v>1</v>
      </c>
      <c r="K555" s="3">
        <v>5311</v>
      </c>
      <c r="L555" s="3">
        <v>7266</v>
      </c>
      <c r="M555" s="3">
        <v>6</v>
      </c>
      <c r="N555" s="14">
        <v>6486.8539090000004</v>
      </c>
      <c r="O555" s="7">
        <f t="shared" si="72"/>
        <v>1.3008976193573565E-2</v>
      </c>
      <c r="P555" s="14">
        <f t="shared" si="73"/>
        <v>6486.8539090000004</v>
      </c>
      <c r="Q555" s="14">
        <f t="shared" si="74"/>
        <v>1081.1423181666667</v>
      </c>
      <c r="R555" s="4">
        <f t="shared" si="75"/>
        <v>600</v>
      </c>
      <c r="S555" s="14">
        <f t="shared" si="76"/>
        <v>892.76822309386182</v>
      </c>
      <c r="T555" s="4">
        <f t="shared" si="77"/>
        <v>69.090672564069209</v>
      </c>
      <c r="U555" s="3">
        <f>LEN(A555) - LEN(SUBSTITUTE(A555,"&gt;","")) +1</f>
        <v>5</v>
      </c>
      <c r="V555" s="8">
        <f t="shared" si="78"/>
        <v>7.8053857161441392E-2</v>
      </c>
      <c r="W555" s="14">
        <f t="shared" si="79"/>
        <v>1297.3707818</v>
      </c>
      <c r="X555" s="4">
        <f t="shared" si="80"/>
        <v>7.21957283975344E-3</v>
      </c>
    </row>
    <row r="556" spans="1:24" ht="14.25" customHeight="1" x14ac:dyDescent="0.2">
      <c r="A556" s="5" t="s">
        <v>1951</v>
      </c>
      <c r="B556" s="3" t="s">
        <v>24</v>
      </c>
      <c r="C556" s="3" t="s">
        <v>29</v>
      </c>
      <c r="D556" s="3" t="s">
        <v>2353</v>
      </c>
      <c r="E556" s="3" t="s">
        <v>2354</v>
      </c>
      <c r="F556" s="3" t="s">
        <v>543</v>
      </c>
      <c r="G556" s="3" t="s">
        <v>64</v>
      </c>
      <c r="H556" s="3" t="s">
        <v>163</v>
      </c>
      <c r="I556" s="3">
        <v>26212</v>
      </c>
      <c r="J556" s="3">
        <v>1</v>
      </c>
      <c r="K556" s="3">
        <v>12726</v>
      </c>
      <c r="L556" s="3">
        <v>24442</v>
      </c>
      <c r="M556" s="3">
        <v>11</v>
      </c>
      <c r="N556" s="14">
        <v>6452.9350100000001</v>
      </c>
      <c r="O556" s="7">
        <f t="shared" si="72"/>
        <v>3.8150465435678313E-3</v>
      </c>
      <c r="P556" s="14">
        <f t="shared" si="73"/>
        <v>6452.9350100000001</v>
      </c>
      <c r="Q556" s="14">
        <f t="shared" si="74"/>
        <v>586.63045545454543</v>
      </c>
      <c r="R556" s="4">
        <f t="shared" si="75"/>
        <v>1100</v>
      </c>
      <c r="S556" s="14">
        <f t="shared" si="76"/>
        <v>264.01010596514197</v>
      </c>
      <c r="T556" s="4">
        <f t="shared" si="77"/>
        <v>48.550282313444228</v>
      </c>
      <c r="U556" s="3">
        <f>LEN(A556) - LEN(SUBSTITUTE(A556,"&gt;","")) +1</f>
        <v>5</v>
      </c>
      <c r="V556" s="8">
        <f t="shared" si="78"/>
        <v>4.1965511979246146E-2</v>
      </c>
      <c r="W556" s="14">
        <f t="shared" si="79"/>
        <v>1290.587002</v>
      </c>
      <c r="X556" s="4">
        <f t="shared" si="80"/>
        <v>7.153653818864473E-3</v>
      </c>
    </row>
    <row r="557" spans="1:24" ht="14.25" customHeight="1" x14ac:dyDescent="0.2">
      <c r="A557" s="5" t="s">
        <v>1952</v>
      </c>
      <c r="B557" s="3" t="s">
        <v>14</v>
      </c>
      <c r="C557" s="3" t="s">
        <v>35</v>
      </c>
      <c r="D557" s="3" t="s">
        <v>2361</v>
      </c>
      <c r="E557" s="3" t="s">
        <v>2360</v>
      </c>
      <c r="F557" s="3" t="s">
        <v>392</v>
      </c>
      <c r="G557" s="3" t="s">
        <v>76</v>
      </c>
      <c r="H557" s="3" t="s">
        <v>19</v>
      </c>
      <c r="I557" s="3">
        <v>16644</v>
      </c>
      <c r="J557" s="3">
        <v>1</v>
      </c>
      <c r="K557" s="3">
        <v>5055</v>
      </c>
      <c r="L557" s="3">
        <v>15831</v>
      </c>
      <c r="M557" s="3">
        <v>5</v>
      </c>
      <c r="N557" s="14">
        <v>6386.4642320000003</v>
      </c>
      <c r="O557" s="7">
        <f t="shared" si="72"/>
        <v>6.0081711127132897E-3</v>
      </c>
      <c r="P557" s="14">
        <f t="shared" si="73"/>
        <v>6386.4642320000003</v>
      </c>
      <c r="Q557" s="14">
        <f t="shared" si="74"/>
        <v>1277.2928464000001</v>
      </c>
      <c r="R557" s="4">
        <f t="shared" si="75"/>
        <v>500</v>
      </c>
      <c r="S557" s="14">
        <f t="shared" si="76"/>
        <v>403.41508634956728</v>
      </c>
      <c r="T557" s="4">
        <f t="shared" si="77"/>
        <v>30.371304974765685</v>
      </c>
      <c r="U557" s="3">
        <f>LEN(A557) - LEN(SUBSTITUTE(A557,"&gt;","")) +1</f>
        <v>6</v>
      </c>
      <c r="V557" s="8">
        <f t="shared" si="78"/>
        <v>3.0040855563566449E-2</v>
      </c>
      <c r="W557" s="14">
        <f t="shared" si="79"/>
        <v>1064.4107053333335</v>
      </c>
      <c r="X557" s="4">
        <f t="shared" si="80"/>
        <v>2.3519160581095735E-3</v>
      </c>
    </row>
    <row r="558" spans="1:24" ht="14.25" customHeight="1" x14ac:dyDescent="0.2">
      <c r="A558" s="5" t="s">
        <v>1953</v>
      </c>
      <c r="B558" s="3" t="s">
        <v>14</v>
      </c>
      <c r="C558" s="3" t="s">
        <v>32</v>
      </c>
      <c r="D558" s="3" t="s">
        <v>2363</v>
      </c>
      <c r="E558" s="3" t="s">
        <v>2358</v>
      </c>
      <c r="F558" s="3" t="s">
        <v>52</v>
      </c>
      <c r="G558" s="3" t="s">
        <v>27</v>
      </c>
      <c r="H558" s="3" t="s">
        <v>19</v>
      </c>
      <c r="I558" s="3">
        <v>14038</v>
      </c>
      <c r="J558" s="3">
        <v>1</v>
      </c>
      <c r="K558" s="3">
        <v>1600</v>
      </c>
      <c r="L558" s="3">
        <v>11345</v>
      </c>
      <c r="M558" s="3">
        <v>8</v>
      </c>
      <c r="N558" s="14">
        <v>6368.8629129999999</v>
      </c>
      <c r="O558" s="7">
        <f t="shared" si="72"/>
        <v>7.1235218692121387E-3</v>
      </c>
      <c r="P558" s="14">
        <f t="shared" si="73"/>
        <v>6368.8629129999999</v>
      </c>
      <c r="Q558" s="14">
        <f t="shared" si="74"/>
        <v>796.10786412499999</v>
      </c>
      <c r="R558" s="4">
        <f t="shared" si="75"/>
        <v>800</v>
      </c>
      <c r="S558" s="14">
        <f t="shared" si="76"/>
        <v>561.38060052886726</v>
      </c>
      <c r="T558" s="4">
        <f t="shared" si="77"/>
        <v>11.397634990739421</v>
      </c>
      <c r="U558" s="3">
        <f>LEN(A558) - LEN(SUBSTITUTE(A558,"&gt;","")) +1</f>
        <v>6</v>
      </c>
      <c r="V558" s="8">
        <f t="shared" si="78"/>
        <v>5.698817495369711E-2</v>
      </c>
      <c r="W558" s="14">
        <f t="shared" si="79"/>
        <v>1061.4771521666667</v>
      </c>
      <c r="X558" s="4">
        <f t="shared" si="80"/>
        <v>7.1583484502232191E-3</v>
      </c>
    </row>
    <row r="559" spans="1:24" ht="14.25" customHeight="1" x14ac:dyDescent="0.2">
      <c r="A559" s="5" t="s">
        <v>837</v>
      </c>
      <c r="B559" s="3" t="s">
        <v>14</v>
      </c>
      <c r="C559" s="3" t="s">
        <v>35</v>
      </c>
      <c r="D559" s="3" t="s">
        <v>2359</v>
      </c>
      <c r="E559" s="3" t="s">
        <v>2360</v>
      </c>
      <c r="F559" s="3" t="s">
        <v>79</v>
      </c>
      <c r="G559" s="3" t="s">
        <v>27</v>
      </c>
      <c r="H559" s="3" t="s">
        <v>19</v>
      </c>
      <c r="I559" s="3">
        <v>39844</v>
      </c>
      <c r="J559" s="3">
        <v>1</v>
      </c>
      <c r="K559" s="3">
        <v>11077</v>
      </c>
      <c r="L559" s="3">
        <v>30190</v>
      </c>
      <c r="M559" s="3">
        <v>6</v>
      </c>
      <c r="N559" s="14">
        <v>6367.8699290000004</v>
      </c>
      <c r="O559" s="7">
        <f t="shared" si="72"/>
        <v>2.5097881738781248E-3</v>
      </c>
      <c r="P559" s="14">
        <f t="shared" si="73"/>
        <v>6367.8699290000004</v>
      </c>
      <c r="Q559" s="14">
        <f t="shared" si="74"/>
        <v>1061.3116548333335</v>
      </c>
      <c r="R559" s="4">
        <f t="shared" si="75"/>
        <v>600</v>
      </c>
      <c r="S559" s="14">
        <f t="shared" si="76"/>
        <v>210.92646336535279</v>
      </c>
      <c r="T559" s="4">
        <f t="shared" si="77"/>
        <v>27.800923602047988</v>
      </c>
      <c r="U559" s="3">
        <f>LEN(A559) - LEN(SUBSTITUTE(A559,"&gt;","")) +1</f>
        <v>4</v>
      </c>
      <c r="V559" s="8">
        <f t="shared" si="78"/>
        <v>1.5058729043268748E-2</v>
      </c>
      <c r="W559" s="14">
        <f t="shared" si="79"/>
        <v>1591.9674822500001</v>
      </c>
      <c r="X559" s="4">
        <f t="shared" si="80"/>
        <v>1.4188790799280861E-3</v>
      </c>
    </row>
    <row r="560" spans="1:24" ht="14.25" customHeight="1" x14ac:dyDescent="0.2">
      <c r="A560" s="5" t="s">
        <v>838</v>
      </c>
      <c r="B560" s="3" t="s">
        <v>14</v>
      </c>
      <c r="C560" s="3" t="s">
        <v>15</v>
      </c>
      <c r="D560" s="3" t="s">
        <v>2359</v>
      </c>
      <c r="E560" s="3" t="s">
        <v>2360</v>
      </c>
      <c r="F560" s="3" t="s">
        <v>199</v>
      </c>
      <c r="G560" s="3" t="s">
        <v>18</v>
      </c>
      <c r="H560" s="3" t="s">
        <v>19</v>
      </c>
      <c r="I560" s="3">
        <v>11919</v>
      </c>
      <c r="J560" s="3">
        <v>1</v>
      </c>
      <c r="K560" s="3">
        <v>8100</v>
      </c>
      <c r="L560" s="3">
        <v>11524</v>
      </c>
      <c r="M560" s="3">
        <v>1</v>
      </c>
      <c r="N560" s="14">
        <v>6350.916905</v>
      </c>
      <c r="O560" s="7">
        <f t="shared" si="72"/>
        <v>8.3899656011410355E-3</v>
      </c>
      <c r="P560" s="14">
        <f t="shared" si="73"/>
        <v>6350.916905</v>
      </c>
      <c r="Q560" s="14">
        <f t="shared" si="74"/>
        <v>6350.916905</v>
      </c>
      <c r="R560" s="4">
        <f t="shared" si="75"/>
        <v>100</v>
      </c>
      <c r="S560" s="14">
        <f t="shared" si="76"/>
        <v>551.10351483859779</v>
      </c>
      <c r="T560" s="4">
        <f t="shared" si="77"/>
        <v>67.958721369242383</v>
      </c>
      <c r="U560" s="3">
        <f>LEN(A560) - LEN(SUBSTITUTE(A560,"&gt;","")) +1</f>
        <v>4</v>
      </c>
      <c r="V560" s="8">
        <f t="shared" si="78"/>
        <v>8.3899656011410355E-3</v>
      </c>
      <c r="W560" s="14">
        <f t="shared" si="79"/>
        <v>1587.72922625</v>
      </c>
      <c r="X560" s="4">
        <f t="shared" si="80"/>
        <v>1.3210636710638926E-4</v>
      </c>
    </row>
    <row r="561" spans="1:24" ht="14.25" customHeight="1" x14ac:dyDescent="0.2">
      <c r="A561" s="5" t="s">
        <v>1954</v>
      </c>
      <c r="B561" s="3" t="s">
        <v>14</v>
      </c>
      <c r="C561" s="3" t="s">
        <v>15</v>
      </c>
      <c r="D561" s="3" t="s">
        <v>2364</v>
      </c>
      <c r="E561" s="3" t="s">
        <v>2365</v>
      </c>
      <c r="F561" s="3" t="s">
        <v>250</v>
      </c>
      <c r="G561" s="3" t="s">
        <v>64</v>
      </c>
      <c r="H561" s="3" t="s">
        <v>19</v>
      </c>
      <c r="I561" s="3">
        <v>42459</v>
      </c>
      <c r="J561" s="3">
        <v>1</v>
      </c>
      <c r="K561" s="3">
        <v>15187</v>
      </c>
      <c r="L561" s="3">
        <v>37408</v>
      </c>
      <c r="M561" s="3">
        <v>1</v>
      </c>
      <c r="N561" s="14">
        <v>6321.4916890000004</v>
      </c>
      <c r="O561" s="7">
        <f t="shared" si="72"/>
        <v>2.3552132645611058E-3</v>
      </c>
      <c r="P561" s="14">
        <f t="shared" si="73"/>
        <v>6321.4916890000004</v>
      </c>
      <c r="Q561" s="14">
        <f t="shared" si="74"/>
        <v>6321.4916890000004</v>
      </c>
      <c r="R561" s="4">
        <f t="shared" si="75"/>
        <v>100</v>
      </c>
      <c r="S561" s="14">
        <f t="shared" si="76"/>
        <v>168.9876948513687</v>
      </c>
      <c r="T561" s="4">
        <f t="shared" si="77"/>
        <v>35.768623848889519</v>
      </c>
      <c r="U561" s="3">
        <f>LEN(A561) - LEN(SUBSTITUTE(A561,"&gt;","")) +1</f>
        <v>6</v>
      </c>
      <c r="V561" s="8">
        <f t="shared" si="78"/>
        <v>2.3552132645611062E-3</v>
      </c>
      <c r="W561" s="14">
        <f t="shared" si="79"/>
        <v>1053.5819481666667</v>
      </c>
      <c r="X561" s="4">
        <f t="shared" si="80"/>
        <v>3.7257238962433533E-5</v>
      </c>
    </row>
    <row r="562" spans="1:24" ht="14.25" customHeight="1" x14ac:dyDescent="0.2">
      <c r="A562" s="5" t="s">
        <v>1955</v>
      </c>
      <c r="B562" s="3" t="s">
        <v>24</v>
      </c>
      <c r="C562" s="3" t="s">
        <v>35</v>
      </c>
      <c r="D562" s="3" t="s">
        <v>2349</v>
      </c>
      <c r="E562" s="3" t="s">
        <v>2350</v>
      </c>
      <c r="F562" s="3" t="s">
        <v>79</v>
      </c>
      <c r="G562" s="3" t="s">
        <v>81</v>
      </c>
      <c r="H562" s="3" t="s">
        <v>114</v>
      </c>
      <c r="I562" s="3">
        <v>96779</v>
      </c>
      <c r="J562" s="3">
        <v>1</v>
      </c>
      <c r="K562" s="3">
        <v>9831</v>
      </c>
      <c r="L562" s="3">
        <v>63640</v>
      </c>
      <c r="M562" s="3">
        <v>10</v>
      </c>
      <c r="N562" s="14">
        <v>6317.5107539999999</v>
      </c>
      <c r="O562" s="7">
        <f t="shared" si="72"/>
        <v>1.0332820136599882E-3</v>
      </c>
      <c r="P562" s="14">
        <f t="shared" si="73"/>
        <v>6317.5107539999999</v>
      </c>
      <c r="Q562" s="14">
        <f t="shared" si="74"/>
        <v>631.75107539999999</v>
      </c>
      <c r="R562" s="4">
        <f t="shared" si="75"/>
        <v>1000</v>
      </c>
      <c r="S562" s="14">
        <f t="shared" si="76"/>
        <v>99.269496448774348</v>
      </c>
      <c r="T562" s="4">
        <f t="shared" si="77"/>
        <v>10.158195476291345</v>
      </c>
      <c r="U562" s="3">
        <f>LEN(A562) - LEN(SUBSTITUTE(A562,"&gt;","")) +1</f>
        <v>6</v>
      </c>
      <c r="V562" s="8">
        <f t="shared" si="78"/>
        <v>1.0332820136599882E-2</v>
      </c>
      <c r="W562" s="14">
        <f t="shared" si="79"/>
        <v>1052.918459</v>
      </c>
      <c r="X562" s="4">
        <f t="shared" si="80"/>
        <v>1.6355840993317735E-3</v>
      </c>
    </row>
    <row r="563" spans="1:24" ht="14.25" customHeight="1" x14ac:dyDescent="0.2">
      <c r="A563" s="5" t="s">
        <v>1956</v>
      </c>
      <c r="B563" s="3" t="s">
        <v>68</v>
      </c>
      <c r="C563" s="3" t="s">
        <v>35</v>
      </c>
      <c r="D563" s="3" t="s">
        <v>2368</v>
      </c>
      <c r="E563" s="3" t="s">
        <v>2352</v>
      </c>
      <c r="F563" s="3" t="s">
        <v>842</v>
      </c>
      <c r="G563" s="3" t="s">
        <v>27</v>
      </c>
      <c r="H563" s="3" t="s">
        <v>19</v>
      </c>
      <c r="I563" s="3">
        <v>2770</v>
      </c>
      <c r="J563" s="3">
        <v>1</v>
      </c>
      <c r="K563" s="3">
        <v>1427</v>
      </c>
      <c r="L563" s="3">
        <v>2612</v>
      </c>
      <c r="M563" s="3">
        <v>3</v>
      </c>
      <c r="N563" s="14">
        <v>6312.4127349999999</v>
      </c>
      <c r="O563" s="7">
        <f t="shared" si="72"/>
        <v>3.6101083032490974E-2</v>
      </c>
      <c r="P563" s="14">
        <f t="shared" si="73"/>
        <v>6312.4127349999999</v>
      </c>
      <c r="Q563" s="14">
        <f t="shared" si="74"/>
        <v>2104.1375783333333</v>
      </c>
      <c r="R563" s="4">
        <f t="shared" si="75"/>
        <v>300</v>
      </c>
      <c r="S563" s="14">
        <f t="shared" si="76"/>
        <v>2416.6970654670749</v>
      </c>
      <c r="T563" s="4">
        <f t="shared" si="77"/>
        <v>51.516245487364621</v>
      </c>
      <c r="U563" s="3">
        <f>LEN(A563) - LEN(SUBSTITUTE(A563,"&gt;","")) +1</f>
        <v>5</v>
      </c>
      <c r="V563" s="8">
        <f t="shared" si="78"/>
        <v>0.10830324909747292</v>
      </c>
      <c r="W563" s="14">
        <f t="shared" si="79"/>
        <v>1262.4825470000001</v>
      </c>
      <c r="X563" s="4">
        <f t="shared" si="80"/>
        <v>5.1471562607260145E-3</v>
      </c>
    </row>
    <row r="564" spans="1:24" ht="14.25" customHeight="1" x14ac:dyDescent="0.2">
      <c r="A564" s="5" t="s">
        <v>1957</v>
      </c>
      <c r="B564" s="3" t="s">
        <v>24</v>
      </c>
      <c r="C564" s="3" t="s">
        <v>32</v>
      </c>
      <c r="D564" s="3" t="s">
        <v>2366</v>
      </c>
      <c r="E564" s="3" t="s">
        <v>2352</v>
      </c>
      <c r="F564" s="3" t="s">
        <v>40</v>
      </c>
      <c r="G564" s="3" t="s">
        <v>22</v>
      </c>
      <c r="H564" s="3" t="s">
        <v>19</v>
      </c>
      <c r="I564" s="3">
        <v>12974</v>
      </c>
      <c r="J564" s="3">
        <v>1</v>
      </c>
      <c r="K564" s="3">
        <v>7521</v>
      </c>
      <c r="L564" s="3">
        <v>10959</v>
      </c>
      <c r="M564" s="3">
        <v>5</v>
      </c>
      <c r="N564" s="14">
        <v>6301.8688469999997</v>
      </c>
      <c r="O564" s="7">
        <f t="shared" si="72"/>
        <v>7.7077231385848629E-3</v>
      </c>
      <c r="P564" s="14">
        <f t="shared" si="73"/>
        <v>6301.8688469999997</v>
      </c>
      <c r="Q564" s="14">
        <f t="shared" si="74"/>
        <v>1260.3737693999999</v>
      </c>
      <c r="R564" s="4">
        <f t="shared" si="75"/>
        <v>500</v>
      </c>
      <c r="S564" s="14">
        <f t="shared" si="76"/>
        <v>575.04050068436891</v>
      </c>
      <c r="T564" s="4">
        <f t="shared" si="77"/>
        <v>57.969785725296752</v>
      </c>
      <c r="U564" s="3">
        <f>LEN(A564) - LEN(SUBSTITUTE(A564,"&gt;","")) +1</f>
        <v>6</v>
      </c>
      <c r="V564" s="8">
        <f t="shared" si="78"/>
        <v>3.8538615692924313E-2</v>
      </c>
      <c r="W564" s="14">
        <f t="shared" si="79"/>
        <v>1050.3114745</v>
      </c>
      <c r="X564" s="4">
        <f t="shared" si="80"/>
        <v>3.0577132457517424E-3</v>
      </c>
    </row>
    <row r="565" spans="1:24" ht="14.25" customHeight="1" x14ac:dyDescent="0.2">
      <c r="A565" s="5" t="s">
        <v>1958</v>
      </c>
      <c r="B565" s="3" t="s">
        <v>24</v>
      </c>
      <c r="C565" s="3" t="s">
        <v>29</v>
      </c>
      <c r="D565" s="3" t="s">
        <v>2349</v>
      </c>
      <c r="E565" s="3" t="s">
        <v>2350</v>
      </c>
      <c r="F565" s="3" t="s">
        <v>845</v>
      </c>
      <c r="G565" s="3" t="s">
        <v>33</v>
      </c>
      <c r="H565" s="3" t="s">
        <v>19</v>
      </c>
      <c r="I565" s="3">
        <v>1036</v>
      </c>
      <c r="J565" s="3">
        <v>1</v>
      </c>
      <c r="K565" s="3">
        <v>807</v>
      </c>
      <c r="L565" s="3">
        <v>940</v>
      </c>
      <c r="M565" s="3">
        <v>6</v>
      </c>
      <c r="N565" s="14">
        <v>6257.9280559999997</v>
      </c>
      <c r="O565" s="7">
        <f t="shared" si="72"/>
        <v>9.6525096525096526E-2</v>
      </c>
      <c r="P565" s="14">
        <f t="shared" si="73"/>
        <v>6257.9280559999997</v>
      </c>
      <c r="Q565" s="14">
        <f t="shared" si="74"/>
        <v>1042.9880093333334</v>
      </c>
      <c r="R565" s="4">
        <f t="shared" si="75"/>
        <v>600</v>
      </c>
      <c r="S565" s="14">
        <f t="shared" si="76"/>
        <v>6657.3702723404249</v>
      </c>
      <c r="T565" s="4">
        <f t="shared" si="77"/>
        <v>77.895752895752906</v>
      </c>
      <c r="U565" s="3">
        <f>LEN(A565) - LEN(SUBSTITUTE(A565,"&gt;","")) +1</f>
        <v>6</v>
      </c>
      <c r="V565" s="8">
        <f t="shared" si="78"/>
        <v>0.5791505791505791</v>
      </c>
      <c r="W565" s="14">
        <f t="shared" si="79"/>
        <v>1042.9880093333334</v>
      </c>
      <c r="X565" s="4">
        <f t="shared" si="80"/>
        <v>5.5528018919485556E-2</v>
      </c>
    </row>
    <row r="566" spans="1:24" ht="14.25" customHeight="1" x14ac:dyDescent="0.2">
      <c r="A566" s="5" t="s">
        <v>1959</v>
      </c>
      <c r="B566" s="3" t="s">
        <v>24</v>
      </c>
      <c r="C566" s="3" t="s">
        <v>35</v>
      </c>
      <c r="D566" s="3" t="s">
        <v>2353</v>
      </c>
      <c r="E566" s="3" t="s">
        <v>2354</v>
      </c>
      <c r="F566" s="3" t="s">
        <v>847</v>
      </c>
      <c r="G566" s="3" t="s">
        <v>27</v>
      </c>
      <c r="H566" s="3" t="s">
        <v>114</v>
      </c>
      <c r="I566" s="3">
        <v>2772</v>
      </c>
      <c r="J566" s="3">
        <v>1</v>
      </c>
      <c r="K566" s="3">
        <v>1154</v>
      </c>
      <c r="L566" s="3">
        <v>2536</v>
      </c>
      <c r="M566" s="3">
        <v>9</v>
      </c>
      <c r="N566" s="14">
        <v>6235.4603779999998</v>
      </c>
      <c r="O566" s="7">
        <f t="shared" si="72"/>
        <v>3.6075036075036072E-2</v>
      </c>
      <c r="P566" s="14">
        <f t="shared" si="73"/>
        <v>6235.4603779999998</v>
      </c>
      <c r="Q566" s="14">
        <f t="shared" si="74"/>
        <v>692.82893088888886</v>
      </c>
      <c r="R566" s="4">
        <f t="shared" si="75"/>
        <v>900</v>
      </c>
      <c r="S566" s="14">
        <f t="shared" si="76"/>
        <v>2458.7777515772868</v>
      </c>
      <c r="T566" s="4">
        <f t="shared" si="77"/>
        <v>41.630591630591631</v>
      </c>
      <c r="U566" s="3">
        <f>LEN(A566) - LEN(SUBSTITUTE(A566,"&gt;","")) +1</f>
        <v>6</v>
      </c>
      <c r="V566" s="8">
        <f t="shared" si="78"/>
        <v>0.32467532467532467</v>
      </c>
      <c r="W566" s="14">
        <f t="shared" si="79"/>
        <v>1039.2433963333333</v>
      </c>
      <c r="X566" s="4">
        <f t="shared" si="80"/>
        <v>4.6862264290662807E-2</v>
      </c>
    </row>
    <row r="567" spans="1:24" ht="14.25" customHeight="1" x14ac:dyDescent="0.2">
      <c r="A567" s="5" t="s">
        <v>1960</v>
      </c>
      <c r="B567" s="3" t="s">
        <v>24</v>
      </c>
      <c r="C567" s="3" t="s">
        <v>32</v>
      </c>
      <c r="D567" s="3" t="s">
        <v>2349</v>
      </c>
      <c r="E567" s="3" t="s">
        <v>2350</v>
      </c>
      <c r="F567" s="3" t="s">
        <v>831</v>
      </c>
      <c r="G567" s="3" t="s">
        <v>27</v>
      </c>
      <c r="H567" s="3" t="s">
        <v>114</v>
      </c>
      <c r="I567" s="3">
        <v>95655</v>
      </c>
      <c r="J567" s="3">
        <v>1</v>
      </c>
      <c r="K567" s="3">
        <v>9202</v>
      </c>
      <c r="L567" s="3">
        <v>85273</v>
      </c>
      <c r="M567" s="3">
        <v>24</v>
      </c>
      <c r="N567" s="14">
        <v>6189.4160819999997</v>
      </c>
      <c r="O567" s="7">
        <f t="shared" si="72"/>
        <v>1.045423657937379E-3</v>
      </c>
      <c r="P567" s="14">
        <f t="shared" si="73"/>
        <v>6189.4160819999997</v>
      </c>
      <c r="Q567" s="14">
        <f t="shared" si="74"/>
        <v>257.89233674999997</v>
      </c>
      <c r="R567" s="4">
        <f t="shared" si="75"/>
        <v>2400</v>
      </c>
      <c r="S567" s="14">
        <f t="shared" si="76"/>
        <v>72.583538540921509</v>
      </c>
      <c r="T567" s="4">
        <f t="shared" si="77"/>
        <v>9.6199885003397636</v>
      </c>
      <c r="U567" s="3">
        <f>LEN(A567) - LEN(SUBSTITUTE(A567,"&gt;","")) +1</f>
        <v>5</v>
      </c>
      <c r="V567" s="8">
        <f t="shared" si="78"/>
        <v>2.5090167790497098E-2</v>
      </c>
      <c r="W567" s="14">
        <f t="shared" si="79"/>
        <v>1237.8832164</v>
      </c>
      <c r="X567" s="4">
        <f t="shared" si="80"/>
        <v>9.7289311139242673E-3</v>
      </c>
    </row>
    <row r="568" spans="1:24" ht="14.25" customHeight="1" x14ac:dyDescent="0.2">
      <c r="A568" s="5" t="s">
        <v>1961</v>
      </c>
      <c r="B568" s="3" t="s">
        <v>24</v>
      </c>
      <c r="C568" s="3" t="s">
        <v>15</v>
      </c>
      <c r="D568" s="3" t="s">
        <v>2359</v>
      </c>
      <c r="E568" s="3" t="s">
        <v>2360</v>
      </c>
      <c r="F568" s="3" t="s">
        <v>825</v>
      </c>
      <c r="G568" s="3" t="s">
        <v>76</v>
      </c>
      <c r="H568" s="3" t="s">
        <v>19</v>
      </c>
      <c r="I568" s="3">
        <v>8000</v>
      </c>
      <c r="J568" s="3">
        <v>1</v>
      </c>
      <c r="K568" s="3">
        <v>4400</v>
      </c>
      <c r="L568" s="3">
        <v>6379</v>
      </c>
      <c r="M568" s="3">
        <v>1</v>
      </c>
      <c r="N568" s="14">
        <v>6159.3669019999998</v>
      </c>
      <c r="O568" s="7">
        <f t="shared" si="72"/>
        <v>1.2500000000000001E-2</v>
      </c>
      <c r="P568" s="14">
        <f t="shared" si="73"/>
        <v>6159.3669019999998</v>
      </c>
      <c r="Q568" s="14">
        <f t="shared" si="74"/>
        <v>6159.3669019999998</v>
      </c>
      <c r="R568" s="4">
        <f t="shared" si="75"/>
        <v>100</v>
      </c>
      <c r="S568" s="14">
        <f t="shared" si="76"/>
        <v>965.56935287662634</v>
      </c>
      <c r="T568" s="4">
        <f t="shared" si="77"/>
        <v>55.000000000000007</v>
      </c>
      <c r="U568" s="3">
        <f>LEN(A568) - LEN(SUBSTITUTE(A568,"&gt;","")) +1</f>
        <v>6</v>
      </c>
      <c r="V568" s="8">
        <f t="shared" si="78"/>
        <v>1.2500000000000001E-2</v>
      </c>
      <c r="W568" s="14">
        <f t="shared" si="79"/>
        <v>1026.5611503333332</v>
      </c>
      <c r="X568" s="4">
        <f t="shared" si="80"/>
        <v>2.029429355140565E-4</v>
      </c>
    </row>
    <row r="569" spans="1:24" ht="14.25" customHeight="1" x14ac:dyDescent="0.2">
      <c r="A569" s="5" t="s">
        <v>1962</v>
      </c>
      <c r="B569" s="3" t="s">
        <v>24</v>
      </c>
      <c r="C569" s="3" t="s">
        <v>35</v>
      </c>
      <c r="D569" s="3" t="s">
        <v>2353</v>
      </c>
      <c r="E569" s="3" t="s">
        <v>2354</v>
      </c>
      <c r="F569" s="3" t="s">
        <v>728</v>
      </c>
      <c r="G569" s="3" t="s">
        <v>22</v>
      </c>
      <c r="H569" s="3" t="s">
        <v>19</v>
      </c>
      <c r="I569" s="3">
        <v>8217</v>
      </c>
      <c r="J569" s="3">
        <v>1</v>
      </c>
      <c r="K569" s="3">
        <v>5740</v>
      </c>
      <c r="L569" s="3">
        <v>8009</v>
      </c>
      <c r="M569" s="3">
        <v>1</v>
      </c>
      <c r="N569" s="14">
        <v>6051.3346229999997</v>
      </c>
      <c r="O569" s="7">
        <f t="shared" si="72"/>
        <v>1.2169891687963978E-2</v>
      </c>
      <c r="P569" s="14">
        <f t="shared" si="73"/>
        <v>6051.3346229999997</v>
      </c>
      <c r="Q569" s="14">
        <f t="shared" si="74"/>
        <v>6051.3346229999997</v>
      </c>
      <c r="R569" s="4">
        <f t="shared" si="75"/>
        <v>100</v>
      </c>
      <c r="S569" s="14">
        <f t="shared" si="76"/>
        <v>755.56681520789107</v>
      </c>
      <c r="T569" s="4">
        <f t="shared" si="77"/>
        <v>69.855178288913237</v>
      </c>
      <c r="U569" s="3">
        <f>LEN(A569) - LEN(SUBSTITUTE(A569,"&gt;","")) +1</f>
        <v>5</v>
      </c>
      <c r="V569" s="8">
        <f t="shared" si="78"/>
        <v>1.2169891687963978E-2</v>
      </c>
      <c r="W569" s="14">
        <f t="shared" si="79"/>
        <v>1210.2669246</v>
      </c>
      <c r="X569" s="4">
        <f t="shared" si="80"/>
        <v>2.0111086968663871E-4</v>
      </c>
    </row>
    <row r="570" spans="1:24" ht="14.25" customHeight="1" x14ac:dyDescent="0.2">
      <c r="A570" s="5" t="s">
        <v>1963</v>
      </c>
      <c r="B570" s="3" t="s">
        <v>24</v>
      </c>
      <c r="C570" s="3" t="s">
        <v>35</v>
      </c>
      <c r="D570" s="3" t="s">
        <v>2353</v>
      </c>
      <c r="E570" s="3" t="s">
        <v>2354</v>
      </c>
      <c r="F570" s="3" t="s">
        <v>40</v>
      </c>
      <c r="G570" s="3" t="s">
        <v>27</v>
      </c>
      <c r="H570" s="3" t="s">
        <v>163</v>
      </c>
      <c r="I570" s="3">
        <v>29834</v>
      </c>
      <c r="J570" s="3">
        <v>1</v>
      </c>
      <c r="K570" s="3">
        <v>14599</v>
      </c>
      <c r="L570" s="3">
        <v>24656</v>
      </c>
      <c r="M570" s="3">
        <v>2</v>
      </c>
      <c r="N570" s="14">
        <v>6032.8371139999999</v>
      </c>
      <c r="O570" s="7">
        <f t="shared" si="72"/>
        <v>3.3518804049071532E-3</v>
      </c>
      <c r="P570" s="14">
        <f t="shared" si="73"/>
        <v>6032.8371139999999</v>
      </c>
      <c r="Q570" s="14">
        <f t="shared" si="74"/>
        <v>3016.418557</v>
      </c>
      <c r="R570" s="4">
        <f t="shared" si="75"/>
        <v>200</v>
      </c>
      <c r="S570" s="14">
        <f t="shared" si="76"/>
        <v>244.68028528552887</v>
      </c>
      <c r="T570" s="4">
        <f t="shared" si="77"/>
        <v>48.934102031239526</v>
      </c>
      <c r="U570" s="3">
        <f>LEN(A570) - LEN(SUBSTITUTE(A570,"&gt;","")) +1</f>
        <v>5</v>
      </c>
      <c r="V570" s="8">
        <f t="shared" si="78"/>
        <v>6.7037608098143055E-3</v>
      </c>
      <c r="W570" s="14">
        <f t="shared" si="79"/>
        <v>1206.5674228</v>
      </c>
      <c r="X570" s="4">
        <f t="shared" si="80"/>
        <v>2.2224239385669269E-4</v>
      </c>
    </row>
    <row r="571" spans="1:24" ht="14.25" customHeight="1" x14ac:dyDescent="0.2">
      <c r="A571" s="5" t="s">
        <v>1964</v>
      </c>
      <c r="B571" s="3" t="s">
        <v>14</v>
      </c>
      <c r="C571" s="3" t="s">
        <v>15</v>
      </c>
      <c r="D571" s="3" t="s">
        <v>2362</v>
      </c>
      <c r="E571" s="3" t="s">
        <v>2352</v>
      </c>
      <c r="F571" s="3" t="s">
        <v>853</v>
      </c>
      <c r="G571" s="3" t="s">
        <v>27</v>
      </c>
      <c r="H571" s="3" t="s">
        <v>19</v>
      </c>
      <c r="I571" s="3">
        <v>8068</v>
      </c>
      <c r="J571" s="3">
        <v>1</v>
      </c>
      <c r="K571" s="3">
        <v>5545</v>
      </c>
      <c r="L571" s="3">
        <v>7554</v>
      </c>
      <c r="M571" s="3">
        <v>1</v>
      </c>
      <c r="N571" s="14">
        <v>5995.0410019999999</v>
      </c>
      <c r="O571" s="7">
        <f t="shared" si="72"/>
        <v>1.2394645513138323E-2</v>
      </c>
      <c r="P571" s="14">
        <f t="shared" si="73"/>
        <v>5995.0410019999999</v>
      </c>
      <c r="Q571" s="14">
        <f t="shared" si="74"/>
        <v>5995.0410019999999</v>
      </c>
      <c r="R571" s="4">
        <f t="shared" si="75"/>
        <v>100</v>
      </c>
      <c r="S571" s="14">
        <f t="shared" si="76"/>
        <v>793.62470240931964</v>
      </c>
      <c r="T571" s="4">
        <f t="shared" si="77"/>
        <v>68.728309370352008</v>
      </c>
      <c r="U571" s="3">
        <f>LEN(A571) - LEN(SUBSTITUTE(A571,"&gt;","")) +1</f>
        <v>6</v>
      </c>
      <c r="V571" s="8">
        <f t="shared" si="78"/>
        <v>1.2394645513138325E-2</v>
      </c>
      <c r="W571" s="14">
        <f t="shared" si="79"/>
        <v>999.17350033333332</v>
      </c>
      <c r="X571" s="4">
        <f t="shared" si="80"/>
        <v>2.0674830262217318E-4</v>
      </c>
    </row>
    <row r="572" spans="1:24" ht="14.25" customHeight="1" x14ac:dyDescent="0.2">
      <c r="A572" s="5" t="s">
        <v>854</v>
      </c>
      <c r="B572" s="3" t="s">
        <v>14</v>
      </c>
      <c r="C572" s="3" t="s">
        <v>15</v>
      </c>
      <c r="D572" s="3" t="s">
        <v>2357</v>
      </c>
      <c r="E572" s="3" t="s">
        <v>2358</v>
      </c>
      <c r="F572" s="3" t="s">
        <v>478</v>
      </c>
      <c r="G572" s="3" t="s">
        <v>76</v>
      </c>
      <c r="H572" s="3" t="s">
        <v>19</v>
      </c>
      <c r="I572" s="3">
        <v>5873</v>
      </c>
      <c r="J572" s="3">
        <v>1</v>
      </c>
      <c r="K572" s="3">
        <v>2703</v>
      </c>
      <c r="L572" s="3">
        <v>5141</v>
      </c>
      <c r="M572" s="3">
        <v>3</v>
      </c>
      <c r="N572" s="14">
        <v>5949.9386940000004</v>
      </c>
      <c r="O572" s="7">
        <f t="shared" si="72"/>
        <v>1.7027073046143367E-2</v>
      </c>
      <c r="P572" s="14">
        <f t="shared" si="73"/>
        <v>5949.9386940000004</v>
      </c>
      <c r="Q572" s="14">
        <f t="shared" si="74"/>
        <v>1983.3128980000001</v>
      </c>
      <c r="R572" s="4">
        <f t="shared" si="75"/>
        <v>300</v>
      </c>
      <c r="S572" s="14">
        <f t="shared" si="76"/>
        <v>1157.3504559424237</v>
      </c>
      <c r="T572" s="4">
        <f t="shared" si="77"/>
        <v>46.024178443725525</v>
      </c>
      <c r="U572" s="3">
        <f>LEN(A572) - LEN(SUBSTITUTE(A572,"&gt;","")) +1</f>
        <v>4</v>
      </c>
      <c r="V572" s="8">
        <f t="shared" si="78"/>
        <v>5.1081219138430105E-2</v>
      </c>
      <c r="W572" s="14">
        <f t="shared" si="79"/>
        <v>1487.4846735000001</v>
      </c>
      <c r="X572" s="4">
        <f t="shared" si="80"/>
        <v>2.5755501912956397E-3</v>
      </c>
    </row>
    <row r="573" spans="1:24" ht="14.25" customHeight="1" x14ac:dyDescent="0.2">
      <c r="A573" s="5" t="s">
        <v>1965</v>
      </c>
      <c r="B573" s="3" t="s">
        <v>14</v>
      </c>
      <c r="C573" s="3" t="s">
        <v>15</v>
      </c>
      <c r="D573" s="3" t="s">
        <v>2381</v>
      </c>
      <c r="E573" s="3" t="s">
        <v>2365</v>
      </c>
      <c r="F573" s="3" t="s">
        <v>856</v>
      </c>
      <c r="G573" s="3" t="s">
        <v>41</v>
      </c>
      <c r="H573" s="3" t="s">
        <v>19</v>
      </c>
      <c r="I573" s="3">
        <v>6922</v>
      </c>
      <c r="J573" s="3">
        <v>1</v>
      </c>
      <c r="K573" s="3">
        <v>3974</v>
      </c>
      <c r="L573" s="3">
        <v>6498</v>
      </c>
      <c r="M573" s="3">
        <v>1</v>
      </c>
      <c r="N573" s="14">
        <v>5886.8659710000002</v>
      </c>
      <c r="O573" s="7">
        <f t="shared" si="72"/>
        <v>1.4446691707598961E-2</v>
      </c>
      <c r="P573" s="14">
        <f t="shared" si="73"/>
        <v>5886.8659710000002</v>
      </c>
      <c r="Q573" s="14">
        <f t="shared" si="74"/>
        <v>5886.8659710000002</v>
      </c>
      <c r="R573" s="4">
        <f t="shared" si="75"/>
        <v>100</v>
      </c>
      <c r="S573" s="14">
        <f t="shared" si="76"/>
        <v>905.95044182825495</v>
      </c>
      <c r="T573" s="4">
        <f t="shared" si="77"/>
        <v>57.411152845998274</v>
      </c>
      <c r="U573" s="3">
        <f>LEN(A573) - LEN(SUBSTITUTE(A573,"&gt;","")) +1</f>
        <v>5</v>
      </c>
      <c r="V573" s="8">
        <f t="shared" si="78"/>
        <v>1.444669170759896E-2</v>
      </c>
      <c r="W573" s="14">
        <f t="shared" si="79"/>
        <v>1177.3731941999999</v>
      </c>
      <c r="X573" s="4">
        <f t="shared" si="80"/>
        <v>2.4540548024647667E-4</v>
      </c>
    </row>
    <row r="574" spans="1:24" ht="14.25" customHeight="1" x14ac:dyDescent="0.2">
      <c r="A574" s="5" t="s">
        <v>857</v>
      </c>
      <c r="B574" s="3" t="s">
        <v>14</v>
      </c>
      <c r="C574" s="3" t="s">
        <v>32</v>
      </c>
      <c r="D574" s="3" t="s">
        <v>2349</v>
      </c>
      <c r="E574" s="3" t="s">
        <v>2350</v>
      </c>
      <c r="F574" s="3" t="s">
        <v>247</v>
      </c>
      <c r="G574" s="3" t="s">
        <v>27</v>
      </c>
      <c r="H574" s="3" t="s">
        <v>19</v>
      </c>
      <c r="I574" s="3">
        <v>9515</v>
      </c>
      <c r="J574" s="3">
        <v>1</v>
      </c>
      <c r="K574" s="3">
        <v>6169</v>
      </c>
      <c r="L574" s="3">
        <v>9138</v>
      </c>
      <c r="M574" s="3">
        <v>1</v>
      </c>
      <c r="N574" s="14">
        <v>5776.508186</v>
      </c>
      <c r="O574" s="7">
        <f t="shared" si="72"/>
        <v>1.0509721492380452E-2</v>
      </c>
      <c r="P574" s="14">
        <f t="shared" si="73"/>
        <v>5776.508186</v>
      </c>
      <c r="Q574" s="14">
        <f t="shared" si="74"/>
        <v>5776.508186</v>
      </c>
      <c r="R574" s="4">
        <f t="shared" si="75"/>
        <v>100</v>
      </c>
      <c r="S574" s="14">
        <f t="shared" si="76"/>
        <v>632.14140796673234</v>
      </c>
      <c r="T574" s="4">
        <f t="shared" si="77"/>
        <v>64.83447188649501</v>
      </c>
      <c r="U574" s="3">
        <f>LEN(A574) - LEN(SUBSTITUTE(A574,"&gt;","")) +1</f>
        <v>4</v>
      </c>
      <c r="V574" s="8">
        <f t="shared" si="78"/>
        <v>1.0509721492380452E-2</v>
      </c>
      <c r="W574" s="14">
        <f t="shared" si="79"/>
        <v>1444.1270465</v>
      </c>
      <c r="X574" s="4">
        <f t="shared" si="80"/>
        <v>1.8193900456770602E-4</v>
      </c>
    </row>
    <row r="575" spans="1:24" ht="14.25" customHeight="1" x14ac:dyDescent="0.2">
      <c r="A575" s="5" t="s">
        <v>1966</v>
      </c>
      <c r="B575" s="3" t="s">
        <v>14</v>
      </c>
      <c r="C575" s="3" t="s">
        <v>32</v>
      </c>
      <c r="D575" s="3" t="s">
        <v>2357</v>
      </c>
      <c r="E575" s="3" t="s">
        <v>2358</v>
      </c>
      <c r="F575" s="3" t="s">
        <v>111</v>
      </c>
      <c r="G575" s="3" t="s">
        <v>27</v>
      </c>
      <c r="H575" s="3" t="s">
        <v>19</v>
      </c>
      <c r="I575" s="3">
        <v>23711</v>
      </c>
      <c r="J575" s="3">
        <v>1</v>
      </c>
      <c r="K575" s="3">
        <v>4337</v>
      </c>
      <c r="L575" s="3">
        <v>17211</v>
      </c>
      <c r="M575" s="3">
        <v>1</v>
      </c>
      <c r="N575" s="14">
        <v>5740.9522189999998</v>
      </c>
      <c r="O575" s="7">
        <f t="shared" si="72"/>
        <v>4.2174518156130065E-3</v>
      </c>
      <c r="P575" s="14">
        <f t="shared" si="73"/>
        <v>5740.9522189999998</v>
      </c>
      <c r="Q575" s="14">
        <f t="shared" si="74"/>
        <v>5740.9522189999998</v>
      </c>
      <c r="R575" s="4">
        <f t="shared" si="75"/>
        <v>100</v>
      </c>
      <c r="S575" s="14">
        <f t="shared" si="76"/>
        <v>333.56296664923593</v>
      </c>
      <c r="T575" s="4">
        <f t="shared" si="77"/>
        <v>18.291088524313608</v>
      </c>
      <c r="U575" s="3">
        <f>LEN(A575) - LEN(SUBSTITUTE(A575,"&gt;","")) +1</f>
        <v>5</v>
      </c>
      <c r="V575" s="8">
        <f t="shared" si="78"/>
        <v>4.2174518156130065E-3</v>
      </c>
      <c r="W575" s="14">
        <f t="shared" si="79"/>
        <v>1148.1904437999999</v>
      </c>
      <c r="X575" s="4">
        <f t="shared" si="80"/>
        <v>7.3462583465772735E-5</v>
      </c>
    </row>
    <row r="576" spans="1:24" ht="14.25" customHeight="1" x14ac:dyDescent="0.2">
      <c r="A576" s="5" t="s">
        <v>1967</v>
      </c>
      <c r="B576" s="3" t="s">
        <v>24</v>
      </c>
      <c r="C576" s="3" t="s">
        <v>35</v>
      </c>
      <c r="D576" s="3" t="s">
        <v>2349</v>
      </c>
      <c r="E576" s="3" t="s">
        <v>2350</v>
      </c>
      <c r="F576" s="3" t="s">
        <v>860</v>
      </c>
      <c r="G576" s="3" t="s">
        <v>38</v>
      </c>
      <c r="H576" s="3" t="s">
        <v>19</v>
      </c>
      <c r="I576" s="3">
        <v>4473</v>
      </c>
      <c r="J576" s="3">
        <v>1</v>
      </c>
      <c r="K576" s="3">
        <v>4184</v>
      </c>
      <c r="L576" s="3">
        <v>4346</v>
      </c>
      <c r="M576" s="3">
        <v>3</v>
      </c>
      <c r="N576" s="14">
        <v>5673.320874</v>
      </c>
      <c r="O576" s="7">
        <f t="shared" si="72"/>
        <v>2.23563603845294E-2</v>
      </c>
      <c r="P576" s="14">
        <f t="shared" si="73"/>
        <v>5673.320874</v>
      </c>
      <c r="Q576" s="14">
        <f t="shared" si="74"/>
        <v>1891.1069580000001</v>
      </c>
      <c r="R576" s="4">
        <f t="shared" si="75"/>
        <v>300</v>
      </c>
      <c r="S576" s="14">
        <f t="shared" si="76"/>
        <v>1305.4120740911183</v>
      </c>
      <c r="T576" s="4">
        <f t="shared" si="77"/>
        <v>93.539011848870999</v>
      </c>
      <c r="U576" s="3">
        <f>LEN(A576) - LEN(SUBSTITUTE(A576,"&gt;","")) +1</f>
        <v>6</v>
      </c>
      <c r="V576" s="8">
        <f t="shared" si="78"/>
        <v>6.70690811535882E-2</v>
      </c>
      <c r="W576" s="14">
        <f t="shared" si="79"/>
        <v>945.55347900000004</v>
      </c>
      <c r="X576" s="4">
        <f t="shared" si="80"/>
        <v>3.5465514454306288E-3</v>
      </c>
    </row>
    <row r="577" spans="1:24" ht="14.25" customHeight="1" x14ac:dyDescent="0.2">
      <c r="A577" s="5" t="s">
        <v>1968</v>
      </c>
      <c r="B577" s="3" t="s">
        <v>14</v>
      </c>
      <c r="C577" s="3" t="s">
        <v>29</v>
      </c>
      <c r="D577" s="3" t="s">
        <v>2353</v>
      </c>
      <c r="E577" s="3" t="s">
        <v>2354</v>
      </c>
      <c r="F577" s="3" t="s">
        <v>862</v>
      </c>
      <c r="G577" s="3" t="s">
        <v>27</v>
      </c>
      <c r="H577" s="3" t="s">
        <v>19</v>
      </c>
      <c r="I577" s="3">
        <v>17317</v>
      </c>
      <c r="J577" s="3">
        <v>1</v>
      </c>
      <c r="K577" s="3">
        <v>8055</v>
      </c>
      <c r="L577" s="3">
        <v>12724</v>
      </c>
      <c r="M577" s="3">
        <v>1</v>
      </c>
      <c r="N577" s="14">
        <v>5668.8570790000003</v>
      </c>
      <c r="O577" s="7">
        <f t="shared" si="72"/>
        <v>5.7746722873476932E-3</v>
      </c>
      <c r="P577" s="14">
        <f t="shared" si="73"/>
        <v>5668.8570790000003</v>
      </c>
      <c r="Q577" s="14">
        <f t="shared" si="74"/>
        <v>5668.8570790000003</v>
      </c>
      <c r="R577" s="4">
        <f t="shared" si="75"/>
        <v>100</v>
      </c>
      <c r="S577" s="14">
        <f t="shared" si="76"/>
        <v>445.52476257466208</v>
      </c>
      <c r="T577" s="4">
        <f t="shared" si="77"/>
        <v>46.514985274585669</v>
      </c>
      <c r="U577" s="3">
        <f>LEN(A577) - LEN(SUBSTITUTE(A577,"&gt;","")) +1</f>
        <v>5</v>
      </c>
      <c r="V577" s="8">
        <f t="shared" si="78"/>
        <v>5.7746722873476932E-3</v>
      </c>
      <c r="W577" s="14">
        <f t="shared" si="79"/>
        <v>1133.7714158000001</v>
      </c>
      <c r="X577" s="4">
        <f t="shared" si="80"/>
        <v>1.0186660568211677E-4</v>
      </c>
    </row>
    <row r="578" spans="1:24" ht="14.25" customHeight="1" x14ac:dyDescent="0.2">
      <c r="A578" s="5" t="s">
        <v>1969</v>
      </c>
      <c r="B578" s="3" t="s">
        <v>14</v>
      </c>
      <c r="C578" s="3" t="s">
        <v>15</v>
      </c>
      <c r="D578" s="3" t="s">
        <v>2363</v>
      </c>
      <c r="E578" s="3" t="s">
        <v>2358</v>
      </c>
      <c r="F578" s="3" t="s">
        <v>271</v>
      </c>
      <c r="G578" s="3" t="s">
        <v>22</v>
      </c>
      <c r="H578" s="3" t="s">
        <v>19</v>
      </c>
      <c r="I578" s="3">
        <v>7769</v>
      </c>
      <c r="J578" s="3">
        <v>1</v>
      </c>
      <c r="K578" s="3">
        <v>3152</v>
      </c>
      <c r="L578" s="3">
        <v>6464</v>
      </c>
      <c r="M578" s="3">
        <v>1</v>
      </c>
      <c r="N578" s="14">
        <v>5603.0481319999999</v>
      </c>
      <c r="O578" s="7">
        <f t="shared" si="72"/>
        <v>1.2871669455528383E-2</v>
      </c>
      <c r="P578" s="14">
        <f t="shared" si="73"/>
        <v>5603.0481319999999</v>
      </c>
      <c r="Q578" s="14">
        <f t="shared" si="74"/>
        <v>5603.0481319999999</v>
      </c>
      <c r="R578" s="4">
        <f t="shared" si="75"/>
        <v>100</v>
      </c>
      <c r="S578" s="14">
        <f t="shared" si="76"/>
        <v>866.80818873762382</v>
      </c>
      <c r="T578" s="4">
        <f t="shared" si="77"/>
        <v>40.571502123825461</v>
      </c>
      <c r="U578" s="3">
        <f>LEN(A578) - LEN(SUBSTITUTE(A578,"&gt;","")) +1</f>
        <v>5</v>
      </c>
      <c r="V578" s="8">
        <f t="shared" si="78"/>
        <v>1.2871669455528383E-2</v>
      </c>
      <c r="W578" s="14">
        <f t="shared" si="79"/>
        <v>1120.6096264</v>
      </c>
      <c r="X578" s="4">
        <f t="shared" si="80"/>
        <v>2.2972619817445436E-4</v>
      </c>
    </row>
    <row r="579" spans="1:24" ht="14.25" customHeight="1" x14ac:dyDescent="0.2">
      <c r="A579" s="5" t="s">
        <v>1970</v>
      </c>
      <c r="B579" s="3" t="s">
        <v>14</v>
      </c>
      <c r="C579" s="3" t="s">
        <v>15</v>
      </c>
      <c r="D579" s="3" t="s">
        <v>2359</v>
      </c>
      <c r="E579" s="3" t="s">
        <v>2360</v>
      </c>
      <c r="F579" s="3" t="s">
        <v>865</v>
      </c>
      <c r="G579" s="3" t="s">
        <v>27</v>
      </c>
      <c r="H579" s="3" t="s">
        <v>19</v>
      </c>
      <c r="I579" s="3">
        <v>9533</v>
      </c>
      <c r="J579" s="3">
        <v>1</v>
      </c>
      <c r="K579" s="3">
        <v>6548</v>
      </c>
      <c r="L579" s="3">
        <v>9042</v>
      </c>
      <c r="M579" s="3">
        <v>16</v>
      </c>
      <c r="N579" s="14">
        <v>5574.5435049999996</v>
      </c>
      <c r="O579" s="7">
        <f t="shared" ref="O579:O642" si="81">IFERROR((J579/I579)*100, 0)</f>
        <v>1.0489877268435959E-2</v>
      </c>
      <c r="P579" s="14">
        <f t="shared" ref="P579:P642" si="82">IFERROR(N579/J579, 0)</f>
        <v>5574.5435049999996</v>
      </c>
      <c r="Q579" s="14">
        <f t="shared" ref="Q579:Q642" si="83">IFERROR(N579/M579, 0)</f>
        <v>348.40896906249998</v>
      </c>
      <c r="R579" s="4">
        <f t="shared" ref="R579:R642" si="84">IFERROR((M579/J579)*100, 0)</f>
        <v>1600</v>
      </c>
      <c r="S579" s="14">
        <f t="shared" ref="S579:S642" si="85">IFERROR((N579/L579)*1000, 0)</f>
        <v>616.51664510064143</v>
      </c>
      <c r="T579" s="4">
        <f t="shared" ref="T579:T642" si="86">(K579/I579)*100</f>
        <v>68.68771635371867</v>
      </c>
      <c r="U579" s="3">
        <f>LEN(A579) - LEN(SUBSTITUTE(A579,"&gt;","")) +1</f>
        <v>6</v>
      </c>
      <c r="V579" s="8">
        <f t="shared" ref="V579:V642" si="87">R579/I579</f>
        <v>0.16783803629497535</v>
      </c>
      <c r="W579" s="14">
        <f t="shared" ref="W579:W642" si="88">N579/U579</f>
        <v>929.09058416666664</v>
      </c>
      <c r="X579" s="4">
        <f t="shared" ref="X579:X642" si="89">(O579*R579/Q579)</f>
        <v>4.8172708282049823E-2</v>
      </c>
    </row>
    <row r="580" spans="1:24" ht="14.25" customHeight="1" x14ac:dyDescent="0.2">
      <c r="A580" s="5" t="s">
        <v>1971</v>
      </c>
      <c r="B580" s="3" t="s">
        <v>24</v>
      </c>
      <c r="C580" s="3" t="s">
        <v>15</v>
      </c>
      <c r="D580" s="3" t="s">
        <v>2357</v>
      </c>
      <c r="E580" s="3" t="s">
        <v>2358</v>
      </c>
      <c r="F580" s="3" t="s">
        <v>543</v>
      </c>
      <c r="G580" s="3" t="s">
        <v>27</v>
      </c>
      <c r="H580" s="3" t="s">
        <v>163</v>
      </c>
      <c r="I580" s="3">
        <v>20833</v>
      </c>
      <c r="J580" s="3">
        <v>1</v>
      </c>
      <c r="K580" s="3">
        <v>1777</v>
      </c>
      <c r="L580" s="3">
        <v>17211</v>
      </c>
      <c r="M580" s="3">
        <v>2</v>
      </c>
      <c r="N580" s="14">
        <v>5542.5121810000001</v>
      </c>
      <c r="O580" s="7">
        <f t="shared" si="81"/>
        <v>4.8000768012288197E-3</v>
      </c>
      <c r="P580" s="14">
        <f t="shared" si="82"/>
        <v>5542.5121810000001</v>
      </c>
      <c r="Q580" s="14">
        <f t="shared" si="83"/>
        <v>2771.2560905</v>
      </c>
      <c r="R580" s="4">
        <f t="shared" si="84"/>
        <v>200</v>
      </c>
      <c r="S580" s="14">
        <f t="shared" si="85"/>
        <v>322.0331288710708</v>
      </c>
      <c r="T580" s="4">
        <f t="shared" si="86"/>
        <v>8.5297364757836132</v>
      </c>
      <c r="U580" s="3">
        <f>LEN(A580) - LEN(SUBSTITUTE(A580,"&gt;","")) +1</f>
        <v>5</v>
      </c>
      <c r="V580" s="8">
        <f t="shared" si="87"/>
        <v>9.6001536024576395E-3</v>
      </c>
      <c r="W580" s="14">
        <f t="shared" si="88"/>
        <v>1108.5024361999999</v>
      </c>
      <c r="X580" s="4">
        <f t="shared" si="89"/>
        <v>3.4641885444536974E-4</v>
      </c>
    </row>
    <row r="581" spans="1:24" ht="14.25" customHeight="1" x14ac:dyDescent="0.2">
      <c r="A581" s="5" t="s">
        <v>1972</v>
      </c>
      <c r="B581" s="3" t="s">
        <v>14</v>
      </c>
      <c r="C581" s="3" t="s">
        <v>32</v>
      </c>
      <c r="D581" s="3" t="s">
        <v>2366</v>
      </c>
      <c r="E581" s="3" t="s">
        <v>2352</v>
      </c>
      <c r="F581" s="3" t="s">
        <v>706</v>
      </c>
      <c r="G581" s="3" t="s">
        <v>41</v>
      </c>
      <c r="H581" s="3" t="s">
        <v>19</v>
      </c>
      <c r="I581" s="3">
        <v>7061</v>
      </c>
      <c r="J581" s="3">
        <v>1</v>
      </c>
      <c r="K581" s="3">
        <v>3728</v>
      </c>
      <c r="L581" s="3">
        <v>5923</v>
      </c>
      <c r="M581" s="3">
        <v>3</v>
      </c>
      <c r="N581" s="14">
        <v>5539.7114929999998</v>
      </c>
      <c r="O581" s="7">
        <f t="shared" si="81"/>
        <v>1.41622999575131E-2</v>
      </c>
      <c r="P581" s="14">
        <f t="shared" si="82"/>
        <v>5539.7114929999998</v>
      </c>
      <c r="Q581" s="14">
        <f t="shared" si="83"/>
        <v>1846.5704976666666</v>
      </c>
      <c r="R581" s="4">
        <f t="shared" si="84"/>
        <v>300</v>
      </c>
      <c r="S581" s="14">
        <f t="shared" si="85"/>
        <v>935.28811294951879</v>
      </c>
      <c r="T581" s="4">
        <f t="shared" si="86"/>
        <v>52.797054241608834</v>
      </c>
      <c r="U581" s="3">
        <f>LEN(A581) - LEN(SUBSTITUTE(A581,"&gt;","")) +1</f>
        <v>5</v>
      </c>
      <c r="V581" s="8">
        <f t="shared" si="87"/>
        <v>4.2486899872539299E-2</v>
      </c>
      <c r="W581" s="14">
        <f t="shared" si="88"/>
        <v>1107.9422986</v>
      </c>
      <c r="X581" s="4">
        <f t="shared" si="89"/>
        <v>2.3008544719102741E-3</v>
      </c>
    </row>
    <row r="582" spans="1:24" ht="14.25" customHeight="1" x14ac:dyDescent="0.2">
      <c r="A582" s="5" t="s">
        <v>1973</v>
      </c>
      <c r="B582" s="3" t="s">
        <v>68</v>
      </c>
      <c r="C582" s="3" t="s">
        <v>15</v>
      </c>
      <c r="D582" s="3" t="s">
        <v>2353</v>
      </c>
      <c r="E582" s="3" t="s">
        <v>2354</v>
      </c>
      <c r="F582" s="3" t="s">
        <v>869</v>
      </c>
      <c r="G582" s="3" t="s">
        <v>27</v>
      </c>
      <c r="H582" s="3" t="s">
        <v>19</v>
      </c>
      <c r="I582" s="3">
        <v>1870</v>
      </c>
      <c r="J582" s="3">
        <v>1</v>
      </c>
      <c r="K582" s="3">
        <v>514</v>
      </c>
      <c r="L582" s="3">
        <v>1717</v>
      </c>
      <c r="M582" s="3">
        <v>13</v>
      </c>
      <c r="N582" s="14">
        <v>5524.7963579999996</v>
      </c>
      <c r="O582" s="7">
        <f t="shared" si="81"/>
        <v>5.3475935828877004E-2</v>
      </c>
      <c r="P582" s="14">
        <f t="shared" si="82"/>
        <v>5524.7963579999996</v>
      </c>
      <c r="Q582" s="14">
        <f t="shared" si="83"/>
        <v>424.9843352307692</v>
      </c>
      <c r="R582" s="4">
        <f t="shared" si="84"/>
        <v>1300</v>
      </c>
      <c r="S582" s="14">
        <f t="shared" si="85"/>
        <v>3217.7031788002328</v>
      </c>
      <c r="T582" s="4">
        <f t="shared" si="86"/>
        <v>27.486631016042779</v>
      </c>
      <c r="U582" s="3">
        <f>LEN(A582) - LEN(SUBSTITUTE(A582,"&gt;","")) +1</f>
        <v>5</v>
      </c>
      <c r="V582" s="8">
        <f t="shared" si="87"/>
        <v>0.69518716577540107</v>
      </c>
      <c r="W582" s="14">
        <f t="shared" si="88"/>
        <v>1104.9592716</v>
      </c>
      <c r="X582" s="4">
        <f t="shared" si="89"/>
        <v>0.1635794800290486</v>
      </c>
    </row>
    <row r="583" spans="1:24" ht="14.25" customHeight="1" x14ac:dyDescent="0.2">
      <c r="A583" s="5" t="s">
        <v>1974</v>
      </c>
      <c r="B583" s="3" t="s">
        <v>14</v>
      </c>
      <c r="C583" s="3" t="s">
        <v>29</v>
      </c>
      <c r="D583" s="3" t="s">
        <v>2389</v>
      </c>
      <c r="E583" s="3" t="s">
        <v>2390</v>
      </c>
      <c r="F583" s="3" t="s">
        <v>740</v>
      </c>
      <c r="G583" s="3" t="s">
        <v>27</v>
      </c>
      <c r="H583" s="3" t="s">
        <v>19</v>
      </c>
      <c r="I583" s="3">
        <v>109709</v>
      </c>
      <c r="J583" s="3">
        <v>1</v>
      </c>
      <c r="K583" s="3">
        <v>3064</v>
      </c>
      <c r="L583" s="3">
        <v>15428</v>
      </c>
      <c r="M583" s="3">
        <v>20</v>
      </c>
      <c r="N583" s="14">
        <v>5409.0839550000001</v>
      </c>
      <c r="O583" s="7">
        <f t="shared" si="81"/>
        <v>9.1150224685303846E-4</v>
      </c>
      <c r="P583" s="14">
        <f t="shared" si="82"/>
        <v>5409.0839550000001</v>
      </c>
      <c r="Q583" s="14">
        <f t="shared" si="83"/>
        <v>270.45419774999999</v>
      </c>
      <c r="R583" s="4">
        <f t="shared" si="84"/>
        <v>2000</v>
      </c>
      <c r="S583" s="14">
        <f t="shared" si="85"/>
        <v>350.60176011148565</v>
      </c>
      <c r="T583" s="4">
        <f t="shared" si="86"/>
        <v>2.79284288435771</v>
      </c>
      <c r="U583" s="3">
        <f>LEN(A583) - LEN(SUBSTITUTE(A583,"&gt;","")) +1</f>
        <v>5</v>
      </c>
      <c r="V583" s="8">
        <f t="shared" si="87"/>
        <v>1.823004493706077E-2</v>
      </c>
      <c r="W583" s="14">
        <f t="shared" si="88"/>
        <v>1081.816791</v>
      </c>
      <c r="X583" s="4">
        <f t="shared" si="89"/>
        <v>6.7405294828931052E-3</v>
      </c>
    </row>
    <row r="584" spans="1:24" ht="14.25" customHeight="1" x14ac:dyDescent="0.2">
      <c r="A584" s="5" t="s">
        <v>1975</v>
      </c>
      <c r="B584" s="3" t="s">
        <v>24</v>
      </c>
      <c r="C584" s="3" t="s">
        <v>32</v>
      </c>
      <c r="D584" s="3" t="s">
        <v>2363</v>
      </c>
      <c r="E584" s="3" t="s">
        <v>2358</v>
      </c>
      <c r="F584" s="3" t="s">
        <v>157</v>
      </c>
      <c r="G584" s="3" t="s">
        <v>22</v>
      </c>
      <c r="H584" s="3" t="s">
        <v>19</v>
      </c>
      <c r="I584" s="3">
        <v>11697</v>
      </c>
      <c r="J584" s="3">
        <v>1</v>
      </c>
      <c r="K584" s="3">
        <v>6761</v>
      </c>
      <c r="L584" s="3">
        <v>10783</v>
      </c>
      <c r="M584" s="3">
        <v>1</v>
      </c>
      <c r="N584" s="14">
        <v>5218.0702309999997</v>
      </c>
      <c r="O584" s="7">
        <f t="shared" si="81"/>
        <v>8.5492006497392501E-3</v>
      </c>
      <c r="P584" s="14">
        <f t="shared" si="82"/>
        <v>5218.0702309999997</v>
      </c>
      <c r="Q584" s="14">
        <f t="shared" si="83"/>
        <v>5218.0702309999997</v>
      </c>
      <c r="R584" s="4">
        <f t="shared" si="84"/>
        <v>100</v>
      </c>
      <c r="S584" s="14">
        <f t="shared" si="85"/>
        <v>483.91637123249558</v>
      </c>
      <c r="T584" s="4">
        <f t="shared" si="86"/>
        <v>57.80114559288706</v>
      </c>
      <c r="U584" s="3">
        <f>LEN(A584) - LEN(SUBSTITUTE(A584,"&gt;","")) +1</f>
        <v>6</v>
      </c>
      <c r="V584" s="8">
        <f t="shared" si="87"/>
        <v>8.5492006497392501E-3</v>
      </c>
      <c r="W584" s="14">
        <f t="shared" si="88"/>
        <v>869.67837183333324</v>
      </c>
      <c r="X584" s="4">
        <f t="shared" si="89"/>
        <v>1.6383835922616295E-4</v>
      </c>
    </row>
    <row r="585" spans="1:24" ht="14.25" customHeight="1" x14ac:dyDescent="0.2">
      <c r="A585" s="5" t="s">
        <v>1976</v>
      </c>
      <c r="B585" s="3" t="s">
        <v>24</v>
      </c>
      <c r="C585" s="3" t="s">
        <v>35</v>
      </c>
      <c r="D585" s="3" t="s">
        <v>2353</v>
      </c>
      <c r="E585" s="3" t="s">
        <v>2354</v>
      </c>
      <c r="F585" s="3" t="s">
        <v>873</v>
      </c>
      <c r="G585" s="3" t="s">
        <v>22</v>
      </c>
      <c r="H585" s="3" t="s">
        <v>19</v>
      </c>
      <c r="I585" s="3">
        <v>11681</v>
      </c>
      <c r="J585" s="3">
        <v>1</v>
      </c>
      <c r="K585" s="3">
        <v>4713</v>
      </c>
      <c r="L585" s="3">
        <v>8230</v>
      </c>
      <c r="M585" s="3">
        <v>1</v>
      </c>
      <c r="N585" s="14">
        <v>5216.6488790000003</v>
      </c>
      <c r="O585" s="7">
        <f t="shared" si="81"/>
        <v>8.5609108809177291E-3</v>
      </c>
      <c r="P585" s="14">
        <f t="shared" si="82"/>
        <v>5216.6488790000003</v>
      </c>
      <c r="Q585" s="14">
        <f t="shared" si="83"/>
        <v>5216.6488790000003</v>
      </c>
      <c r="R585" s="4">
        <f t="shared" si="84"/>
        <v>100</v>
      </c>
      <c r="S585" s="14">
        <f t="shared" si="85"/>
        <v>633.85770097205352</v>
      </c>
      <c r="T585" s="4">
        <f t="shared" si="86"/>
        <v>40.347572981765261</v>
      </c>
      <c r="U585" s="3">
        <f>LEN(A585) - LEN(SUBSTITUTE(A585,"&gt;","")) +1</f>
        <v>6</v>
      </c>
      <c r="V585" s="8">
        <f t="shared" si="87"/>
        <v>8.5609108809177291E-3</v>
      </c>
      <c r="W585" s="14">
        <f t="shared" si="88"/>
        <v>869.44147983333335</v>
      </c>
      <c r="X585" s="4">
        <f t="shared" si="89"/>
        <v>1.6410747741486492E-4</v>
      </c>
    </row>
    <row r="586" spans="1:24" ht="14.25" customHeight="1" x14ac:dyDescent="0.2">
      <c r="A586" s="5" t="s">
        <v>874</v>
      </c>
      <c r="B586" s="3" t="s">
        <v>24</v>
      </c>
      <c r="C586" s="3" t="s">
        <v>35</v>
      </c>
      <c r="D586" s="3" t="s">
        <v>2353</v>
      </c>
      <c r="E586" s="3" t="s">
        <v>2354</v>
      </c>
      <c r="F586" s="3" t="s">
        <v>635</v>
      </c>
      <c r="G586" s="3" t="s">
        <v>33</v>
      </c>
      <c r="H586" s="3" t="s">
        <v>114</v>
      </c>
      <c r="I586" s="3">
        <v>18537</v>
      </c>
      <c r="J586" s="3">
        <v>1</v>
      </c>
      <c r="K586" s="3">
        <v>6473</v>
      </c>
      <c r="L586" s="3">
        <v>17081</v>
      </c>
      <c r="M586" s="3">
        <v>1</v>
      </c>
      <c r="N586" s="14">
        <v>5206.2389679999997</v>
      </c>
      <c r="O586" s="7">
        <f t="shared" si="81"/>
        <v>5.394616173059287E-3</v>
      </c>
      <c r="P586" s="14">
        <f t="shared" si="82"/>
        <v>5206.2389679999997</v>
      </c>
      <c r="Q586" s="14">
        <f t="shared" si="83"/>
        <v>5206.2389679999997</v>
      </c>
      <c r="R586" s="4">
        <f t="shared" si="84"/>
        <v>100</v>
      </c>
      <c r="S586" s="14">
        <f t="shared" si="85"/>
        <v>304.79708260640473</v>
      </c>
      <c r="T586" s="4">
        <f t="shared" si="86"/>
        <v>34.919350488212764</v>
      </c>
      <c r="U586" s="3">
        <f>LEN(A586) - LEN(SUBSTITUTE(A586,"&gt;","")) +1</f>
        <v>4</v>
      </c>
      <c r="V586" s="8">
        <f t="shared" si="87"/>
        <v>5.394616173059287E-3</v>
      </c>
      <c r="W586" s="14">
        <f t="shared" si="88"/>
        <v>1301.5597419999999</v>
      </c>
      <c r="X586" s="4">
        <f t="shared" si="89"/>
        <v>1.0361829732014113E-4</v>
      </c>
    </row>
    <row r="587" spans="1:24" ht="14.25" customHeight="1" x14ac:dyDescent="0.2">
      <c r="A587" s="5" t="s">
        <v>1977</v>
      </c>
      <c r="B587" s="3" t="s">
        <v>24</v>
      </c>
      <c r="C587" s="3" t="s">
        <v>32</v>
      </c>
      <c r="D587" s="3" t="s">
        <v>2359</v>
      </c>
      <c r="E587" s="3" t="s">
        <v>2360</v>
      </c>
      <c r="F587" s="3" t="s">
        <v>111</v>
      </c>
      <c r="G587" s="3" t="s">
        <v>27</v>
      </c>
      <c r="H587" s="3" t="s">
        <v>19</v>
      </c>
      <c r="I587" s="3">
        <v>14730</v>
      </c>
      <c r="J587" s="3">
        <v>1</v>
      </c>
      <c r="K587" s="3">
        <v>1272</v>
      </c>
      <c r="L587" s="3">
        <v>12427</v>
      </c>
      <c r="M587" s="3">
        <v>1</v>
      </c>
      <c r="N587" s="14">
        <v>5190.5359980000003</v>
      </c>
      <c r="O587" s="7">
        <f t="shared" si="81"/>
        <v>6.788866259334691E-3</v>
      </c>
      <c r="P587" s="14">
        <f t="shared" si="82"/>
        <v>5190.5359980000003</v>
      </c>
      <c r="Q587" s="14">
        <f t="shared" si="83"/>
        <v>5190.5359980000003</v>
      </c>
      <c r="R587" s="4">
        <f t="shared" si="84"/>
        <v>100</v>
      </c>
      <c r="S587" s="14">
        <f t="shared" si="85"/>
        <v>417.68214355838097</v>
      </c>
      <c r="T587" s="4">
        <f t="shared" si="86"/>
        <v>8.6354378818737274</v>
      </c>
      <c r="U587" s="3">
        <f>LEN(A587) - LEN(SUBSTITUTE(A587,"&gt;","")) +1</f>
        <v>5</v>
      </c>
      <c r="V587" s="8">
        <f t="shared" si="87"/>
        <v>6.788866259334691E-3</v>
      </c>
      <c r="W587" s="14">
        <f t="shared" si="88"/>
        <v>1038.1071996000001</v>
      </c>
      <c r="X587" s="4">
        <f t="shared" si="89"/>
        <v>1.3079316398057069E-4</v>
      </c>
    </row>
    <row r="588" spans="1:24" ht="14.25" customHeight="1" x14ac:dyDescent="0.2">
      <c r="A588" s="5" t="s">
        <v>1978</v>
      </c>
      <c r="B588" s="3" t="s">
        <v>24</v>
      </c>
      <c r="C588" s="3" t="s">
        <v>15</v>
      </c>
      <c r="D588" s="3" t="s">
        <v>2349</v>
      </c>
      <c r="E588" s="3" t="s">
        <v>2350</v>
      </c>
      <c r="F588" s="3" t="s">
        <v>271</v>
      </c>
      <c r="G588" s="3" t="s">
        <v>38</v>
      </c>
      <c r="H588" s="3" t="s">
        <v>19</v>
      </c>
      <c r="I588" s="3">
        <v>7187</v>
      </c>
      <c r="J588" s="3">
        <v>1</v>
      </c>
      <c r="K588" s="3">
        <v>2710</v>
      </c>
      <c r="L588" s="3">
        <v>5928</v>
      </c>
      <c r="M588" s="3">
        <v>1</v>
      </c>
      <c r="N588" s="14">
        <v>5154.8713950000001</v>
      </c>
      <c r="O588" s="7">
        <f t="shared" si="81"/>
        <v>1.3914011409489356E-2</v>
      </c>
      <c r="P588" s="14">
        <f t="shared" si="82"/>
        <v>5154.8713950000001</v>
      </c>
      <c r="Q588" s="14">
        <f t="shared" si="83"/>
        <v>5154.8713950000001</v>
      </c>
      <c r="R588" s="4">
        <f t="shared" si="84"/>
        <v>100</v>
      </c>
      <c r="S588" s="14">
        <f t="shared" si="85"/>
        <v>869.58019483805674</v>
      </c>
      <c r="T588" s="4">
        <f t="shared" si="86"/>
        <v>37.706970919716156</v>
      </c>
      <c r="U588" s="3">
        <f>LEN(A588) - LEN(SUBSTITUTE(A588,"&gt;","")) +1</f>
        <v>5</v>
      </c>
      <c r="V588" s="8">
        <f t="shared" si="87"/>
        <v>1.3914011409489356E-2</v>
      </c>
      <c r="W588" s="14">
        <f t="shared" si="88"/>
        <v>1030.974279</v>
      </c>
      <c r="X588" s="4">
        <f t="shared" si="89"/>
        <v>2.6991966129330286E-4</v>
      </c>
    </row>
    <row r="589" spans="1:24" ht="14.25" customHeight="1" x14ac:dyDescent="0.2">
      <c r="A589" s="5" t="s">
        <v>1979</v>
      </c>
      <c r="B589" s="3" t="s">
        <v>24</v>
      </c>
      <c r="C589" s="3" t="s">
        <v>32</v>
      </c>
      <c r="D589" s="3" t="s">
        <v>2353</v>
      </c>
      <c r="E589" s="3" t="s">
        <v>2354</v>
      </c>
      <c r="F589" s="3" t="s">
        <v>72</v>
      </c>
      <c r="G589" s="3" t="s">
        <v>64</v>
      </c>
      <c r="H589" s="3" t="s">
        <v>19</v>
      </c>
      <c r="I589" s="3">
        <v>56945</v>
      </c>
      <c r="J589" s="3">
        <v>1</v>
      </c>
      <c r="K589" s="3">
        <v>20750</v>
      </c>
      <c r="L589" s="3">
        <v>50714</v>
      </c>
      <c r="M589" s="3">
        <v>6</v>
      </c>
      <c r="N589" s="14">
        <v>5144.4743710000002</v>
      </c>
      <c r="O589" s="7">
        <f t="shared" si="81"/>
        <v>1.7560804284836246E-3</v>
      </c>
      <c r="P589" s="14">
        <f t="shared" si="82"/>
        <v>5144.4743710000002</v>
      </c>
      <c r="Q589" s="14">
        <f t="shared" si="83"/>
        <v>857.41239516666667</v>
      </c>
      <c r="R589" s="4">
        <f t="shared" si="84"/>
        <v>600</v>
      </c>
      <c r="S589" s="14">
        <f t="shared" si="85"/>
        <v>101.44091120795048</v>
      </c>
      <c r="T589" s="4">
        <f t="shared" si="86"/>
        <v>36.438668891035206</v>
      </c>
      <c r="U589" s="3">
        <f>LEN(A589) - LEN(SUBSTITUTE(A589,"&gt;","")) +1</f>
        <v>5</v>
      </c>
      <c r="V589" s="8">
        <f t="shared" si="87"/>
        <v>1.0536482570901748E-2</v>
      </c>
      <c r="W589" s="14">
        <f t="shared" si="88"/>
        <v>1028.8948742</v>
      </c>
      <c r="X589" s="4">
        <f t="shared" si="89"/>
        <v>1.2288698682567602E-3</v>
      </c>
    </row>
    <row r="590" spans="1:24" ht="14.25" customHeight="1" x14ac:dyDescent="0.2">
      <c r="A590" s="5" t="s">
        <v>878</v>
      </c>
      <c r="B590" s="3" t="s">
        <v>24</v>
      </c>
      <c r="C590" s="3" t="s">
        <v>29</v>
      </c>
      <c r="D590" s="3" t="s">
        <v>2367</v>
      </c>
      <c r="E590" s="3" t="s">
        <v>2352</v>
      </c>
      <c r="F590" s="3" t="s">
        <v>879</v>
      </c>
      <c r="G590" s="3" t="s">
        <v>27</v>
      </c>
      <c r="H590" s="3" t="s">
        <v>19</v>
      </c>
      <c r="I590" s="3">
        <v>1136</v>
      </c>
      <c r="J590" s="3">
        <v>1</v>
      </c>
      <c r="K590" s="3">
        <v>798</v>
      </c>
      <c r="L590" s="3">
        <v>1059</v>
      </c>
      <c r="M590" s="3">
        <v>3</v>
      </c>
      <c r="N590" s="14">
        <v>5121.882603</v>
      </c>
      <c r="O590" s="7">
        <f t="shared" si="81"/>
        <v>8.8028169014084515E-2</v>
      </c>
      <c r="P590" s="14">
        <f t="shared" si="82"/>
        <v>5121.882603</v>
      </c>
      <c r="Q590" s="14">
        <f t="shared" si="83"/>
        <v>1707.2942009999999</v>
      </c>
      <c r="R590" s="4">
        <f t="shared" si="84"/>
        <v>300</v>
      </c>
      <c r="S590" s="14">
        <f t="shared" si="85"/>
        <v>4836.5274815864022</v>
      </c>
      <c r="T590" s="4">
        <f t="shared" si="86"/>
        <v>70.24647887323944</v>
      </c>
      <c r="U590" s="3">
        <f>LEN(A590) - LEN(SUBSTITUTE(A590,"&gt;","")) +1</f>
        <v>4</v>
      </c>
      <c r="V590" s="8">
        <f t="shared" si="87"/>
        <v>0.2640845070422535</v>
      </c>
      <c r="W590" s="14">
        <f t="shared" si="88"/>
        <v>1280.47065075</v>
      </c>
      <c r="X590" s="4">
        <f t="shared" si="89"/>
        <v>1.546801405918051E-2</v>
      </c>
    </row>
    <row r="591" spans="1:24" ht="14.25" customHeight="1" x14ac:dyDescent="0.2">
      <c r="A591" s="5" t="s">
        <v>1980</v>
      </c>
      <c r="B591" s="3" t="s">
        <v>14</v>
      </c>
      <c r="C591" s="3" t="s">
        <v>15</v>
      </c>
      <c r="D591" s="3" t="s">
        <v>2353</v>
      </c>
      <c r="E591" s="3" t="s">
        <v>2354</v>
      </c>
      <c r="F591" s="3" t="s">
        <v>706</v>
      </c>
      <c r="G591" s="3" t="s">
        <v>27</v>
      </c>
      <c r="H591" s="3" t="s">
        <v>19</v>
      </c>
      <c r="I591" s="3">
        <v>21028</v>
      </c>
      <c r="J591" s="3">
        <v>1</v>
      </c>
      <c r="K591" s="3">
        <v>5781</v>
      </c>
      <c r="L591" s="3">
        <v>16134</v>
      </c>
      <c r="M591" s="3">
        <v>11</v>
      </c>
      <c r="N591" s="14">
        <v>5101.3216549999997</v>
      </c>
      <c r="O591" s="7">
        <f t="shared" si="81"/>
        <v>4.7555640098915731E-3</v>
      </c>
      <c r="P591" s="14">
        <f t="shared" si="82"/>
        <v>5101.3216549999997</v>
      </c>
      <c r="Q591" s="14">
        <f t="shared" si="83"/>
        <v>463.75651409090909</v>
      </c>
      <c r="R591" s="4">
        <f t="shared" si="84"/>
        <v>1100</v>
      </c>
      <c r="S591" s="14">
        <f t="shared" si="85"/>
        <v>316.184557766208</v>
      </c>
      <c r="T591" s="4">
        <f t="shared" si="86"/>
        <v>27.491915541183182</v>
      </c>
      <c r="U591" s="3">
        <f>LEN(A591) - LEN(SUBSTITUTE(A591,"&gt;","")) +1</f>
        <v>5</v>
      </c>
      <c r="V591" s="8">
        <f t="shared" si="87"/>
        <v>5.2311204108807303E-2</v>
      </c>
      <c r="W591" s="14">
        <f t="shared" si="88"/>
        <v>1020.264331</v>
      </c>
      <c r="X591" s="4">
        <f t="shared" si="89"/>
        <v>1.1279885569122778E-2</v>
      </c>
    </row>
    <row r="592" spans="1:24" ht="14.25" customHeight="1" x14ac:dyDescent="0.2">
      <c r="A592" s="5" t="s">
        <v>1981</v>
      </c>
      <c r="B592" s="3" t="s">
        <v>14</v>
      </c>
      <c r="C592" s="3" t="s">
        <v>32</v>
      </c>
      <c r="D592" s="3" t="s">
        <v>2349</v>
      </c>
      <c r="E592" s="3" t="s">
        <v>2350</v>
      </c>
      <c r="F592" s="3" t="s">
        <v>159</v>
      </c>
      <c r="G592" s="3" t="s">
        <v>27</v>
      </c>
      <c r="H592" s="3" t="s">
        <v>19</v>
      </c>
      <c r="I592" s="3">
        <v>12879</v>
      </c>
      <c r="J592" s="3">
        <v>1</v>
      </c>
      <c r="K592" s="3">
        <v>7225</v>
      </c>
      <c r="L592" s="3">
        <v>12173</v>
      </c>
      <c r="M592" s="3">
        <v>7</v>
      </c>
      <c r="N592" s="14">
        <v>5099.2824899999996</v>
      </c>
      <c r="O592" s="7">
        <f t="shared" si="81"/>
        <v>7.7645779951859614E-3</v>
      </c>
      <c r="P592" s="14">
        <f t="shared" si="82"/>
        <v>5099.2824899999996</v>
      </c>
      <c r="Q592" s="14">
        <f t="shared" si="83"/>
        <v>728.46892714285707</v>
      </c>
      <c r="R592" s="4">
        <f t="shared" si="84"/>
        <v>700</v>
      </c>
      <c r="S592" s="14">
        <f t="shared" si="85"/>
        <v>418.90105068594426</v>
      </c>
      <c r="T592" s="4">
        <f t="shared" si="86"/>
        <v>56.099076015218571</v>
      </c>
      <c r="U592" s="3">
        <f>LEN(A592) - LEN(SUBSTITUTE(A592,"&gt;","")) +1</f>
        <v>5</v>
      </c>
      <c r="V592" s="8">
        <f t="shared" si="87"/>
        <v>5.4352045966301735E-2</v>
      </c>
      <c r="W592" s="14">
        <f t="shared" si="88"/>
        <v>1019.8564979999999</v>
      </c>
      <c r="X592" s="4">
        <f t="shared" si="89"/>
        <v>7.4611344343096415E-3</v>
      </c>
    </row>
    <row r="593" spans="1:24" ht="14.25" customHeight="1" x14ac:dyDescent="0.2">
      <c r="A593" s="5" t="s">
        <v>1982</v>
      </c>
      <c r="B593" s="3" t="s">
        <v>24</v>
      </c>
      <c r="C593" s="3" t="s">
        <v>29</v>
      </c>
      <c r="D593" s="3" t="s">
        <v>2386</v>
      </c>
      <c r="E593" s="3" t="s">
        <v>2387</v>
      </c>
      <c r="F593" s="3" t="s">
        <v>883</v>
      </c>
      <c r="G593" s="3" t="s">
        <v>27</v>
      </c>
      <c r="H593" s="3" t="s">
        <v>19</v>
      </c>
      <c r="I593" s="3">
        <v>4789</v>
      </c>
      <c r="J593" s="3">
        <v>1</v>
      </c>
      <c r="K593" s="3">
        <v>2399</v>
      </c>
      <c r="L593" s="3">
        <v>4538</v>
      </c>
      <c r="M593" s="3">
        <v>5</v>
      </c>
      <c r="N593" s="14">
        <v>4945.021565</v>
      </c>
      <c r="O593" s="7">
        <f t="shared" si="81"/>
        <v>2.0881186051367719E-2</v>
      </c>
      <c r="P593" s="14">
        <f t="shared" si="82"/>
        <v>4945.021565</v>
      </c>
      <c r="Q593" s="14">
        <f t="shared" si="83"/>
        <v>989.00431300000002</v>
      </c>
      <c r="R593" s="4">
        <f t="shared" si="84"/>
        <v>500</v>
      </c>
      <c r="S593" s="14">
        <f t="shared" si="85"/>
        <v>1089.6918389158218</v>
      </c>
      <c r="T593" s="4">
        <f t="shared" si="86"/>
        <v>50.093965337231147</v>
      </c>
      <c r="U593" s="3">
        <f>LEN(A593) - LEN(SUBSTITUTE(A593,"&gt;","")) +1</f>
        <v>5</v>
      </c>
      <c r="V593" s="8">
        <f t="shared" si="87"/>
        <v>0.10440593025683859</v>
      </c>
      <c r="W593" s="14">
        <f t="shared" si="88"/>
        <v>989.00431300000002</v>
      </c>
      <c r="X593" s="4">
        <f t="shared" si="89"/>
        <v>1.0556670874380565E-2</v>
      </c>
    </row>
    <row r="594" spans="1:24" ht="14.25" customHeight="1" x14ac:dyDescent="0.2">
      <c r="A594" s="5" t="s">
        <v>1983</v>
      </c>
      <c r="B594" s="3" t="s">
        <v>24</v>
      </c>
      <c r="C594" s="3" t="s">
        <v>32</v>
      </c>
      <c r="D594" s="3" t="s">
        <v>2363</v>
      </c>
      <c r="E594" s="3" t="s">
        <v>2358</v>
      </c>
      <c r="F594" s="3" t="s">
        <v>79</v>
      </c>
      <c r="G594" s="3" t="s">
        <v>27</v>
      </c>
      <c r="H594" s="3" t="s">
        <v>163</v>
      </c>
      <c r="I594" s="3">
        <v>29856</v>
      </c>
      <c r="J594" s="3">
        <v>1</v>
      </c>
      <c r="K594" s="3">
        <v>7664</v>
      </c>
      <c r="L594" s="3">
        <v>21698</v>
      </c>
      <c r="M594" s="3">
        <v>1</v>
      </c>
      <c r="N594" s="14">
        <v>4851.3944460000002</v>
      </c>
      <c r="O594" s="7">
        <f t="shared" si="81"/>
        <v>3.3494105037513398E-3</v>
      </c>
      <c r="P594" s="14">
        <f t="shared" si="82"/>
        <v>4851.3944460000002</v>
      </c>
      <c r="Q594" s="14">
        <f t="shared" si="83"/>
        <v>4851.3944460000002</v>
      </c>
      <c r="R594" s="4">
        <f t="shared" si="84"/>
        <v>100</v>
      </c>
      <c r="S594" s="14">
        <f t="shared" si="85"/>
        <v>223.58717144437276</v>
      </c>
      <c r="T594" s="4">
        <f t="shared" si="86"/>
        <v>25.669882100750268</v>
      </c>
      <c r="U594" s="3">
        <f>LEN(A594) - LEN(SUBSTITUTE(A594,"&gt;","")) +1</f>
        <v>5</v>
      </c>
      <c r="V594" s="8">
        <f t="shared" si="87"/>
        <v>3.3494105037513398E-3</v>
      </c>
      <c r="W594" s="14">
        <f t="shared" si="88"/>
        <v>970.27888920000009</v>
      </c>
      <c r="X594" s="4">
        <f t="shared" si="89"/>
        <v>6.9040160329839726E-5</v>
      </c>
    </row>
    <row r="595" spans="1:24" ht="14.25" customHeight="1" x14ac:dyDescent="0.2">
      <c r="A595" s="5" t="s">
        <v>1984</v>
      </c>
      <c r="B595" s="3" t="s">
        <v>14</v>
      </c>
      <c r="C595" s="3" t="s">
        <v>32</v>
      </c>
      <c r="D595" s="3" t="s">
        <v>2353</v>
      </c>
      <c r="E595" s="3" t="s">
        <v>2354</v>
      </c>
      <c r="F595" s="3" t="s">
        <v>96</v>
      </c>
      <c r="G595" s="3" t="s">
        <v>27</v>
      </c>
      <c r="H595" s="3" t="s">
        <v>19</v>
      </c>
      <c r="I595" s="3">
        <v>25539</v>
      </c>
      <c r="J595" s="3">
        <v>1</v>
      </c>
      <c r="K595" s="3">
        <v>12130</v>
      </c>
      <c r="L595" s="3">
        <v>24129</v>
      </c>
      <c r="M595" s="3">
        <v>15</v>
      </c>
      <c r="N595" s="14">
        <v>4804.4932330000001</v>
      </c>
      <c r="O595" s="7">
        <f t="shared" si="81"/>
        <v>3.9155800931908059E-3</v>
      </c>
      <c r="P595" s="14">
        <f t="shared" si="82"/>
        <v>4804.4932330000001</v>
      </c>
      <c r="Q595" s="14">
        <f t="shared" si="83"/>
        <v>320.29954886666667</v>
      </c>
      <c r="R595" s="4">
        <f t="shared" si="84"/>
        <v>1500</v>
      </c>
      <c r="S595" s="14">
        <f t="shared" si="85"/>
        <v>199.11696435824115</v>
      </c>
      <c r="T595" s="4">
        <f t="shared" si="86"/>
        <v>47.49598653040448</v>
      </c>
      <c r="U595" s="3">
        <f>LEN(A595) - LEN(SUBSTITUTE(A595,"&gt;","")) +1</f>
        <v>6</v>
      </c>
      <c r="V595" s="8">
        <f t="shared" si="87"/>
        <v>5.8733701397862097E-2</v>
      </c>
      <c r="W595" s="14">
        <f t="shared" si="88"/>
        <v>800.74887216666673</v>
      </c>
      <c r="X595" s="4">
        <f t="shared" si="89"/>
        <v>1.8337116491635014E-2</v>
      </c>
    </row>
    <row r="596" spans="1:24" ht="14.25" customHeight="1" x14ac:dyDescent="0.2">
      <c r="A596" s="5" t="s">
        <v>1985</v>
      </c>
      <c r="B596" s="3" t="s">
        <v>24</v>
      </c>
      <c r="C596" s="3" t="s">
        <v>29</v>
      </c>
      <c r="D596" s="3" t="s">
        <v>2357</v>
      </c>
      <c r="E596" s="3" t="s">
        <v>2358</v>
      </c>
      <c r="F596" s="3" t="s">
        <v>504</v>
      </c>
      <c r="G596" s="3" t="s">
        <v>64</v>
      </c>
      <c r="H596" s="3" t="s">
        <v>19</v>
      </c>
      <c r="I596" s="3">
        <v>8273</v>
      </c>
      <c r="J596" s="3">
        <v>1</v>
      </c>
      <c r="K596" s="3">
        <v>1929</v>
      </c>
      <c r="L596" s="3">
        <v>7441</v>
      </c>
      <c r="M596" s="3">
        <v>1</v>
      </c>
      <c r="N596" s="14">
        <v>4689.5210239999997</v>
      </c>
      <c r="O596" s="7">
        <f t="shared" si="81"/>
        <v>1.2087513598452799E-2</v>
      </c>
      <c r="P596" s="14">
        <f t="shared" si="82"/>
        <v>4689.5210239999997</v>
      </c>
      <c r="Q596" s="14">
        <f t="shared" si="83"/>
        <v>4689.5210239999997</v>
      </c>
      <c r="R596" s="4">
        <f t="shared" si="84"/>
        <v>100</v>
      </c>
      <c r="S596" s="14">
        <f t="shared" si="85"/>
        <v>630.227257626663</v>
      </c>
      <c r="T596" s="4">
        <f t="shared" si="86"/>
        <v>23.316813731415447</v>
      </c>
      <c r="U596" s="3">
        <f>LEN(A596) - LEN(SUBSTITUTE(A596,"&gt;","")) +1</f>
        <v>5</v>
      </c>
      <c r="V596" s="8">
        <f t="shared" si="87"/>
        <v>1.2087513598452799E-2</v>
      </c>
      <c r="W596" s="14">
        <f t="shared" si="88"/>
        <v>937.90420479999989</v>
      </c>
      <c r="X596" s="4">
        <f t="shared" si="89"/>
        <v>2.5775582488257119E-4</v>
      </c>
    </row>
    <row r="597" spans="1:24" ht="14.25" customHeight="1" x14ac:dyDescent="0.2">
      <c r="A597" s="5" t="s">
        <v>1986</v>
      </c>
      <c r="B597" s="3" t="s">
        <v>68</v>
      </c>
      <c r="C597" s="3" t="s">
        <v>29</v>
      </c>
      <c r="D597" s="3" t="s">
        <v>2363</v>
      </c>
      <c r="E597" s="3" t="s">
        <v>2358</v>
      </c>
      <c r="F597" s="3" t="s">
        <v>136</v>
      </c>
      <c r="G597" s="3" t="s">
        <v>22</v>
      </c>
      <c r="H597" s="3" t="s">
        <v>19</v>
      </c>
      <c r="I597" s="3">
        <v>13686</v>
      </c>
      <c r="J597" s="3">
        <v>1</v>
      </c>
      <c r="K597" s="3">
        <v>7928</v>
      </c>
      <c r="L597" s="3">
        <v>11931</v>
      </c>
      <c r="M597" s="3">
        <v>16</v>
      </c>
      <c r="N597" s="14">
        <v>4660.5603689999998</v>
      </c>
      <c r="O597" s="7">
        <f t="shared" si="81"/>
        <v>7.3067368113400553E-3</v>
      </c>
      <c r="P597" s="14">
        <f t="shared" si="82"/>
        <v>4660.5603689999998</v>
      </c>
      <c r="Q597" s="14">
        <f t="shared" si="83"/>
        <v>291.28502306249999</v>
      </c>
      <c r="R597" s="4">
        <f t="shared" si="84"/>
        <v>1600</v>
      </c>
      <c r="S597" s="14">
        <f t="shared" si="85"/>
        <v>390.62613100326877</v>
      </c>
      <c r="T597" s="4">
        <f t="shared" si="86"/>
        <v>57.92780944030396</v>
      </c>
      <c r="U597" s="3">
        <f>LEN(A597) - LEN(SUBSTITUTE(A597,"&gt;","")) +1</f>
        <v>5</v>
      </c>
      <c r="V597" s="8">
        <f t="shared" si="87"/>
        <v>0.11690778898144089</v>
      </c>
      <c r="W597" s="14">
        <f t="shared" si="88"/>
        <v>932.11207379999996</v>
      </c>
      <c r="X597" s="4">
        <f t="shared" si="89"/>
        <v>4.0135187093486915E-2</v>
      </c>
    </row>
    <row r="598" spans="1:24" ht="14.25" customHeight="1" x14ac:dyDescent="0.2">
      <c r="A598" s="5" t="s">
        <v>1987</v>
      </c>
      <c r="B598" s="3" t="s">
        <v>14</v>
      </c>
      <c r="C598" s="3" t="s">
        <v>35</v>
      </c>
      <c r="D598" s="3" t="s">
        <v>2363</v>
      </c>
      <c r="E598" s="3" t="s">
        <v>2358</v>
      </c>
      <c r="F598" s="3" t="s">
        <v>600</v>
      </c>
      <c r="G598" s="3" t="s">
        <v>41</v>
      </c>
      <c r="H598" s="3" t="s">
        <v>19</v>
      </c>
      <c r="I598" s="3">
        <v>7136</v>
      </c>
      <c r="J598" s="3">
        <v>1</v>
      </c>
      <c r="K598" s="3">
        <v>3411</v>
      </c>
      <c r="L598" s="3">
        <v>6798</v>
      </c>
      <c r="M598" s="3">
        <v>1</v>
      </c>
      <c r="N598" s="14">
        <v>4659.4047970000001</v>
      </c>
      <c r="O598" s="7">
        <f t="shared" si="81"/>
        <v>1.4013452914798207E-2</v>
      </c>
      <c r="P598" s="14">
        <f t="shared" si="82"/>
        <v>4659.4047970000001</v>
      </c>
      <c r="Q598" s="14">
        <f t="shared" si="83"/>
        <v>4659.4047970000001</v>
      </c>
      <c r="R598" s="4">
        <f t="shared" si="84"/>
        <v>100</v>
      </c>
      <c r="S598" s="14">
        <f t="shared" si="85"/>
        <v>685.40817843483387</v>
      </c>
      <c r="T598" s="4">
        <f t="shared" si="86"/>
        <v>47.799887892376681</v>
      </c>
      <c r="U598" s="3">
        <f>LEN(A598) - LEN(SUBSTITUTE(A598,"&gt;","")) +1</f>
        <v>6</v>
      </c>
      <c r="V598" s="8">
        <f t="shared" si="87"/>
        <v>1.4013452914798207E-2</v>
      </c>
      <c r="W598" s="14">
        <f t="shared" si="88"/>
        <v>776.56746616666669</v>
      </c>
      <c r="X598" s="4">
        <f t="shared" si="89"/>
        <v>3.0075628809544291E-4</v>
      </c>
    </row>
    <row r="599" spans="1:24" ht="14.25" customHeight="1" x14ac:dyDescent="0.2">
      <c r="A599" s="5" t="s">
        <v>889</v>
      </c>
      <c r="B599" s="3" t="s">
        <v>14</v>
      </c>
      <c r="C599" s="3" t="s">
        <v>15</v>
      </c>
      <c r="D599" s="3" t="s">
        <v>2353</v>
      </c>
      <c r="E599" s="3" t="s">
        <v>2354</v>
      </c>
      <c r="F599" s="3" t="s">
        <v>119</v>
      </c>
      <c r="G599" s="3" t="s">
        <v>27</v>
      </c>
      <c r="H599" s="3" t="s">
        <v>19</v>
      </c>
      <c r="I599" s="3">
        <v>26715</v>
      </c>
      <c r="J599" s="3">
        <v>1</v>
      </c>
      <c r="K599" s="3">
        <v>12287</v>
      </c>
      <c r="L599" s="3">
        <v>25003</v>
      </c>
      <c r="M599" s="3">
        <v>1</v>
      </c>
      <c r="N599" s="14">
        <v>4623.0896720000001</v>
      </c>
      <c r="O599" s="7">
        <f t="shared" si="81"/>
        <v>3.7432154220475391E-3</v>
      </c>
      <c r="P599" s="14">
        <f t="shared" si="82"/>
        <v>4623.0896720000001</v>
      </c>
      <c r="Q599" s="14">
        <f t="shared" si="83"/>
        <v>4623.0896720000001</v>
      </c>
      <c r="R599" s="4">
        <f t="shared" si="84"/>
        <v>100</v>
      </c>
      <c r="S599" s="14">
        <f t="shared" si="85"/>
        <v>184.90139871215456</v>
      </c>
      <c r="T599" s="4">
        <f t="shared" si="86"/>
        <v>45.992887890698107</v>
      </c>
      <c r="U599" s="3">
        <f>LEN(A599) - LEN(SUBSTITUTE(A599,"&gt;","")) +1</f>
        <v>4</v>
      </c>
      <c r="V599" s="8">
        <f t="shared" si="87"/>
        <v>3.7432154220475387E-3</v>
      </c>
      <c r="W599" s="14">
        <f t="shared" si="88"/>
        <v>1155.772418</v>
      </c>
      <c r="X599" s="4">
        <f t="shared" si="89"/>
        <v>8.0967830771670545E-5</v>
      </c>
    </row>
    <row r="600" spans="1:24" ht="14.25" customHeight="1" x14ac:dyDescent="0.2">
      <c r="A600" s="5" t="s">
        <v>890</v>
      </c>
      <c r="B600" s="3" t="s">
        <v>24</v>
      </c>
      <c r="C600" s="3" t="s">
        <v>32</v>
      </c>
      <c r="D600" s="3" t="s">
        <v>2349</v>
      </c>
      <c r="E600" s="3" t="s">
        <v>2350</v>
      </c>
      <c r="F600" s="3" t="s">
        <v>891</v>
      </c>
      <c r="G600" s="3" t="s">
        <v>27</v>
      </c>
      <c r="H600" s="3" t="s">
        <v>19</v>
      </c>
      <c r="I600" s="3">
        <v>4509</v>
      </c>
      <c r="J600" s="3">
        <v>1</v>
      </c>
      <c r="K600" s="3">
        <v>2702</v>
      </c>
      <c r="L600" s="3">
        <v>4299</v>
      </c>
      <c r="M600" s="3">
        <v>5</v>
      </c>
      <c r="N600" s="14">
        <v>4585.35725</v>
      </c>
      <c r="O600" s="7">
        <f t="shared" si="81"/>
        <v>2.2177866489243733E-2</v>
      </c>
      <c r="P600" s="14">
        <f t="shared" si="82"/>
        <v>4585.35725</v>
      </c>
      <c r="Q600" s="14">
        <f t="shared" si="83"/>
        <v>917.07145000000003</v>
      </c>
      <c r="R600" s="4">
        <f t="shared" si="84"/>
        <v>500</v>
      </c>
      <c r="S600" s="14">
        <f t="shared" si="85"/>
        <v>1066.6102000465226</v>
      </c>
      <c r="T600" s="4">
        <f t="shared" si="86"/>
        <v>59.924595253936573</v>
      </c>
      <c r="U600" s="3">
        <f>LEN(A600) - LEN(SUBSTITUTE(A600,"&gt;","")) +1</f>
        <v>4</v>
      </c>
      <c r="V600" s="8">
        <f t="shared" si="87"/>
        <v>0.11088933244621868</v>
      </c>
      <c r="W600" s="14">
        <f t="shared" si="88"/>
        <v>1146.3393125</v>
      </c>
      <c r="X600" s="4">
        <f t="shared" si="89"/>
        <v>1.2091678619612318E-2</v>
      </c>
    </row>
    <row r="601" spans="1:24" ht="14.25" customHeight="1" x14ac:dyDescent="0.2">
      <c r="A601" s="5" t="s">
        <v>1988</v>
      </c>
      <c r="B601" s="3" t="s">
        <v>68</v>
      </c>
      <c r="C601" s="3" t="s">
        <v>29</v>
      </c>
      <c r="D601" s="3" t="s">
        <v>2367</v>
      </c>
      <c r="E601" s="3" t="s">
        <v>2352</v>
      </c>
      <c r="F601" s="3" t="s">
        <v>893</v>
      </c>
      <c r="G601" s="3" t="s">
        <v>323</v>
      </c>
      <c r="H601" s="3" t="s">
        <v>19</v>
      </c>
      <c r="I601" s="3">
        <v>4300</v>
      </c>
      <c r="J601" s="3">
        <v>1</v>
      </c>
      <c r="K601" s="3">
        <v>2909</v>
      </c>
      <c r="L601" s="3">
        <v>4208</v>
      </c>
      <c r="M601" s="3">
        <v>24</v>
      </c>
      <c r="N601" s="14">
        <v>4311.8545999999997</v>
      </c>
      <c r="O601" s="7">
        <f t="shared" si="81"/>
        <v>2.3255813953488372E-2</v>
      </c>
      <c r="P601" s="14">
        <f t="shared" si="82"/>
        <v>4311.8545999999997</v>
      </c>
      <c r="Q601" s="14">
        <f t="shared" si="83"/>
        <v>179.66060833333333</v>
      </c>
      <c r="R601" s="4">
        <f t="shared" si="84"/>
        <v>2400</v>
      </c>
      <c r="S601" s="14">
        <f t="shared" si="85"/>
        <v>1024.6802756653992</v>
      </c>
      <c r="T601" s="4">
        <f t="shared" si="86"/>
        <v>67.651162790697668</v>
      </c>
      <c r="U601" s="3">
        <f>LEN(A601) - LEN(SUBSTITUTE(A601,"&gt;","")) +1</f>
        <v>6</v>
      </c>
      <c r="V601" s="8">
        <f t="shared" si="87"/>
        <v>0.55813953488372092</v>
      </c>
      <c r="W601" s="14">
        <f t="shared" si="88"/>
        <v>718.64243333333332</v>
      </c>
      <c r="X601" s="4">
        <f t="shared" si="89"/>
        <v>0.31066327786677461</v>
      </c>
    </row>
    <row r="602" spans="1:24" ht="14.25" customHeight="1" x14ac:dyDescent="0.2">
      <c r="A602" s="5" t="s">
        <v>1989</v>
      </c>
      <c r="B602" s="3" t="s">
        <v>24</v>
      </c>
      <c r="C602" s="3" t="s">
        <v>32</v>
      </c>
      <c r="D602" s="3" t="s">
        <v>2349</v>
      </c>
      <c r="E602" s="3" t="s">
        <v>2350</v>
      </c>
      <c r="F602" s="3" t="s">
        <v>895</v>
      </c>
      <c r="G602" s="3" t="s">
        <v>22</v>
      </c>
      <c r="H602" s="3" t="s">
        <v>19</v>
      </c>
      <c r="I602" s="3">
        <v>1864</v>
      </c>
      <c r="J602" s="3">
        <v>1</v>
      </c>
      <c r="K602" s="3">
        <v>513</v>
      </c>
      <c r="L602" s="3">
        <v>1471</v>
      </c>
      <c r="M602" s="3">
        <v>9</v>
      </c>
      <c r="N602" s="14">
        <v>4058.0762949999998</v>
      </c>
      <c r="O602" s="7">
        <f t="shared" si="81"/>
        <v>5.3648068669527899E-2</v>
      </c>
      <c r="P602" s="14">
        <f t="shared" si="82"/>
        <v>4058.0762949999998</v>
      </c>
      <c r="Q602" s="14">
        <f t="shared" si="83"/>
        <v>450.89736611111107</v>
      </c>
      <c r="R602" s="4">
        <f t="shared" si="84"/>
        <v>900</v>
      </c>
      <c r="S602" s="14">
        <f t="shared" si="85"/>
        <v>2758.7194391570356</v>
      </c>
      <c r="T602" s="4">
        <f t="shared" si="86"/>
        <v>27.521459227467808</v>
      </c>
      <c r="U602" s="3">
        <f>LEN(A602) - LEN(SUBSTITUTE(A602,"&gt;","")) +1</f>
        <v>5</v>
      </c>
      <c r="V602" s="8">
        <f t="shared" si="87"/>
        <v>0.48283261802575106</v>
      </c>
      <c r="W602" s="14">
        <f t="shared" si="88"/>
        <v>811.61525899999992</v>
      </c>
      <c r="X602" s="4">
        <f t="shared" si="89"/>
        <v>0.10708259890495135</v>
      </c>
    </row>
    <row r="603" spans="1:24" ht="14.25" customHeight="1" x14ac:dyDescent="0.2">
      <c r="A603" s="5" t="s">
        <v>1990</v>
      </c>
      <c r="B603" s="3" t="s">
        <v>14</v>
      </c>
      <c r="C603" s="3" t="s">
        <v>29</v>
      </c>
      <c r="D603" s="3" t="s">
        <v>2349</v>
      </c>
      <c r="E603" s="3" t="s">
        <v>2350</v>
      </c>
      <c r="F603" s="3" t="s">
        <v>853</v>
      </c>
      <c r="G603" s="3" t="s">
        <v>27</v>
      </c>
      <c r="H603" s="3" t="s">
        <v>19</v>
      </c>
      <c r="I603" s="3">
        <v>4521</v>
      </c>
      <c r="J603" s="3">
        <v>1</v>
      </c>
      <c r="K603" s="3">
        <v>3385</v>
      </c>
      <c r="L603" s="3">
        <v>4145</v>
      </c>
      <c r="M603" s="3">
        <v>9</v>
      </c>
      <c r="N603" s="14">
        <v>3842.3029040000001</v>
      </c>
      <c r="O603" s="7">
        <f t="shared" si="81"/>
        <v>2.2119000221190004E-2</v>
      </c>
      <c r="P603" s="14">
        <f t="shared" si="82"/>
        <v>3842.3029040000001</v>
      </c>
      <c r="Q603" s="14">
        <f t="shared" si="83"/>
        <v>426.92254488888892</v>
      </c>
      <c r="R603" s="4">
        <f t="shared" si="84"/>
        <v>900</v>
      </c>
      <c r="S603" s="14">
        <f t="shared" si="85"/>
        <v>926.97295633293129</v>
      </c>
      <c r="T603" s="4">
        <f t="shared" si="86"/>
        <v>74.872815748728158</v>
      </c>
      <c r="U603" s="3">
        <f>LEN(A603) - LEN(SUBSTITUTE(A603,"&gt;","")) +1</f>
        <v>6</v>
      </c>
      <c r="V603" s="8">
        <f t="shared" si="87"/>
        <v>0.19907100199071001</v>
      </c>
      <c r="W603" s="14">
        <f t="shared" si="88"/>
        <v>640.38381733333335</v>
      </c>
      <c r="X603" s="4">
        <f t="shared" si="89"/>
        <v>4.6629301819260997E-2</v>
      </c>
    </row>
    <row r="604" spans="1:24" ht="14.25" customHeight="1" x14ac:dyDescent="0.2">
      <c r="A604" s="5" t="s">
        <v>1991</v>
      </c>
      <c r="B604" s="3" t="s">
        <v>14</v>
      </c>
      <c r="C604" s="3" t="s">
        <v>35</v>
      </c>
      <c r="D604" s="3" t="s">
        <v>2363</v>
      </c>
      <c r="E604" s="3" t="s">
        <v>2358</v>
      </c>
      <c r="F604" s="3" t="s">
        <v>177</v>
      </c>
      <c r="G604" s="3" t="s">
        <v>27</v>
      </c>
      <c r="H604" s="3" t="s">
        <v>19</v>
      </c>
      <c r="I604" s="3">
        <v>18771</v>
      </c>
      <c r="J604" s="3">
        <v>1</v>
      </c>
      <c r="K604" s="3">
        <v>10871</v>
      </c>
      <c r="L604" s="3">
        <v>17138</v>
      </c>
      <c r="M604" s="3">
        <v>3</v>
      </c>
      <c r="N604" s="14">
        <v>3827.3663809999998</v>
      </c>
      <c r="O604" s="7">
        <f t="shared" si="81"/>
        <v>5.3273666826487666E-3</v>
      </c>
      <c r="P604" s="14">
        <f t="shared" si="82"/>
        <v>3827.3663809999998</v>
      </c>
      <c r="Q604" s="14">
        <f t="shared" si="83"/>
        <v>1275.7887936666666</v>
      </c>
      <c r="R604" s="4">
        <f t="shared" si="84"/>
        <v>300</v>
      </c>
      <c r="S604" s="14">
        <f t="shared" si="85"/>
        <v>223.32631468082621</v>
      </c>
      <c r="T604" s="4">
        <f t="shared" si="86"/>
        <v>57.913803207074743</v>
      </c>
      <c r="U604" s="3">
        <f>LEN(A604) - LEN(SUBSTITUTE(A604,"&gt;","")) +1</f>
        <v>6</v>
      </c>
      <c r="V604" s="8">
        <f t="shared" si="87"/>
        <v>1.5982100047946299E-2</v>
      </c>
      <c r="W604" s="14">
        <f t="shared" si="88"/>
        <v>637.8943968333333</v>
      </c>
      <c r="X604" s="4">
        <f t="shared" si="89"/>
        <v>1.2527230312168775E-3</v>
      </c>
    </row>
    <row r="605" spans="1:24" ht="14.25" customHeight="1" x14ac:dyDescent="0.2">
      <c r="A605" s="5" t="s">
        <v>1992</v>
      </c>
      <c r="B605" s="3" t="s">
        <v>24</v>
      </c>
      <c r="C605" s="3" t="s">
        <v>15</v>
      </c>
      <c r="D605" s="3" t="s">
        <v>2362</v>
      </c>
      <c r="E605" s="3" t="s">
        <v>2352</v>
      </c>
      <c r="F605" s="3" t="s">
        <v>645</v>
      </c>
      <c r="G605" s="3" t="s">
        <v>27</v>
      </c>
      <c r="H605" s="3" t="s">
        <v>19</v>
      </c>
      <c r="I605" s="3">
        <v>11420</v>
      </c>
      <c r="J605" s="3">
        <v>1</v>
      </c>
      <c r="K605" s="3">
        <v>4647</v>
      </c>
      <c r="L605" s="3">
        <v>9909</v>
      </c>
      <c r="M605" s="3">
        <v>1</v>
      </c>
      <c r="N605" s="14">
        <v>3804.64417</v>
      </c>
      <c r="O605" s="7">
        <f t="shared" si="81"/>
        <v>8.7565674255691769E-3</v>
      </c>
      <c r="P605" s="14">
        <f t="shared" si="82"/>
        <v>3804.64417</v>
      </c>
      <c r="Q605" s="14">
        <f t="shared" si="83"/>
        <v>3804.64417</v>
      </c>
      <c r="R605" s="4">
        <f t="shared" si="84"/>
        <v>100</v>
      </c>
      <c r="S605" s="14">
        <f t="shared" si="85"/>
        <v>383.95843879301646</v>
      </c>
      <c r="T605" s="4">
        <f t="shared" si="86"/>
        <v>40.69176882661997</v>
      </c>
      <c r="U605" s="3">
        <f>LEN(A605) - LEN(SUBSTITUTE(A605,"&gt;","")) +1</f>
        <v>5</v>
      </c>
      <c r="V605" s="8">
        <f t="shared" si="87"/>
        <v>8.7565674255691769E-3</v>
      </c>
      <c r="W605" s="14">
        <f t="shared" si="88"/>
        <v>760.92883400000005</v>
      </c>
      <c r="X605" s="4">
        <f t="shared" si="89"/>
        <v>2.3015470131518704E-4</v>
      </c>
    </row>
    <row r="606" spans="1:24" ht="14.25" customHeight="1" x14ac:dyDescent="0.2">
      <c r="A606" s="5" t="s">
        <v>1993</v>
      </c>
      <c r="B606" s="3" t="s">
        <v>68</v>
      </c>
      <c r="C606" s="3" t="s">
        <v>29</v>
      </c>
      <c r="D606" s="3" t="s">
        <v>2363</v>
      </c>
      <c r="E606" s="3" t="s">
        <v>2358</v>
      </c>
      <c r="F606" s="3" t="s">
        <v>900</v>
      </c>
      <c r="G606" s="3" t="s">
        <v>41</v>
      </c>
      <c r="H606" s="3" t="s">
        <v>19</v>
      </c>
      <c r="I606" s="3">
        <v>565</v>
      </c>
      <c r="J606" s="3">
        <v>1</v>
      </c>
      <c r="K606" s="3">
        <v>259</v>
      </c>
      <c r="L606" s="3">
        <v>474</v>
      </c>
      <c r="M606" s="3">
        <v>2</v>
      </c>
      <c r="N606" s="14">
        <v>3779.0209300000001</v>
      </c>
      <c r="O606" s="7">
        <f t="shared" si="81"/>
        <v>0.17699115044247787</v>
      </c>
      <c r="P606" s="14">
        <f t="shared" si="82"/>
        <v>3779.0209300000001</v>
      </c>
      <c r="Q606" s="14">
        <f t="shared" si="83"/>
        <v>1889.5104650000001</v>
      </c>
      <c r="R606" s="4">
        <f t="shared" si="84"/>
        <v>200</v>
      </c>
      <c r="S606" s="14">
        <f t="shared" si="85"/>
        <v>7972.6179957805907</v>
      </c>
      <c r="T606" s="4">
        <f t="shared" si="86"/>
        <v>45.840707964601769</v>
      </c>
      <c r="U606" s="3">
        <f>LEN(A606) - LEN(SUBSTITUTE(A606,"&gt;","")) +1</f>
        <v>5</v>
      </c>
      <c r="V606" s="8">
        <f t="shared" si="87"/>
        <v>0.35398230088495575</v>
      </c>
      <c r="W606" s="14">
        <f t="shared" si="88"/>
        <v>755.80418600000007</v>
      </c>
      <c r="X606" s="4">
        <f t="shared" si="89"/>
        <v>1.8734074642182821E-2</v>
      </c>
    </row>
    <row r="607" spans="1:24" ht="14.25" customHeight="1" x14ac:dyDescent="0.2">
      <c r="A607" s="5" t="s">
        <v>1994</v>
      </c>
      <c r="B607" s="3" t="s">
        <v>24</v>
      </c>
      <c r="C607" s="3" t="s">
        <v>35</v>
      </c>
      <c r="D607" s="3" t="s">
        <v>2353</v>
      </c>
      <c r="E607" s="3" t="s">
        <v>2354</v>
      </c>
      <c r="F607" s="3" t="s">
        <v>263</v>
      </c>
      <c r="G607" s="3" t="s">
        <v>33</v>
      </c>
      <c r="H607" s="3" t="s">
        <v>19</v>
      </c>
      <c r="I607" s="3">
        <v>49014</v>
      </c>
      <c r="J607" s="3">
        <v>1</v>
      </c>
      <c r="K607" s="3">
        <v>30349</v>
      </c>
      <c r="L607" s="3">
        <v>46446</v>
      </c>
      <c r="M607" s="3">
        <v>4</v>
      </c>
      <c r="N607" s="14">
        <v>3628.3461699999998</v>
      </c>
      <c r="O607" s="7">
        <f t="shared" si="81"/>
        <v>2.0402334027012688E-3</v>
      </c>
      <c r="P607" s="14">
        <f t="shared" si="82"/>
        <v>3628.3461699999998</v>
      </c>
      <c r="Q607" s="14">
        <f t="shared" si="83"/>
        <v>907.08654249999995</v>
      </c>
      <c r="R607" s="4">
        <f t="shared" si="84"/>
        <v>400</v>
      </c>
      <c r="S607" s="14">
        <f t="shared" si="85"/>
        <v>78.119669508676736</v>
      </c>
      <c r="T607" s="4">
        <f t="shared" si="86"/>
        <v>61.919043538580809</v>
      </c>
      <c r="U607" s="3">
        <f>LEN(A607) - LEN(SUBSTITUTE(A607,"&gt;","")) +1</f>
        <v>5</v>
      </c>
      <c r="V607" s="8">
        <f t="shared" si="87"/>
        <v>8.1609336108050753E-3</v>
      </c>
      <c r="W607" s="14">
        <f t="shared" si="88"/>
        <v>725.66923399999996</v>
      </c>
      <c r="X607" s="4">
        <f t="shared" si="89"/>
        <v>8.9968632852968113E-4</v>
      </c>
    </row>
    <row r="608" spans="1:24" ht="14.25" customHeight="1" x14ac:dyDescent="0.2">
      <c r="A608" s="5" t="s">
        <v>1995</v>
      </c>
      <c r="B608" s="3" t="s">
        <v>24</v>
      </c>
      <c r="C608" s="3" t="s">
        <v>35</v>
      </c>
      <c r="D608" s="3" t="s">
        <v>2349</v>
      </c>
      <c r="E608" s="3" t="s">
        <v>2350</v>
      </c>
      <c r="F608" s="3" t="s">
        <v>523</v>
      </c>
      <c r="G608" s="3" t="s">
        <v>41</v>
      </c>
      <c r="H608" s="3" t="s">
        <v>19</v>
      </c>
      <c r="I608" s="3">
        <v>13100</v>
      </c>
      <c r="J608" s="3">
        <v>1</v>
      </c>
      <c r="K608" s="3">
        <v>6507</v>
      </c>
      <c r="L608" s="3">
        <v>10895</v>
      </c>
      <c r="M608" s="3">
        <v>1</v>
      </c>
      <c r="N608" s="14">
        <v>3411.590029</v>
      </c>
      <c r="O608" s="7">
        <f t="shared" si="81"/>
        <v>7.6335877862595426E-3</v>
      </c>
      <c r="P608" s="14">
        <f t="shared" si="82"/>
        <v>3411.590029</v>
      </c>
      <c r="Q608" s="14">
        <f t="shared" si="83"/>
        <v>3411.590029</v>
      </c>
      <c r="R608" s="4">
        <f t="shared" si="84"/>
        <v>100</v>
      </c>
      <c r="S608" s="14">
        <f t="shared" si="85"/>
        <v>313.13355016062417</v>
      </c>
      <c r="T608" s="4">
        <f t="shared" si="86"/>
        <v>49.671755725190842</v>
      </c>
      <c r="U608" s="3">
        <f>LEN(A608) - LEN(SUBSTITUTE(A608,"&gt;","")) +1</f>
        <v>6</v>
      </c>
      <c r="V608" s="8">
        <f t="shared" si="87"/>
        <v>7.6335877862595417E-3</v>
      </c>
      <c r="W608" s="14">
        <f t="shared" si="88"/>
        <v>568.59833816666662</v>
      </c>
      <c r="X608" s="4">
        <f t="shared" si="89"/>
        <v>2.2375454616090223E-4</v>
      </c>
    </row>
    <row r="609" spans="1:24" ht="14.25" customHeight="1" x14ac:dyDescent="0.2">
      <c r="A609" s="5" t="s">
        <v>1996</v>
      </c>
      <c r="B609" s="3" t="s">
        <v>24</v>
      </c>
      <c r="C609" s="3" t="s">
        <v>15</v>
      </c>
      <c r="D609" s="3" t="s">
        <v>2353</v>
      </c>
      <c r="E609" s="3" t="s">
        <v>2354</v>
      </c>
      <c r="F609" s="3" t="s">
        <v>904</v>
      </c>
      <c r="G609" s="3" t="s">
        <v>27</v>
      </c>
      <c r="H609" s="3" t="s">
        <v>19</v>
      </c>
      <c r="I609" s="3">
        <v>9328</v>
      </c>
      <c r="J609" s="3">
        <v>1</v>
      </c>
      <c r="K609" s="3">
        <v>7102</v>
      </c>
      <c r="L609" s="3">
        <v>8925</v>
      </c>
      <c r="M609" s="3">
        <v>1</v>
      </c>
      <c r="N609" s="14">
        <v>3408.0760489999998</v>
      </c>
      <c r="O609" s="7">
        <f t="shared" si="81"/>
        <v>1.072041166380789E-2</v>
      </c>
      <c r="P609" s="14">
        <f t="shared" si="82"/>
        <v>3408.0760489999998</v>
      </c>
      <c r="Q609" s="14">
        <f t="shared" si="83"/>
        <v>3408.0760489999998</v>
      </c>
      <c r="R609" s="4">
        <f t="shared" si="84"/>
        <v>100</v>
      </c>
      <c r="S609" s="14">
        <f t="shared" si="85"/>
        <v>381.85726039215683</v>
      </c>
      <c r="T609" s="4">
        <f t="shared" si="86"/>
        <v>76.13636363636364</v>
      </c>
      <c r="U609" s="3">
        <f>LEN(A609) - LEN(SUBSTITUTE(A609,"&gt;","")) +1</f>
        <v>5</v>
      </c>
      <c r="V609" s="8">
        <f t="shared" si="87"/>
        <v>1.072041166380789E-2</v>
      </c>
      <c r="W609" s="14">
        <f t="shared" si="88"/>
        <v>681.6152098</v>
      </c>
      <c r="X609" s="4">
        <f t="shared" si="89"/>
        <v>3.1455905061019633E-4</v>
      </c>
    </row>
    <row r="610" spans="1:24" ht="14.25" customHeight="1" x14ac:dyDescent="0.2">
      <c r="A610" s="5" t="s">
        <v>1997</v>
      </c>
      <c r="B610" s="3" t="s">
        <v>24</v>
      </c>
      <c r="C610" s="3" t="s">
        <v>29</v>
      </c>
      <c r="D610" s="3" t="s">
        <v>2353</v>
      </c>
      <c r="E610" s="3" t="s">
        <v>2354</v>
      </c>
      <c r="F610" s="3" t="s">
        <v>478</v>
      </c>
      <c r="G610" s="3" t="s">
        <v>27</v>
      </c>
      <c r="H610" s="3" t="s">
        <v>163</v>
      </c>
      <c r="I610" s="3">
        <v>7447</v>
      </c>
      <c r="J610" s="3">
        <v>1</v>
      </c>
      <c r="K610" s="3">
        <v>4163</v>
      </c>
      <c r="L610" s="3">
        <v>5586</v>
      </c>
      <c r="M610" s="3">
        <v>19</v>
      </c>
      <c r="N610" s="14">
        <v>3311.9412459999999</v>
      </c>
      <c r="O610" s="7">
        <f t="shared" si="81"/>
        <v>1.3428226131328051E-2</v>
      </c>
      <c r="P610" s="14">
        <f t="shared" si="82"/>
        <v>3311.9412459999999</v>
      </c>
      <c r="Q610" s="14">
        <f t="shared" si="83"/>
        <v>174.31269715789472</v>
      </c>
      <c r="R610" s="4">
        <f t="shared" si="84"/>
        <v>1900</v>
      </c>
      <c r="S610" s="14">
        <f t="shared" si="85"/>
        <v>592.90033046902965</v>
      </c>
      <c r="T610" s="4">
        <f t="shared" si="86"/>
        <v>55.901705384718682</v>
      </c>
      <c r="U610" s="3">
        <f>LEN(A610) - LEN(SUBSTITUTE(A610,"&gt;","")) +1</f>
        <v>5</v>
      </c>
      <c r="V610" s="8">
        <f t="shared" si="87"/>
        <v>0.25513629649523301</v>
      </c>
      <c r="W610" s="14">
        <f t="shared" si="88"/>
        <v>662.38824920000002</v>
      </c>
      <c r="X610" s="4">
        <f t="shared" si="89"/>
        <v>0.14636701781059996</v>
      </c>
    </row>
    <row r="611" spans="1:24" ht="14.25" customHeight="1" x14ac:dyDescent="0.2">
      <c r="A611" s="5" t="s">
        <v>1998</v>
      </c>
      <c r="B611" s="3" t="s">
        <v>68</v>
      </c>
      <c r="C611" s="3" t="s">
        <v>15</v>
      </c>
      <c r="D611" s="3" t="s">
        <v>2349</v>
      </c>
      <c r="E611" s="3" t="s">
        <v>2350</v>
      </c>
      <c r="F611" s="3" t="s">
        <v>907</v>
      </c>
      <c r="G611" s="3" t="s">
        <v>22</v>
      </c>
      <c r="H611" s="3" t="s">
        <v>19</v>
      </c>
      <c r="I611" s="3">
        <v>4975</v>
      </c>
      <c r="J611" s="3">
        <v>1</v>
      </c>
      <c r="K611" s="3">
        <v>1757</v>
      </c>
      <c r="L611" s="3">
        <v>4498</v>
      </c>
      <c r="M611" s="3">
        <v>11</v>
      </c>
      <c r="N611" s="14">
        <v>3307.5648630000001</v>
      </c>
      <c r="O611" s="7">
        <f t="shared" si="81"/>
        <v>2.0100502512562814E-2</v>
      </c>
      <c r="P611" s="14">
        <f t="shared" si="82"/>
        <v>3307.5648630000001</v>
      </c>
      <c r="Q611" s="14">
        <f t="shared" si="83"/>
        <v>300.6877148181818</v>
      </c>
      <c r="R611" s="4">
        <f t="shared" si="84"/>
        <v>1100</v>
      </c>
      <c r="S611" s="14">
        <f t="shared" si="85"/>
        <v>735.34123232547802</v>
      </c>
      <c r="T611" s="4">
        <f t="shared" si="86"/>
        <v>35.316582914572862</v>
      </c>
      <c r="U611" s="3">
        <f>LEN(A611) - LEN(SUBSTITUTE(A611,"&gt;","")) +1</f>
        <v>6</v>
      </c>
      <c r="V611" s="8">
        <f t="shared" si="87"/>
        <v>0.22110552763819097</v>
      </c>
      <c r="W611" s="14">
        <f t="shared" si="88"/>
        <v>551.26081050000005</v>
      </c>
      <c r="X611" s="4">
        <f t="shared" si="89"/>
        <v>7.3533276133974368E-2</v>
      </c>
    </row>
    <row r="612" spans="1:24" ht="14.25" customHeight="1" x14ac:dyDescent="0.2">
      <c r="A612" s="5" t="s">
        <v>1999</v>
      </c>
      <c r="B612" s="3" t="s">
        <v>24</v>
      </c>
      <c r="C612" s="3" t="s">
        <v>32</v>
      </c>
      <c r="D612" s="3" t="s">
        <v>2401</v>
      </c>
      <c r="E612" s="3" t="s">
        <v>2375</v>
      </c>
      <c r="F612" s="3" t="s">
        <v>909</v>
      </c>
      <c r="G612" s="3" t="s">
        <v>27</v>
      </c>
      <c r="H612" s="3" t="s">
        <v>19</v>
      </c>
      <c r="I612" s="3">
        <v>8730</v>
      </c>
      <c r="J612" s="3">
        <v>1</v>
      </c>
      <c r="K612" s="3">
        <v>3725</v>
      </c>
      <c r="L612" s="3">
        <v>7413</v>
      </c>
      <c r="M612" s="3">
        <v>1</v>
      </c>
      <c r="N612" s="14">
        <v>3268.007134</v>
      </c>
      <c r="O612" s="7">
        <f t="shared" si="81"/>
        <v>1.1454753722794959E-2</v>
      </c>
      <c r="P612" s="14">
        <f t="shared" si="82"/>
        <v>3268.007134</v>
      </c>
      <c r="Q612" s="14">
        <f t="shared" si="83"/>
        <v>3268.007134</v>
      </c>
      <c r="R612" s="4">
        <f t="shared" si="84"/>
        <v>100</v>
      </c>
      <c r="S612" s="14">
        <f t="shared" si="85"/>
        <v>440.84812275731821</v>
      </c>
      <c r="T612" s="4">
        <f t="shared" si="86"/>
        <v>42.668957617411223</v>
      </c>
      <c r="U612" s="3">
        <f>LEN(A612) - LEN(SUBSTITUTE(A612,"&gt;","")) +1</f>
        <v>6</v>
      </c>
      <c r="V612" s="8">
        <f t="shared" si="87"/>
        <v>1.1454753722794959E-2</v>
      </c>
      <c r="W612" s="14">
        <f t="shared" si="88"/>
        <v>544.6678556666667</v>
      </c>
      <c r="X612" s="4">
        <f t="shared" si="89"/>
        <v>3.5051189465350044E-4</v>
      </c>
    </row>
    <row r="613" spans="1:24" ht="14.25" customHeight="1" x14ac:dyDescent="0.2">
      <c r="A613" s="5" t="s">
        <v>2000</v>
      </c>
      <c r="B613" s="3" t="s">
        <v>14</v>
      </c>
      <c r="C613" s="3" t="s">
        <v>32</v>
      </c>
      <c r="D613" s="3" t="s">
        <v>2363</v>
      </c>
      <c r="E613" s="3" t="s">
        <v>2358</v>
      </c>
      <c r="F613" s="3" t="s">
        <v>911</v>
      </c>
      <c r="G613" s="3" t="s">
        <v>27</v>
      </c>
      <c r="H613" s="3" t="s">
        <v>19</v>
      </c>
      <c r="I613" s="3">
        <v>10093</v>
      </c>
      <c r="J613" s="3">
        <v>1</v>
      </c>
      <c r="K613" s="3">
        <v>3901</v>
      </c>
      <c r="L613" s="3">
        <v>9645</v>
      </c>
      <c r="M613" s="3">
        <v>1</v>
      </c>
      <c r="N613" s="14">
        <v>3105.2830039999999</v>
      </c>
      <c r="O613" s="7">
        <f t="shared" si="81"/>
        <v>9.9078569305459229E-3</v>
      </c>
      <c r="P613" s="14">
        <f t="shared" si="82"/>
        <v>3105.2830039999999</v>
      </c>
      <c r="Q613" s="14">
        <f t="shared" si="83"/>
        <v>3105.2830039999999</v>
      </c>
      <c r="R613" s="4">
        <f t="shared" si="84"/>
        <v>100</v>
      </c>
      <c r="S613" s="14">
        <f t="shared" si="85"/>
        <v>321.95780238465528</v>
      </c>
      <c r="T613" s="4">
        <f t="shared" si="86"/>
        <v>38.650549886059643</v>
      </c>
      <c r="U613" s="3">
        <f>LEN(A613) - LEN(SUBSTITUTE(A613,"&gt;","")) +1</f>
        <v>5</v>
      </c>
      <c r="V613" s="8">
        <f t="shared" si="87"/>
        <v>9.9078569305459229E-3</v>
      </c>
      <c r="W613" s="14">
        <f t="shared" si="88"/>
        <v>621.05660079999996</v>
      </c>
      <c r="X613" s="4">
        <f t="shared" si="89"/>
        <v>3.1906453993994565E-4</v>
      </c>
    </row>
    <row r="614" spans="1:24" ht="14.25" customHeight="1" x14ac:dyDescent="0.2">
      <c r="A614" s="5" t="s">
        <v>2001</v>
      </c>
      <c r="B614" s="3" t="s">
        <v>24</v>
      </c>
      <c r="C614" s="3" t="s">
        <v>15</v>
      </c>
      <c r="D614" s="3" t="s">
        <v>2349</v>
      </c>
      <c r="E614" s="3" t="s">
        <v>2350</v>
      </c>
      <c r="F614" s="3" t="s">
        <v>913</v>
      </c>
      <c r="G614" s="3" t="s">
        <v>22</v>
      </c>
      <c r="H614" s="3" t="s">
        <v>19</v>
      </c>
      <c r="I614" s="3">
        <v>18458</v>
      </c>
      <c r="J614" s="3">
        <v>1</v>
      </c>
      <c r="K614" s="3">
        <v>3623</v>
      </c>
      <c r="L614" s="3">
        <v>16934</v>
      </c>
      <c r="M614" s="3">
        <v>3</v>
      </c>
      <c r="N614" s="14">
        <v>2866.4966709999999</v>
      </c>
      <c r="O614" s="7">
        <f t="shared" si="81"/>
        <v>5.4177050601365261E-3</v>
      </c>
      <c r="P614" s="14">
        <f t="shared" si="82"/>
        <v>2866.4966709999999</v>
      </c>
      <c r="Q614" s="14">
        <f t="shared" si="83"/>
        <v>955.49889033333329</v>
      </c>
      <c r="R614" s="4">
        <f t="shared" si="84"/>
        <v>300</v>
      </c>
      <c r="S614" s="14">
        <f t="shared" si="85"/>
        <v>169.27463511279083</v>
      </c>
      <c r="T614" s="4">
        <f t="shared" si="86"/>
        <v>19.628345432874632</v>
      </c>
      <c r="U614" s="3">
        <f>LEN(A614) - LEN(SUBSTITUTE(A614,"&gt;","")) +1</f>
        <v>6</v>
      </c>
      <c r="V614" s="8">
        <f t="shared" si="87"/>
        <v>1.6253115180409578E-2</v>
      </c>
      <c r="W614" s="14">
        <f t="shared" si="88"/>
        <v>477.74944516666665</v>
      </c>
      <c r="X614" s="4">
        <f t="shared" si="89"/>
        <v>1.701008273776179E-3</v>
      </c>
    </row>
    <row r="615" spans="1:24" ht="14.25" customHeight="1" x14ac:dyDescent="0.2">
      <c r="A615" s="5" t="s">
        <v>2002</v>
      </c>
      <c r="B615" s="3" t="s">
        <v>14</v>
      </c>
      <c r="C615" s="3" t="s">
        <v>15</v>
      </c>
      <c r="D615" s="3" t="s">
        <v>2404</v>
      </c>
      <c r="E615" s="3" t="s">
        <v>2405</v>
      </c>
      <c r="F615" s="3" t="s">
        <v>406</v>
      </c>
      <c r="G615" s="3" t="s">
        <v>41</v>
      </c>
      <c r="H615" s="3" t="s">
        <v>19</v>
      </c>
      <c r="I615" s="3">
        <v>68114</v>
      </c>
      <c r="J615" s="3">
        <v>1</v>
      </c>
      <c r="K615" s="3">
        <v>569</v>
      </c>
      <c r="L615" s="3">
        <v>2059</v>
      </c>
      <c r="M615" s="3">
        <v>15</v>
      </c>
      <c r="N615" s="14">
        <v>2753.7119859999998</v>
      </c>
      <c r="O615" s="7">
        <f t="shared" si="81"/>
        <v>1.4681269636198139E-3</v>
      </c>
      <c r="P615" s="14">
        <f t="shared" si="82"/>
        <v>2753.7119859999998</v>
      </c>
      <c r="Q615" s="14">
        <f t="shared" si="83"/>
        <v>183.58079906666666</v>
      </c>
      <c r="R615" s="4">
        <f t="shared" si="84"/>
        <v>1500</v>
      </c>
      <c r="S615" s="14">
        <f t="shared" si="85"/>
        <v>1337.4026158329284</v>
      </c>
      <c r="T615" s="4">
        <f t="shared" si="86"/>
        <v>0.8353642422996741</v>
      </c>
      <c r="U615" s="3">
        <f>LEN(A615) - LEN(SUBSTITUTE(A615,"&gt;","")) +1</f>
        <v>5</v>
      </c>
      <c r="V615" s="8">
        <f t="shared" si="87"/>
        <v>2.2021904454297206E-2</v>
      </c>
      <c r="W615" s="14">
        <f t="shared" si="88"/>
        <v>550.74239719999991</v>
      </c>
      <c r="X615" s="4">
        <f t="shared" si="89"/>
        <v>1.1995755855872509E-2</v>
      </c>
    </row>
    <row r="616" spans="1:24" ht="14.25" customHeight="1" x14ac:dyDescent="0.2">
      <c r="A616" s="5" t="s">
        <v>2003</v>
      </c>
      <c r="B616" s="3" t="s">
        <v>24</v>
      </c>
      <c r="C616" s="3" t="s">
        <v>29</v>
      </c>
      <c r="D616" s="3" t="s">
        <v>2364</v>
      </c>
      <c r="E616" s="3" t="s">
        <v>2365</v>
      </c>
      <c r="F616" s="3" t="s">
        <v>825</v>
      </c>
      <c r="G616" s="3" t="s">
        <v>58</v>
      </c>
      <c r="H616" s="3" t="s">
        <v>114</v>
      </c>
      <c r="I616" s="3">
        <v>3489</v>
      </c>
      <c r="J616" s="3">
        <v>1</v>
      </c>
      <c r="K616" s="3">
        <v>1426</v>
      </c>
      <c r="L616" s="3">
        <v>2214</v>
      </c>
      <c r="M616" s="3">
        <v>1</v>
      </c>
      <c r="N616" s="14">
        <v>2668.6065560000002</v>
      </c>
      <c r="O616" s="7">
        <f t="shared" si="81"/>
        <v>2.8661507595299514E-2</v>
      </c>
      <c r="P616" s="14">
        <f t="shared" si="82"/>
        <v>2668.6065560000002</v>
      </c>
      <c r="Q616" s="14">
        <f t="shared" si="83"/>
        <v>2668.6065560000002</v>
      </c>
      <c r="R616" s="4">
        <f t="shared" si="84"/>
        <v>100</v>
      </c>
      <c r="S616" s="14">
        <f t="shared" si="85"/>
        <v>1205.3326811201446</v>
      </c>
      <c r="T616" s="4">
        <f t="shared" si="86"/>
        <v>40.871309830897104</v>
      </c>
      <c r="U616" s="3">
        <f>LEN(A616) - LEN(SUBSTITUTE(A616,"&gt;","")) +1</f>
        <v>5</v>
      </c>
      <c r="V616" s="8">
        <f t="shared" si="87"/>
        <v>2.8661507595299514E-2</v>
      </c>
      <c r="W616" s="14">
        <f t="shared" si="88"/>
        <v>533.72131120000006</v>
      </c>
      <c r="X616" s="4">
        <f t="shared" si="89"/>
        <v>1.0740252260438318E-3</v>
      </c>
    </row>
    <row r="617" spans="1:24" ht="14.25" customHeight="1" x14ac:dyDescent="0.2">
      <c r="A617" s="5" t="s">
        <v>2004</v>
      </c>
      <c r="B617" s="3" t="s">
        <v>24</v>
      </c>
      <c r="C617" s="3" t="s">
        <v>15</v>
      </c>
      <c r="D617" s="3" t="s">
        <v>2363</v>
      </c>
      <c r="E617" s="3" t="s">
        <v>2358</v>
      </c>
      <c r="F617" s="3" t="s">
        <v>918</v>
      </c>
      <c r="G617" s="3" t="s">
        <v>22</v>
      </c>
      <c r="H617" s="3" t="s">
        <v>19</v>
      </c>
      <c r="I617" s="3">
        <v>10653</v>
      </c>
      <c r="J617" s="3">
        <v>1</v>
      </c>
      <c r="K617" s="3">
        <v>5263</v>
      </c>
      <c r="L617" s="3">
        <v>9921</v>
      </c>
      <c r="M617" s="3">
        <v>11</v>
      </c>
      <c r="N617" s="14">
        <v>2641.4783969999999</v>
      </c>
      <c r="O617" s="7">
        <f t="shared" si="81"/>
        <v>9.387027128508401E-3</v>
      </c>
      <c r="P617" s="14">
        <f t="shared" si="82"/>
        <v>2641.4783969999999</v>
      </c>
      <c r="Q617" s="14">
        <f t="shared" si="83"/>
        <v>240.13439972727272</v>
      </c>
      <c r="R617" s="4">
        <f t="shared" si="84"/>
        <v>1100</v>
      </c>
      <c r="S617" s="14">
        <f t="shared" si="85"/>
        <v>266.25122437254305</v>
      </c>
      <c r="T617" s="4">
        <f t="shared" si="86"/>
        <v>49.403923777339713</v>
      </c>
      <c r="U617" s="3">
        <f>LEN(A617) - LEN(SUBSTITUTE(A617,"&gt;","")) +1</f>
        <v>7</v>
      </c>
      <c r="V617" s="8">
        <f t="shared" si="87"/>
        <v>0.10325729841359242</v>
      </c>
      <c r="W617" s="14">
        <f t="shared" si="88"/>
        <v>377.35405671428572</v>
      </c>
      <c r="X617" s="4">
        <f t="shared" si="89"/>
        <v>4.2999794502938594E-2</v>
      </c>
    </row>
    <row r="618" spans="1:24" ht="14.25" customHeight="1" x14ac:dyDescent="0.2">
      <c r="A618" s="5" t="s">
        <v>2005</v>
      </c>
      <c r="B618" s="3" t="s">
        <v>24</v>
      </c>
      <c r="C618" s="3" t="s">
        <v>15</v>
      </c>
      <c r="D618" s="3" t="s">
        <v>2376</v>
      </c>
      <c r="E618" s="3" t="s">
        <v>2377</v>
      </c>
      <c r="F618" s="3" t="s">
        <v>920</v>
      </c>
      <c r="G618" s="3" t="s">
        <v>27</v>
      </c>
      <c r="H618" s="3" t="s">
        <v>19</v>
      </c>
      <c r="I618" s="3">
        <v>13183</v>
      </c>
      <c r="J618" s="3">
        <v>1</v>
      </c>
      <c r="K618" s="3">
        <v>4337</v>
      </c>
      <c r="L618" s="3">
        <v>10596</v>
      </c>
      <c r="M618" s="3">
        <v>1</v>
      </c>
      <c r="N618" s="14">
        <v>2430.2436640000001</v>
      </c>
      <c r="O618" s="7">
        <f t="shared" si="81"/>
        <v>7.5855268148372901E-3</v>
      </c>
      <c r="P618" s="14">
        <f t="shared" si="82"/>
        <v>2430.2436640000001</v>
      </c>
      <c r="Q618" s="14">
        <f t="shared" si="83"/>
        <v>2430.2436640000001</v>
      </c>
      <c r="R618" s="4">
        <f t="shared" si="84"/>
        <v>100</v>
      </c>
      <c r="S618" s="14">
        <f t="shared" si="85"/>
        <v>229.35481917704794</v>
      </c>
      <c r="T618" s="4">
        <f t="shared" si="86"/>
        <v>32.898429795949333</v>
      </c>
      <c r="U618" s="3">
        <f>LEN(A618) - LEN(SUBSTITUTE(A618,"&gt;","")) +1</f>
        <v>3</v>
      </c>
      <c r="V618" s="8">
        <f t="shared" si="87"/>
        <v>7.5855268148372901E-3</v>
      </c>
      <c r="W618" s="14">
        <f t="shared" si="88"/>
        <v>810.08122133333336</v>
      </c>
      <c r="X618" s="4">
        <f t="shared" si="89"/>
        <v>3.1213029899858179E-4</v>
      </c>
    </row>
    <row r="619" spans="1:24" ht="14.25" customHeight="1" x14ac:dyDescent="0.2">
      <c r="A619" s="5" t="s">
        <v>2006</v>
      </c>
      <c r="B619" s="3" t="s">
        <v>24</v>
      </c>
      <c r="C619" s="3" t="s">
        <v>15</v>
      </c>
      <c r="D619" s="3" t="s">
        <v>2400</v>
      </c>
      <c r="E619" s="3" t="s">
        <v>2354</v>
      </c>
      <c r="F619" s="3" t="s">
        <v>166</v>
      </c>
      <c r="G619" s="3" t="s">
        <v>27</v>
      </c>
      <c r="H619" s="3" t="s">
        <v>19</v>
      </c>
      <c r="I619" s="3">
        <v>17620</v>
      </c>
      <c r="J619" s="3">
        <v>1</v>
      </c>
      <c r="K619" s="3">
        <v>11197</v>
      </c>
      <c r="L619" s="3">
        <v>16687</v>
      </c>
      <c r="M619" s="3">
        <v>3</v>
      </c>
      <c r="N619" s="14">
        <v>2407.7943249999998</v>
      </c>
      <c r="O619" s="7">
        <f t="shared" si="81"/>
        <v>5.6753688989784334E-3</v>
      </c>
      <c r="P619" s="14">
        <f t="shared" si="82"/>
        <v>2407.7943249999998</v>
      </c>
      <c r="Q619" s="14">
        <f t="shared" si="83"/>
        <v>802.59810833333324</v>
      </c>
      <c r="R619" s="4">
        <f t="shared" si="84"/>
        <v>300</v>
      </c>
      <c r="S619" s="14">
        <f t="shared" si="85"/>
        <v>144.29162371906273</v>
      </c>
      <c r="T619" s="4">
        <f t="shared" si="86"/>
        <v>63.547105561861514</v>
      </c>
      <c r="U619" s="3">
        <f>LEN(A619) - LEN(SUBSTITUTE(A619,"&gt;","")) +1</f>
        <v>5</v>
      </c>
      <c r="V619" s="8">
        <f t="shared" si="87"/>
        <v>1.70261066969353E-2</v>
      </c>
      <c r="W619" s="14">
        <f t="shared" si="88"/>
        <v>481.55886499999997</v>
      </c>
      <c r="X619" s="4">
        <f t="shared" si="89"/>
        <v>2.1213738881457785E-3</v>
      </c>
    </row>
    <row r="620" spans="1:24" ht="14.25" customHeight="1" x14ac:dyDescent="0.2">
      <c r="A620" s="5" t="s">
        <v>2007</v>
      </c>
      <c r="B620" s="3" t="s">
        <v>14</v>
      </c>
      <c r="C620" s="3" t="s">
        <v>35</v>
      </c>
      <c r="D620" s="3" t="s">
        <v>2353</v>
      </c>
      <c r="E620" s="3" t="s">
        <v>2354</v>
      </c>
      <c r="F620" s="3" t="s">
        <v>409</v>
      </c>
      <c r="G620" s="3" t="s">
        <v>27</v>
      </c>
      <c r="H620" s="3" t="s">
        <v>19</v>
      </c>
      <c r="I620" s="3">
        <v>16239</v>
      </c>
      <c r="J620" s="3">
        <v>1</v>
      </c>
      <c r="K620" s="3">
        <v>9375</v>
      </c>
      <c r="L620" s="3">
        <v>15562</v>
      </c>
      <c r="M620" s="3">
        <v>1</v>
      </c>
      <c r="N620" s="14">
        <v>2387.686295</v>
      </c>
      <c r="O620" s="7">
        <f t="shared" si="81"/>
        <v>6.1580146560748809E-3</v>
      </c>
      <c r="P620" s="14">
        <f t="shared" si="82"/>
        <v>2387.686295</v>
      </c>
      <c r="Q620" s="14">
        <f t="shared" si="83"/>
        <v>2387.686295</v>
      </c>
      <c r="R620" s="4">
        <f t="shared" si="84"/>
        <v>100</v>
      </c>
      <c r="S620" s="14">
        <f t="shared" si="85"/>
        <v>153.43055487726511</v>
      </c>
      <c r="T620" s="4">
        <f t="shared" si="86"/>
        <v>57.731387400702019</v>
      </c>
      <c r="U620" s="3">
        <f>LEN(A620) - LEN(SUBSTITUTE(A620,"&gt;","")) +1</f>
        <v>4</v>
      </c>
      <c r="V620" s="8">
        <f t="shared" si="87"/>
        <v>6.1580146560748818E-3</v>
      </c>
      <c r="W620" s="14">
        <f t="shared" si="88"/>
        <v>596.92157374999999</v>
      </c>
      <c r="X620" s="4">
        <f t="shared" si="89"/>
        <v>2.5790719111510755E-4</v>
      </c>
    </row>
    <row r="621" spans="1:24" ht="14.25" customHeight="1" x14ac:dyDescent="0.2">
      <c r="A621" s="5" t="s">
        <v>2008</v>
      </c>
      <c r="B621" s="3" t="s">
        <v>24</v>
      </c>
      <c r="C621" s="3" t="s">
        <v>15</v>
      </c>
      <c r="D621" s="3" t="s">
        <v>2363</v>
      </c>
      <c r="E621" s="3" t="s">
        <v>2358</v>
      </c>
      <c r="F621" s="3" t="s">
        <v>924</v>
      </c>
      <c r="G621" s="3" t="s">
        <v>27</v>
      </c>
      <c r="H621" s="3" t="s">
        <v>163</v>
      </c>
      <c r="I621" s="3">
        <v>5322</v>
      </c>
      <c r="J621" s="3">
        <v>1</v>
      </c>
      <c r="K621" s="3">
        <v>2688</v>
      </c>
      <c r="L621" s="3">
        <v>4263</v>
      </c>
      <c r="M621" s="3">
        <v>2</v>
      </c>
      <c r="N621" s="14">
        <v>2363.066554</v>
      </c>
      <c r="O621" s="7">
        <f t="shared" si="81"/>
        <v>1.8789928598271326E-2</v>
      </c>
      <c r="P621" s="14">
        <f t="shared" si="82"/>
        <v>2363.066554</v>
      </c>
      <c r="Q621" s="14">
        <f t="shared" si="83"/>
        <v>1181.533277</v>
      </c>
      <c r="R621" s="4">
        <f t="shared" si="84"/>
        <v>200</v>
      </c>
      <c r="S621" s="14">
        <f t="shared" si="85"/>
        <v>554.32009242317611</v>
      </c>
      <c r="T621" s="4">
        <f t="shared" si="86"/>
        <v>50.507328072153321</v>
      </c>
      <c r="U621" s="3">
        <f>LEN(A621) - LEN(SUBSTITUTE(A621,"&gt;","")) +1</f>
        <v>6</v>
      </c>
      <c r="V621" s="8">
        <f t="shared" si="87"/>
        <v>3.7579857196542651E-2</v>
      </c>
      <c r="W621" s="14">
        <f t="shared" si="88"/>
        <v>393.84442566666667</v>
      </c>
      <c r="X621" s="4">
        <f t="shared" si="89"/>
        <v>3.1806008284388466E-3</v>
      </c>
    </row>
    <row r="622" spans="1:24" ht="14.25" customHeight="1" x14ac:dyDescent="0.2">
      <c r="A622" s="5" t="s">
        <v>2009</v>
      </c>
      <c r="B622" s="3" t="s">
        <v>24</v>
      </c>
      <c r="C622" s="3" t="s">
        <v>35</v>
      </c>
      <c r="D622" s="3" t="s">
        <v>2370</v>
      </c>
      <c r="E622" s="3" t="s">
        <v>2360</v>
      </c>
      <c r="F622" s="3" t="s">
        <v>926</v>
      </c>
      <c r="G622" s="3" t="s">
        <v>27</v>
      </c>
      <c r="H622" s="3" t="s">
        <v>19</v>
      </c>
      <c r="I622" s="3">
        <v>10485</v>
      </c>
      <c r="J622" s="3">
        <v>1</v>
      </c>
      <c r="K622" s="3">
        <v>4255</v>
      </c>
      <c r="L622" s="3">
        <v>7669</v>
      </c>
      <c r="M622" s="3">
        <v>1</v>
      </c>
      <c r="N622" s="14">
        <v>2239.262819</v>
      </c>
      <c r="O622" s="7">
        <f t="shared" si="81"/>
        <v>9.5374344301382922E-3</v>
      </c>
      <c r="P622" s="14">
        <f t="shared" si="82"/>
        <v>2239.262819</v>
      </c>
      <c r="Q622" s="14">
        <f t="shared" si="83"/>
        <v>2239.262819</v>
      </c>
      <c r="R622" s="4">
        <f t="shared" si="84"/>
        <v>100</v>
      </c>
      <c r="S622" s="14">
        <f t="shared" si="85"/>
        <v>291.98889281523014</v>
      </c>
      <c r="T622" s="4">
        <f t="shared" si="86"/>
        <v>40.581783500238437</v>
      </c>
      <c r="U622" s="3">
        <f>LEN(A622) - LEN(SUBSTITUTE(A622,"&gt;","")) +1</f>
        <v>4</v>
      </c>
      <c r="V622" s="8">
        <f t="shared" si="87"/>
        <v>9.5374344301382922E-3</v>
      </c>
      <c r="W622" s="14">
        <f t="shared" si="88"/>
        <v>559.81570475000001</v>
      </c>
      <c r="X622" s="4">
        <f t="shared" si="89"/>
        <v>4.2591849197931472E-4</v>
      </c>
    </row>
    <row r="623" spans="1:24" ht="14.25" customHeight="1" x14ac:dyDescent="0.2">
      <c r="A623" s="5" t="s">
        <v>927</v>
      </c>
      <c r="B623" s="3" t="s">
        <v>24</v>
      </c>
      <c r="C623" s="3" t="s">
        <v>35</v>
      </c>
      <c r="D623" s="3" t="s">
        <v>2363</v>
      </c>
      <c r="E623" s="3" t="s">
        <v>2358</v>
      </c>
      <c r="F623" s="3" t="s">
        <v>928</v>
      </c>
      <c r="G623" s="3" t="s">
        <v>27</v>
      </c>
      <c r="H623" s="3" t="s">
        <v>19</v>
      </c>
      <c r="I623" s="3">
        <v>7472</v>
      </c>
      <c r="J623" s="3">
        <v>1</v>
      </c>
      <c r="K623" s="3">
        <v>1191</v>
      </c>
      <c r="L623" s="3">
        <v>5883</v>
      </c>
      <c r="M623" s="3">
        <v>1</v>
      </c>
      <c r="N623" s="14">
        <v>2183.952037</v>
      </c>
      <c r="O623" s="7">
        <f t="shared" si="81"/>
        <v>1.3383297644539615E-2</v>
      </c>
      <c r="P623" s="14">
        <f t="shared" si="82"/>
        <v>2183.952037</v>
      </c>
      <c r="Q623" s="14">
        <f t="shared" si="83"/>
        <v>2183.952037</v>
      </c>
      <c r="R623" s="4">
        <f t="shared" si="84"/>
        <v>100</v>
      </c>
      <c r="S623" s="14">
        <f t="shared" si="85"/>
        <v>371.23101087880332</v>
      </c>
      <c r="T623" s="4">
        <f t="shared" si="86"/>
        <v>15.939507494646682</v>
      </c>
      <c r="U623" s="3">
        <f>LEN(A623) - LEN(SUBSTITUTE(A623,"&gt;","")) +1</f>
        <v>1</v>
      </c>
      <c r="V623" s="8">
        <f t="shared" si="87"/>
        <v>1.3383297644539615E-2</v>
      </c>
      <c r="W623" s="14">
        <f t="shared" si="88"/>
        <v>2183.952037</v>
      </c>
      <c r="X623" s="4">
        <f t="shared" si="89"/>
        <v>6.1280181147767645E-4</v>
      </c>
    </row>
    <row r="624" spans="1:24" ht="14.25" customHeight="1" x14ac:dyDescent="0.2">
      <c r="A624" s="5" t="s">
        <v>2010</v>
      </c>
      <c r="B624" s="3" t="s">
        <v>14</v>
      </c>
      <c r="C624" s="3" t="s">
        <v>15</v>
      </c>
      <c r="D624" s="3" t="s">
        <v>2359</v>
      </c>
      <c r="E624" s="3" t="s">
        <v>2360</v>
      </c>
      <c r="F624" s="3" t="s">
        <v>635</v>
      </c>
      <c r="G624" s="3" t="s">
        <v>41</v>
      </c>
      <c r="H624" s="3" t="s">
        <v>19</v>
      </c>
      <c r="I624" s="3">
        <v>12488</v>
      </c>
      <c r="J624" s="3">
        <v>1</v>
      </c>
      <c r="K624" s="3">
        <v>4021</v>
      </c>
      <c r="L624" s="3">
        <v>11403</v>
      </c>
      <c r="M624" s="3">
        <v>1</v>
      </c>
      <c r="N624" s="14">
        <v>2176.6574690000002</v>
      </c>
      <c r="O624" s="7">
        <f t="shared" si="81"/>
        <v>8.0076873798846891E-3</v>
      </c>
      <c r="P624" s="14">
        <f t="shared" si="82"/>
        <v>2176.6574690000002</v>
      </c>
      <c r="Q624" s="14">
        <f t="shared" si="83"/>
        <v>2176.6574690000002</v>
      </c>
      <c r="R624" s="4">
        <f t="shared" si="84"/>
        <v>100</v>
      </c>
      <c r="S624" s="14">
        <f t="shared" si="85"/>
        <v>190.88463290362188</v>
      </c>
      <c r="T624" s="4">
        <f t="shared" si="86"/>
        <v>32.198910954516336</v>
      </c>
      <c r="U624" s="3">
        <f>LEN(A624) - LEN(SUBSTITUTE(A624,"&gt;","")) +1</f>
        <v>4</v>
      </c>
      <c r="V624" s="8">
        <f t="shared" si="87"/>
        <v>8.0076873798846891E-3</v>
      </c>
      <c r="W624" s="14">
        <f t="shared" si="88"/>
        <v>544.16436725000005</v>
      </c>
      <c r="X624" s="4">
        <f t="shared" si="89"/>
        <v>3.678891830216897E-4</v>
      </c>
    </row>
    <row r="625" spans="1:24" ht="14.25" customHeight="1" x14ac:dyDescent="0.2">
      <c r="A625" s="5" t="s">
        <v>2011</v>
      </c>
      <c r="B625" s="3" t="s">
        <v>14</v>
      </c>
      <c r="C625" s="3" t="s">
        <v>15</v>
      </c>
      <c r="D625" s="3" t="s">
        <v>2353</v>
      </c>
      <c r="E625" s="3" t="s">
        <v>2354</v>
      </c>
      <c r="F625" s="3" t="s">
        <v>250</v>
      </c>
      <c r="G625" s="3" t="s">
        <v>38</v>
      </c>
      <c r="H625" s="3" t="s">
        <v>19</v>
      </c>
      <c r="I625" s="3">
        <v>51515</v>
      </c>
      <c r="J625" s="3">
        <v>1</v>
      </c>
      <c r="K625" s="3">
        <v>18304</v>
      </c>
      <c r="L625" s="3">
        <v>44891</v>
      </c>
      <c r="M625" s="3">
        <v>14</v>
      </c>
      <c r="N625" s="14">
        <v>2160.3073250000002</v>
      </c>
      <c r="O625" s="7">
        <f t="shared" si="81"/>
        <v>1.9411821799475879E-3</v>
      </c>
      <c r="P625" s="14">
        <f t="shared" si="82"/>
        <v>2160.3073250000002</v>
      </c>
      <c r="Q625" s="14">
        <f t="shared" si="83"/>
        <v>154.3076660714286</v>
      </c>
      <c r="R625" s="4">
        <f t="shared" si="84"/>
        <v>1400</v>
      </c>
      <c r="S625" s="14">
        <f t="shared" si="85"/>
        <v>48.123395001225191</v>
      </c>
      <c r="T625" s="4">
        <f t="shared" si="86"/>
        <v>35.531398621760651</v>
      </c>
      <c r="U625" s="3">
        <f>LEN(A625) - LEN(SUBSTITUTE(A625,"&gt;","")) +1</f>
        <v>7</v>
      </c>
      <c r="V625" s="8">
        <f t="shared" si="87"/>
        <v>2.7176550519266231E-2</v>
      </c>
      <c r="W625" s="14">
        <f t="shared" si="88"/>
        <v>308.6153321428572</v>
      </c>
      <c r="X625" s="4">
        <f t="shared" si="89"/>
        <v>1.7611925065787903E-2</v>
      </c>
    </row>
    <row r="626" spans="1:24" ht="14.25" customHeight="1" x14ac:dyDescent="0.2">
      <c r="A626" s="5" t="s">
        <v>2012</v>
      </c>
      <c r="B626" s="3" t="s">
        <v>14</v>
      </c>
      <c r="C626" s="3" t="s">
        <v>32</v>
      </c>
      <c r="D626" s="3" t="s">
        <v>2357</v>
      </c>
      <c r="E626" s="3" t="s">
        <v>2358</v>
      </c>
      <c r="F626" s="3" t="s">
        <v>269</v>
      </c>
      <c r="G626" s="3" t="s">
        <v>22</v>
      </c>
      <c r="H626" s="3" t="s">
        <v>19</v>
      </c>
      <c r="I626" s="3">
        <v>4780</v>
      </c>
      <c r="J626" s="3">
        <v>1</v>
      </c>
      <c r="K626" s="3">
        <v>2156</v>
      </c>
      <c r="L626" s="3">
        <v>4558</v>
      </c>
      <c r="M626" s="3">
        <v>10</v>
      </c>
      <c r="N626" s="14">
        <v>2136.0819900000001</v>
      </c>
      <c r="O626" s="7">
        <f t="shared" si="81"/>
        <v>2.0920502092050208E-2</v>
      </c>
      <c r="P626" s="14">
        <f t="shared" si="82"/>
        <v>2136.0819900000001</v>
      </c>
      <c r="Q626" s="14">
        <f t="shared" si="83"/>
        <v>213.60819900000001</v>
      </c>
      <c r="R626" s="4">
        <f t="shared" si="84"/>
        <v>1000</v>
      </c>
      <c r="S626" s="14">
        <f t="shared" si="85"/>
        <v>468.64457876261525</v>
      </c>
      <c r="T626" s="4">
        <f t="shared" si="86"/>
        <v>45.104602510460253</v>
      </c>
      <c r="U626" s="3">
        <f>LEN(A626) - LEN(SUBSTITUTE(A626,"&gt;","")) +1</f>
        <v>5</v>
      </c>
      <c r="V626" s="8">
        <f t="shared" si="87"/>
        <v>0.20920502092050208</v>
      </c>
      <c r="W626" s="14">
        <f t="shared" si="88"/>
        <v>427.21639800000003</v>
      </c>
      <c r="X626" s="4">
        <f t="shared" si="89"/>
        <v>9.7938666165385366E-2</v>
      </c>
    </row>
    <row r="627" spans="1:24" ht="14.25" customHeight="1" x14ac:dyDescent="0.2">
      <c r="A627" s="5" t="s">
        <v>2013</v>
      </c>
      <c r="B627" s="3" t="s">
        <v>24</v>
      </c>
      <c r="C627" s="3" t="s">
        <v>15</v>
      </c>
      <c r="D627" s="3" t="s">
        <v>2349</v>
      </c>
      <c r="E627" s="3" t="s">
        <v>2350</v>
      </c>
      <c r="F627" s="3" t="s">
        <v>933</v>
      </c>
      <c r="G627" s="3" t="s">
        <v>22</v>
      </c>
      <c r="H627" s="3" t="s">
        <v>163</v>
      </c>
      <c r="I627" s="3">
        <v>12770</v>
      </c>
      <c r="J627" s="3">
        <v>1</v>
      </c>
      <c r="K627" s="3">
        <v>6224</v>
      </c>
      <c r="L627" s="3">
        <v>11110</v>
      </c>
      <c r="M627" s="3">
        <v>21</v>
      </c>
      <c r="N627" s="14">
        <v>2087.5098269999999</v>
      </c>
      <c r="O627" s="7">
        <f t="shared" si="81"/>
        <v>7.8308535630383716E-3</v>
      </c>
      <c r="P627" s="14">
        <f t="shared" si="82"/>
        <v>2087.5098269999999</v>
      </c>
      <c r="Q627" s="14">
        <f t="shared" si="83"/>
        <v>99.405229857142857</v>
      </c>
      <c r="R627" s="4">
        <f t="shared" si="84"/>
        <v>2100</v>
      </c>
      <c r="S627" s="14">
        <f t="shared" si="85"/>
        <v>187.89467389738974</v>
      </c>
      <c r="T627" s="4">
        <f t="shared" si="86"/>
        <v>48.739232576350823</v>
      </c>
      <c r="U627" s="3">
        <f>LEN(A627) - LEN(SUBSTITUTE(A627,"&gt;","")) +1</f>
        <v>3</v>
      </c>
      <c r="V627" s="8">
        <f t="shared" si="87"/>
        <v>0.1644479248238058</v>
      </c>
      <c r="W627" s="14">
        <f t="shared" si="88"/>
        <v>695.83660899999995</v>
      </c>
      <c r="X627" s="4">
        <f t="shared" si="89"/>
        <v>0.16543186415859312</v>
      </c>
    </row>
    <row r="628" spans="1:24" ht="14.25" customHeight="1" x14ac:dyDescent="0.2">
      <c r="A628" s="5" t="s">
        <v>2014</v>
      </c>
      <c r="B628" s="3" t="s">
        <v>14</v>
      </c>
      <c r="C628" s="3" t="s">
        <v>32</v>
      </c>
      <c r="D628" s="3" t="s">
        <v>2353</v>
      </c>
      <c r="E628" s="3" t="s">
        <v>2354</v>
      </c>
      <c r="F628" s="3" t="s">
        <v>40</v>
      </c>
      <c r="G628" s="3" t="s">
        <v>27</v>
      </c>
      <c r="H628" s="3" t="s">
        <v>19</v>
      </c>
      <c r="I628" s="3">
        <v>80456</v>
      </c>
      <c r="J628" s="3">
        <v>1</v>
      </c>
      <c r="K628" s="3">
        <v>46039</v>
      </c>
      <c r="L628" s="3">
        <v>65383</v>
      </c>
      <c r="M628" s="3">
        <v>3</v>
      </c>
      <c r="N628" s="14">
        <v>2039.848792</v>
      </c>
      <c r="O628" s="7">
        <f t="shared" si="81"/>
        <v>1.2429153823207716E-3</v>
      </c>
      <c r="P628" s="14">
        <f t="shared" si="82"/>
        <v>2039.848792</v>
      </c>
      <c r="Q628" s="14">
        <f t="shared" si="83"/>
        <v>679.94959733333337</v>
      </c>
      <c r="R628" s="4">
        <f t="shared" si="84"/>
        <v>300</v>
      </c>
      <c r="S628" s="14">
        <f t="shared" si="85"/>
        <v>31.198458192496521</v>
      </c>
      <c r="T628" s="4">
        <f t="shared" si="86"/>
        <v>57.222581286666006</v>
      </c>
      <c r="U628" s="3">
        <f>LEN(A628) - LEN(SUBSTITUTE(A628,"&gt;","")) +1</f>
        <v>3</v>
      </c>
      <c r="V628" s="8">
        <f t="shared" si="87"/>
        <v>3.7287461469623149E-3</v>
      </c>
      <c r="W628" s="14">
        <f t="shared" si="88"/>
        <v>679.94959733333337</v>
      </c>
      <c r="X628" s="4">
        <f t="shared" si="89"/>
        <v>5.4838566881809073E-4</v>
      </c>
    </row>
    <row r="629" spans="1:24" ht="14.25" customHeight="1" x14ac:dyDescent="0.2">
      <c r="A629" s="5" t="s">
        <v>2015</v>
      </c>
      <c r="B629" s="3" t="s">
        <v>68</v>
      </c>
      <c r="C629" s="3" t="s">
        <v>35</v>
      </c>
      <c r="D629" s="3" t="s">
        <v>2362</v>
      </c>
      <c r="E629" s="3" t="s">
        <v>2352</v>
      </c>
      <c r="F629" s="3" t="s">
        <v>554</v>
      </c>
      <c r="G629" s="3" t="s">
        <v>27</v>
      </c>
      <c r="H629" s="3" t="s">
        <v>19</v>
      </c>
      <c r="I629" s="3">
        <v>53561</v>
      </c>
      <c r="J629" s="3">
        <v>1</v>
      </c>
      <c r="K629" s="3">
        <v>37063</v>
      </c>
      <c r="L629" s="3">
        <v>51480</v>
      </c>
      <c r="M629" s="3">
        <v>14</v>
      </c>
      <c r="N629" s="14">
        <v>2039.3550600000001</v>
      </c>
      <c r="O629" s="7">
        <f t="shared" si="81"/>
        <v>1.8670301151957581E-3</v>
      </c>
      <c r="P629" s="14">
        <f t="shared" si="82"/>
        <v>2039.3550600000001</v>
      </c>
      <c r="Q629" s="14">
        <f t="shared" si="83"/>
        <v>145.66821857142858</v>
      </c>
      <c r="R629" s="4">
        <f t="shared" si="84"/>
        <v>1400</v>
      </c>
      <c r="S629" s="14">
        <f t="shared" si="85"/>
        <v>39.614511655011654</v>
      </c>
      <c r="T629" s="4">
        <f t="shared" si="86"/>
        <v>69.197737159500377</v>
      </c>
      <c r="U629" s="3">
        <f>LEN(A629) - LEN(SUBSTITUTE(A629,"&gt;","")) +1</f>
        <v>4</v>
      </c>
      <c r="V629" s="8">
        <f t="shared" si="87"/>
        <v>2.6138421612740614E-2</v>
      </c>
      <c r="W629" s="14">
        <f t="shared" si="88"/>
        <v>509.83876500000002</v>
      </c>
      <c r="X629" s="4">
        <f t="shared" si="89"/>
        <v>1.7943805360620655E-2</v>
      </c>
    </row>
    <row r="630" spans="1:24" ht="14.25" customHeight="1" x14ac:dyDescent="0.2">
      <c r="A630" s="5" t="s">
        <v>2016</v>
      </c>
      <c r="B630" s="3" t="s">
        <v>24</v>
      </c>
      <c r="C630" s="3" t="s">
        <v>35</v>
      </c>
      <c r="D630" s="3" t="s">
        <v>2363</v>
      </c>
      <c r="E630" s="3" t="s">
        <v>2358</v>
      </c>
      <c r="F630" s="3" t="s">
        <v>17</v>
      </c>
      <c r="G630" s="3" t="s">
        <v>41</v>
      </c>
      <c r="H630" s="3" t="s">
        <v>19</v>
      </c>
      <c r="I630" s="3">
        <v>13700</v>
      </c>
      <c r="J630" s="3">
        <v>1</v>
      </c>
      <c r="K630" s="3">
        <v>3609</v>
      </c>
      <c r="L630" s="3">
        <v>12644</v>
      </c>
      <c r="M630" s="3">
        <v>1</v>
      </c>
      <c r="N630" s="14">
        <v>2032.700147</v>
      </c>
      <c r="O630" s="7">
        <f t="shared" si="81"/>
        <v>7.2992700729927014E-3</v>
      </c>
      <c r="P630" s="14">
        <f t="shared" si="82"/>
        <v>2032.700147</v>
      </c>
      <c r="Q630" s="14">
        <f t="shared" si="83"/>
        <v>2032.700147</v>
      </c>
      <c r="R630" s="4">
        <f t="shared" si="84"/>
        <v>100</v>
      </c>
      <c r="S630" s="14">
        <f t="shared" si="85"/>
        <v>160.76401036064536</v>
      </c>
      <c r="T630" s="4">
        <f t="shared" si="86"/>
        <v>26.343065693430656</v>
      </c>
      <c r="U630" s="3">
        <f>LEN(A630) - LEN(SUBSTITUTE(A630,"&gt;","")) +1</f>
        <v>3</v>
      </c>
      <c r="V630" s="8">
        <f t="shared" si="87"/>
        <v>7.2992700729927005E-3</v>
      </c>
      <c r="W630" s="14">
        <f t="shared" si="88"/>
        <v>677.56671566666671</v>
      </c>
      <c r="X630" s="4">
        <f t="shared" si="89"/>
        <v>3.5909231785934934E-4</v>
      </c>
    </row>
    <row r="631" spans="1:24" ht="14.25" customHeight="1" x14ac:dyDescent="0.2">
      <c r="A631" s="5" t="s">
        <v>2017</v>
      </c>
      <c r="B631" s="3" t="s">
        <v>24</v>
      </c>
      <c r="C631" s="3" t="s">
        <v>15</v>
      </c>
      <c r="D631" s="3" t="s">
        <v>2397</v>
      </c>
      <c r="E631" s="3" t="s">
        <v>2360</v>
      </c>
      <c r="F631" s="3" t="s">
        <v>938</v>
      </c>
      <c r="G631" s="3" t="s">
        <v>76</v>
      </c>
      <c r="H631" s="3" t="s">
        <v>163</v>
      </c>
      <c r="I631" s="3">
        <v>6198</v>
      </c>
      <c r="J631" s="3">
        <v>1</v>
      </c>
      <c r="K631" s="3">
        <v>1297</v>
      </c>
      <c r="L631" s="3">
        <v>5737</v>
      </c>
      <c r="M631" s="3">
        <v>1</v>
      </c>
      <c r="N631" s="14">
        <v>2006.9516570000001</v>
      </c>
      <c r="O631" s="7">
        <f t="shared" si="81"/>
        <v>1.6134236850596968E-2</v>
      </c>
      <c r="P631" s="14">
        <f t="shared" si="82"/>
        <v>2006.9516570000001</v>
      </c>
      <c r="Q631" s="14">
        <f t="shared" si="83"/>
        <v>2006.9516570000001</v>
      </c>
      <c r="R631" s="4">
        <f t="shared" si="84"/>
        <v>100</v>
      </c>
      <c r="S631" s="14">
        <f t="shared" si="85"/>
        <v>349.8259816977515</v>
      </c>
      <c r="T631" s="4">
        <f t="shared" si="86"/>
        <v>20.926105195224267</v>
      </c>
      <c r="U631" s="3">
        <f>LEN(A631) - LEN(SUBSTITUTE(A631,"&gt;","")) +1</f>
        <v>2</v>
      </c>
      <c r="V631" s="8">
        <f t="shared" si="87"/>
        <v>1.6134236850596968E-2</v>
      </c>
      <c r="W631" s="14">
        <f t="shared" si="88"/>
        <v>1003.4758285</v>
      </c>
      <c r="X631" s="4">
        <f t="shared" si="89"/>
        <v>8.0391756295288615E-4</v>
      </c>
    </row>
    <row r="632" spans="1:24" ht="14.25" customHeight="1" x14ac:dyDescent="0.2">
      <c r="A632" s="5" t="s">
        <v>2018</v>
      </c>
      <c r="B632" s="3" t="s">
        <v>14</v>
      </c>
      <c r="C632" s="3" t="s">
        <v>29</v>
      </c>
      <c r="D632" s="3" t="s">
        <v>2406</v>
      </c>
      <c r="E632" s="3" t="s">
        <v>2390</v>
      </c>
      <c r="F632" s="3" t="s">
        <v>941</v>
      </c>
      <c r="G632" s="3" t="s">
        <v>38</v>
      </c>
      <c r="H632" s="3" t="s">
        <v>19</v>
      </c>
      <c r="I632" s="3">
        <v>19829</v>
      </c>
      <c r="J632" s="3">
        <v>1</v>
      </c>
      <c r="K632" s="3">
        <v>15071</v>
      </c>
      <c r="L632" s="3">
        <v>19095</v>
      </c>
      <c r="M632" s="3">
        <v>2</v>
      </c>
      <c r="N632" s="14">
        <v>1952.4637729999999</v>
      </c>
      <c r="O632" s="7">
        <f t="shared" si="81"/>
        <v>5.0431186645821776E-3</v>
      </c>
      <c r="P632" s="14">
        <f t="shared" si="82"/>
        <v>1952.4637729999999</v>
      </c>
      <c r="Q632" s="14">
        <f t="shared" si="83"/>
        <v>976.23188649999997</v>
      </c>
      <c r="R632" s="4">
        <f t="shared" si="84"/>
        <v>200</v>
      </c>
      <c r="S632" s="14">
        <f t="shared" si="85"/>
        <v>102.25000120450379</v>
      </c>
      <c r="T632" s="4">
        <f t="shared" si="86"/>
        <v>76.004841393917999</v>
      </c>
      <c r="U632" s="3">
        <f>LEN(A632) - LEN(SUBSTITUTE(A632,"&gt;","")) +1</f>
        <v>5</v>
      </c>
      <c r="V632" s="8">
        <f t="shared" si="87"/>
        <v>1.0086237329164355E-2</v>
      </c>
      <c r="W632" s="14">
        <f t="shared" si="88"/>
        <v>390.49275460000001</v>
      </c>
      <c r="X632" s="4">
        <f t="shared" si="89"/>
        <v>1.0331804839243341E-3</v>
      </c>
    </row>
    <row r="633" spans="1:24" ht="14.25" customHeight="1" x14ac:dyDescent="0.2">
      <c r="A633" s="5" t="s">
        <v>2019</v>
      </c>
      <c r="B633" s="3" t="s">
        <v>24</v>
      </c>
      <c r="C633" s="3" t="s">
        <v>15</v>
      </c>
      <c r="D633" s="3" t="s">
        <v>2373</v>
      </c>
      <c r="E633" s="3" t="s">
        <v>2352</v>
      </c>
      <c r="F633" s="3" t="s">
        <v>847</v>
      </c>
      <c r="G633" s="3" t="s">
        <v>27</v>
      </c>
      <c r="H633" s="3" t="s">
        <v>19</v>
      </c>
      <c r="I633" s="3">
        <v>10883</v>
      </c>
      <c r="J633" s="3">
        <v>1</v>
      </c>
      <c r="K633" s="3">
        <v>1652</v>
      </c>
      <c r="L633" s="3">
        <v>8869</v>
      </c>
      <c r="M633" s="3">
        <v>16</v>
      </c>
      <c r="N633" s="14">
        <v>1942.482395</v>
      </c>
      <c r="O633" s="7">
        <f t="shared" si="81"/>
        <v>9.1886428374529077E-3</v>
      </c>
      <c r="P633" s="14">
        <f t="shared" si="82"/>
        <v>1942.482395</v>
      </c>
      <c r="Q633" s="14">
        <f t="shared" si="83"/>
        <v>121.4051496875</v>
      </c>
      <c r="R633" s="4">
        <f t="shared" si="84"/>
        <v>1600</v>
      </c>
      <c r="S633" s="14">
        <f t="shared" si="85"/>
        <v>219.01932517758485</v>
      </c>
      <c r="T633" s="4">
        <f t="shared" si="86"/>
        <v>15.179637967472203</v>
      </c>
      <c r="U633" s="3">
        <f>LEN(A633) - LEN(SUBSTITUTE(A633,"&gt;","")) +1</f>
        <v>4</v>
      </c>
      <c r="V633" s="8">
        <f t="shared" si="87"/>
        <v>0.14701828539924652</v>
      </c>
      <c r="W633" s="14">
        <f t="shared" si="88"/>
        <v>485.62059875</v>
      </c>
      <c r="X633" s="4">
        <f t="shared" si="89"/>
        <v>0.121097239925716</v>
      </c>
    </row>
    <row r="634" spans="1:24" ht="14.25" customHeight="1" x14ac:dyDescent="0.2">
      <c r="A634" s="5" t="s">
        <v>2020</v>
      </c>
      <c r="B634" s="3" t="s">
        <v>68</v>
      </c>
      <c r="C634" s="3" t="s">
        <v>15</v>
      </c>
      <c r="D634" s="3" t="s">
        <v>2366</v>
      </c>
      <c r="E634" s="3" t="s">
        <v>2352</v>
      </c>
      <c r="F634" s="3" t="s">
        <v>944</v>
      </c>
      <c r="G634" s="3" t="s">
        <v>41</v>
      </c>
      <c r="H634" s="3" t="s">
        <v>19</v>
      </c>
      <c r="I634" s="3">
        <v>7531</v>
      </c>
      <c r="J634" s="3">
        <v>1</v>
      </c>
      <c r="K634" s="3">
        <v>3059</v>
      </c>
      <c r="L634" s="3">
        <v>6523</v>
      </c>
      <c r="M634" s="3">
        <v>1</v>
      </c>
      <c r="N634" s="14">
        <v>1937.0583879999999</v>
      </c>
      <c r="O634" s="7">
        <f t="shared" si="81"/>
        <v>1.3278449077147789E-2</v>
      </c>
      <c r="P634" s="14">
        <f t="shared" si="82"/>
        <v>1937.0583879999999</v>
      </c>
      <c r="Q634" s="14">
        <f t="shared" si="83"/>
        <v>1937.0583879999999</v>
      </c>
      <c r="R634" s="4">
        <f t="shared" si="84"/>
        <v>100</v>
      </c>
      <c r="S634" s="14">
        <f t="shared" si="85"/>
        <v>296.95820757320251</v>
      </c>
      <c r="T634" s="4">
        <f t="shared" si="86"/>
        <v>40.618775726995089</v>
      </c>
      <c r="U634" s="3">
        <f>LEN(A634) - LEN(SUBSTITUTE(A634,"&gt;","")) +1</f>
        <v>3</v>
      </c>
      <c r="V634" s="8">
        <f t="shared" si="87"/>
        <v>1.3278449077147789E-2</v>
      </c>
      <c r="W634" s="14">
        <f t="shared" si="88"/>
        <v>645.68612933333327</v>
      </c>
      <c r="X634" s="4">
        <f t="shared" si="89"/>
        <v>6.8549555136836638E-4</v>
      </c>
    </row>
    <row r="635" spans="1:24" ht="14.25" customHeight="1" x14ac:dyDescent="0.2">
      <c r="A635" s="5" t="s">
        <v>945</v>
      </c>
      <c r="B635" s="3" t="s">
        <v>14</v>
      </c>
      <c r="C635" s="3" t="s">
        <v>29</v>
      </c>
      <c r="D635" s="3" t="s">
        <v>2404</v>
      </c>
      <c r="E635" s="3" t="s">
        <v>2405</v>
      </c>
      <c r="F635" s="3" t="s">
        <v>199</v>
      </c>
      <c r="G635" s="3" t="s">
        <v>27</v>
      </c>
      <c r="H635" s="3" t="s">
        <v>19</v>
      </c>
      <c r="I635" s="3">
        <v>1282</v>
      </c>
      <c r="J635" s="3">
        <v>1</v>
      </c>
      <c r="K635" s="3">
        <v>646</v>
      </c>
      <c r="L635" s="3">
        <v>1132</v>
      </c>
      <c r="M635" s="3">
        <v>2</v>
      </c>
      <c r="N635" s="14">
        <v>1915.523813</v>
      </c>
      <c r="O635" s="7">
        <f t="shared" si="81"/>
        <v>7.8003120124804995E-2</v>
      </c>
      <c r="P635" s="14">
        <f t="shared" si="82"/>
        <v>1915.523813</v>
      </c>
      <c r="Q635" s="14">
        <f t="shared" si="83"/>
        <v>957.76190650000001</v>
      </c>
      <c r="R635" s="4">
        <f t="shared" si="84"/>
        <v>200</v>
      </c>
      <c r="S635" s="14">
        <f t="shared" si="85"/>
        <v>1692.1588454063606</v>
      </c>
      <c r="T635" s="4">
        <f t="shared" si="86"/>
        <v>50.390015600624025</v>
      </c>
      <c r="U635" s="3">
        <f>LEN(A635) - LEN(SUBSTITUTE(A635,"&gt;","")) +1</f>
        <v>1</v>
      </c>
      <c r="V635" s="8">
        <f t="shared" si="87"/>
        <v>0.15600624024960999</v>
      </c>
      <c r="W635" s="14">
        <f t="shared" si="88"/>
        <v>1915.523813</v>
      </c>
      <c r="X635" s="4">
        <f t="shared" si="89"/>
        <v>1.628862446823677E-2</v>
      </c>
    </row>
    <row r="636" spans="1:24" ht="14.25" customHeight="1" x14ac:dyDescent="0.2">
      <c r="A636" s="5" t="s">
        <v>2021</v>
      </c>
      <c r="B636" s="3" t="s">
        <v>24</v>
      </c>
      <c r="C636" s="3" t="s">
        <v>29</v>
      </c>
      <c r="D636" s="3" t="s">
        <v>2400</v>
      </c>
      <c r="E636" s="3" t="s">
        <v>2354</v>
      </c>
      <c r="F636" s="3" t="s">
        <v>431</v>
      </c>
      <c r="G636" s="3" t="s">
        <v>27</v>
      </c>
      <c r="H636" s="3" t="s">
        <v>163</v>
      </c>
      <c r="I636" s="3">
        <v>11043</v>
      </c>
      <c r="J636" s="3">
        <v>1</v>
      </c>
      <c r="K636" s="3">
        <v>4547</v>
      </c>
      <c r="L636" s="3">
        <v>9666</v>
      </c>
      <c r="M636" s="3">
        <v>13</v>
      </c>
      <c r="N636" s="14">
        <v>1858.132171</v>
      </c>
      <c r="O636" s="7">
        <f t="shared" si="81"/>
        <v>9.0555102780041658E-3</v>
      </c>
      <c r="P636" s="14">
        <f t="shared" si="82"/>
        <v>1858.132171</v>
      </c>
      <c r="Q636" s="14">
        <f t="shared" si="83"/>
        <v>142.93324392307693</v>
      </c>
      <c r="R636" s="4">
        <f t="shared" si="84"/>
        <v>1300</v>
      </c>
      <c r="S636" s="14">
        <f t="shared" si="85"/>
        <v>192.23382691909788</v>
      </c>
      <c r="T636" s="4">
        <f t="shared" si="86"/>
        <v>41.175405234084941</v>
      </c>
      <c r="U636" s="3">
        <f>LEN(A636) - LEN(SUBSTITUTE(A636,"&gt;","")) +1</f>
        <v>3</v>
      </c>
      <c r="V636" s="8">
        <f t="shared" si="87"/>
        <v>0.11772163361405415</v>
      </c>
      <c r="W636" s="14">
        <f t="shared" si="88"/>
        <v>619.37739033333332</v>
      </c>
      <c r="X636" s="4">
        <f t="shared" si="89"/>
        <v>8.2361269067263987E-2</v>
      </c>
    </row>
    <row r="637" spans="1:24" ht="14.25" customHeight="1" x14ac:dyDescent="0.2">
      <c r="A637" s="5" t="s">
        <v>2022</v>
      </c>
      <c r="B637" s="3" t="s">
        <v>24</v>
      </c>
      <c r="C637" s="3" t="s">
        <v>15</v>
      </c>
      <c r="D637" s="3" t="s">
        <v>2391</v>
      </c>
      <c r="E637" s="3" t="s">
        <v>2392</v>
      </c>
      <c r="F637" s="3" t="s">
        <v>831</v>
      </c>
      <c r="G637" s="3" t="s">
        <v>41</v>
      </c>
      <c r="H637" s="3" t="s">
        <v>114</v>
      </c>
      <c r="I637" s="3">
        <v>57257</v>
      </c>
      <c r="J637" s="3">
        <v>1</v>
      </c>
      <c r="K637" s="3">
        <v>3797</v>
      </c>
      <c r="L637" s="3">
        <v>51520</v>
      </c>
      <c r="M637" s="3">
        <v>1</v>
      </c>
      <c r="N637" s="14">
        <v>1841.3581260000001</v>
      </c>
      <c r="O637" s="7">
        <f t="shared" si="81"/>
        <v>1.7465113435911766E-3</v>
      </c>
      <c r="P637" s="14">
        <f t="shared" si="82"/>
        <v>1841.3581260000001</v>
      </c>
      <c r="Q637" s="14">
        <f t="shared" si="83"/>
        <v>1841.3581260000001</v>
      </c>
      <c r="R637" s="4">
        <f t="shared" si="84"/>
        <v>100</v>
      </c>
      <c r="S637" s="14">
        <f t="shared" si="85"/>
        <v>35.740646855590064</v>
      </c>
      <c r="T637" s="4">
        <f t="shared" si="86"/>
        <v>6.6315035716156974</v>
      </c>
      <c r="U637" s="3">
        <f>LEN(A637) - LEN(SUBSTITUTE(A637,"&gt;","")) +1</f>
        <v>4</v>
      </c>
      <c r="V637" s="8">
        <f t="shared" si="87"/>
        <v>1.7465113435911766E-3</v>
      </c>
      <c r="W637" s="14">
        <f t="shared" si="88"/>
        <v>460.33953150000002</v>
      </c>
      <c r="X637" s="4">
        <f t="shared" si="89"/>
        <v>9.4849085516305299E-5</v>
      </c>
    </row>
    <row r="638" spans="1:24" ht="14.25" customHeight="1" x14ac:dyDescent="0.2">
      <c r="A638" s="5" t="s">
        <v>2023</v>
      </c>
      <c r="B638" s="3" t="s">
        <v>24</v>
      </c>
      <c r="C638" s="3" t="s">
        <v>15</v>
      </c>
      <c r="D638" s="3" t="s">
        <v>2349</v>
      </c>
      <c r="E638" s="3" t="s">
        <v>2350</v>
      </c>
      <c r="F638" s="3" t="s">
        <v>659</v>
      </c>
      <c r="G638" s="3" t="s">
        <v>407</v>
      </c>
      <c r="H638" s="3" t="s">
        <v>163</v>
      </c>
      <c r="I638" s="3">
        <v>12176</v>
      </c>
      <c r="J638" s="3">
        <v>1</v>
      </c>
      <c r="K638" s="3">
        <v>5460</v>
      </c>
      <c r="L638" s="3">
        <v>11154</v>
      </c>
      <c r="M638" s="3">
        <v>10</v>
      </c>
      <c r="N638" s="14">
        <v>1816.030806</v>
      </c>
      <c r="O638" s="7">
        <f t="shared" si="81"/>
        <v>8.2128777923784497E-3</v>
      </c>
      <c r="P638" s="14">
        <f t="shared" si="82"/>
        <v>1816.030806</v>
      </c>
      <c r="Q638" s="14">
        <f t="shared" si="83"/>
        <v>181.6030806</v>
      </c>
      <c r="R638" s="4">
        <f t="shared" si="84"/>
        <v>1000</v>
      </c>
      <c r="S638" s="14">
        <f t="shared" si="85"/>
        <v>162.81430930607854</v>
      </c>
      <c r="T638" s="4">
        <f t="shared" si="86"/>
        <v>44.842312746386334</v>
      </c>
      <c r="U638" s="3">
        <f>LEN(A638) - LEN(SUBSTITUTE(A638,"&gt;","")) +1</f>
        <v>4</v>
      </c>
      <c r="V638" s="8">
        <f t="shared" si="87"/>
        <v>8.2128777923784493E-2</v>
      </c>
      <c r="W638" s="14">
        <f t="shared" si="88"/>
        <v>454.0077015</v>
      </c>
      <c r="X638" s="4">
        <f t="shared" si="89"/>
        <v>4.5224330805644107E-2</v>
      </c>
    </row>
    <row r="639" spans="1:24" ht="14.25" customHeight="1" x14ac:dyDescent="0.2">
      <c r="A639" s="5" t="s">
        <v>2024</v>
      </c>
      <c r="B639" s="3" t="s">
        <v>14</v>
      </c>
      <c r="C639" s="3" t="s">
        <v>32</v>
      </c>
      <c r="D639" s="3" t="s">
        <v>2388</v>
      </c>
      <c r="E639" s="3" t="s">
        <v>2356</v>
      </c>
      <c r="F639" s="3" t="s">
        <v>684</v>
      </c>
      <c r="G639" s="3" t="s">
        <v>38</v>
      </c>
      <c r="H639" s="3" t="s">
        <v>19</v>
      </c>
      <c r="I639" s="3">
        <v>12354</v>
      </c>
      <c r="J639" s="3">
        <v>1</v>
      </c>
      <c r="K639" s="3">
        <v>8561</v>
      </c>
      <c r="L639" s="3">
        <v>11782</v>
      </c>
      <c r="M639" s="3">
        <v>1</v>
      </c>
      <c r="N639" s="14">
        <v>1808.307918</v>
      </c>
      <c r="O639" s="7">
        <f t="shared" si="81"/>
        <v>8.0945442771571969E-3</v>
      </c>
      <c r="P639" s="14">
        <f t="shared" si="82"/>
        <v>1808.307918</v>
      </c>
      <c r="Q639" s="14">
        <f t="shared" si="83"/>
        <v>1808.307918</v>
      </c>
      <c r="R639" s="4">
        <f t="shared" si="84"/>
        <v>100</v>
      </c>
      <c r="S639" s="14">
        <f t="shared" si="85"/>
        <v>153.48055661178068</v>
      </c>
      <c r="T639" s="4">
        <f t="shared" si="86"/>
        <v>69.297393556742762</v>
      </c>
      <c r="U639" s="3">
        <f>LEN(A639) - LEN(SUBSTITUTE(A639,"&gt;","")) +1</f>
        <v>4</v>
      </c>
      <c r="V639" s="8">
        <f t="shared" si="87"/>
        <v>8.0945442771571969E-3</v>
      </c>
      <c r="W639" s="14">
        <f t="shared" si="88"/>
        <v>452.07697949999999</v>
      </c>
      <c r="X639" s="4">
        <f t="shared" si="89"/>
        <v>4.4763085957782095E-4</v>
      </c>
    </row>
    <row r="640" spans="1:24" ht="14.25" customHeight="1" x14ac:dyDescent="0.2">
      <c r="A640" s="5" t="s">
        <v>2025</v>
      </c>
      <c r="B640" s="3" t="s">
        <v>24</v>
      </c>
      <c r="C640" s="3" t="s">
        <v>35</v>
      </c>
      <c r="D640" s="3" t="s">
        <v>2366</v>
      </c>
      <c r="E640" s="3" t="s">
        <v>2352</v>
      </c>
      <c r="F640" s="3" t="s">
        <v>107</v>
      </c>
      <c r="G640" s="3" t="s">
        <v>27</v>
      </c>
      <c r="H640" s="3" t="s">
        <v>114</v>
      </c>
      <c r="I640" s="3">
        <v>19951</v>
      </c>
      <c r="J640" s="3">
        <v>1</v>
      </c>
      <c r="K640" s="3">
        <v>10511</v>
      </c>
      <c r="L640" s="3">
        <v>18132</v>
      </c>
      <c r="M640" s="3">
        <v>15</v>
      </c>
      <c r="N640" s="14">
        <v>1801.14885</v>
      </c>
      <c r="O640" s="7">
        <f t="shared" si="81"/>
        <v>5.012280086211217E-3</v>
      </c>
      <c r="P640" s="14">
        <f t="shared" si="82"/>
        <v>1801.14885</v>
      </c>
      <c r="Q640" s="14">
        <f t="shared" si="83"/>
        <v>120.07659</v>
      </c>
      <c r="R640" s="4">
        <f t="shared" si="84"/>
        <v>1500</v>
      </c>
      <c r="S640" s="14">
        <f t="shared" si="85"/>
        <v>99.335365651886164</v>
      </c>
      <c r="T640" s="4">
        <f t="shared" si="86"/>
        <v>52.684075986166114</v>
      </c>
      <c r="U640" s="3">
        <f>LEN(A640) - LEN(SUBSTITUTE(A640,"&gt;","")) +1</f>
        <v>4</v>
      </c>
      <c r="V640" s="8">
        <f t="shared" si="87"/>
        <v>7.518420129316826E-2</v>
      </c>
      <c r="W640" s="14">
        <f t="shared" si="88"/>
        <v>450.28721250000001</v>
      </c>
      <c r="X640" s="4">
        <f t="shared" si="89"/>
        <v>6.2613537987020004E-2</v>
      </c>
    </row>
    <row r="641" spans="1:24" ht="14.25" customHeight="1" x14ac:dyDescent="0.2">
      <c r="A641" s="5" t="s">
        <v>2026</v>
      </c>
      <c r="B641" s="3" t="s">
        <v>68</v>
      </c>
      <c r="C641" s="3" t="s">
        <v>15</v>
      </c>
      <c r="D641" s="3" t="s">
        <v>2357</v>
      </c>
      <c r="E641" s="3" t="s">
        <v>2358</v>
      </c>
      <c r="F641" s="3" t="s">
        <v>396</v>
      </c>
      <c r="G641" s="3" t="s">
        <v>27</v>
      </c>
      <c r="H641" s="3" t="s">
        <v>19</v>
      </c>
      <c r="I641" s="3">
        <v>9730</v>
      </c>
      <c r="J641" s="3">
        <v>1</v>
      </c>
      <c r="K641" s="3">
        <v>2971</v>
      </c>
      <c r="L641" s="3">
        <v>5102</v>
      </c>
      <c r="M641" s="3">
        <v>1</v>
      </c>
      <c r="N641" s="14">
        <v>1778.9379349999999</v>
      </c>
      <c r="O641" s="7">
        <f t="shared" si="81"/>
        <v>1.0277492291880781E-2</v>
      </c>
      <c r="P641" s="14">
        <f t="shared" si="82"/>
        <v>1778.9379349999999</v>
      </c>
      <c r="Q641" s="14">
        <f t="shared" si="83"/>
        <v>1778.9379349999999</v>
      </c>
      <c r="R641" s="4">
        <f t="shared" si="84"/>
        <v>100</v>
      </c>
      <c r="S641" s="14">
        <f t="shared" si="85"/>
        <v>348.6746246569972</v>
      </c>
      <c r="T641" s="4">
        <f t="shared" si="86"/>
        <v>30.534429599177798</v>
      </c>
      <c r="U641" s="3">
        <f>LEN(A641) - LEN(SUBSTITUTE(A641,"&gt;","")) +1</f>
        <v>5</v>
      </c>
      <c r="V641" s="8">
        <f t="shared" si="87"/>
        <v>1.0277492291880781E-2</v>
      </c>
      <c r="W641" s="14">
        <f t="shared" si="88"/>
        <v>355.78758699999997</v>
      </c>
      <c r="X641" s="4">
        <f t="shared" si="89"/>
        <v>5.7773192024716596E-4</v>
      </c>
    </row>
    <row r="642" spans="1:24" ht="14.25" customHeight="1" x14ac:dyDescent="0.2">
      <c r="A642" s="5" t="s">
        <v>2027</v>
      </c>
      <c r="B642" s="3" t="s">
        <v>24</v>
      </c>
      <c r="C642" s="3" t="s">
        <v>32</v>
      </c>
      <c r="D642" s="3" t="s">
        <v>2359</v>
      </c>
      <c r="E642" s="3" t="s">
        <v>2360</v>
      </c>
      <c r="F642" s="3" t="s">
        <v>953</v>
      </c>
      <c r="G642" s="3" t="s">
        <v>27</v>
      </c>
      <c r="H642" s="3" t="s">
        <v>19</v>
      </c>
      <c r="I642" s="3">
        <v>1384</v>
      </c>
      <c r="J642" s="3">
        <v>1</v>
      </c>
      <c r="K642" s="3">
        <v>1050</v>
      </c>
      <c r="L642" s="3">
        <v>1278</v>
      </c>
      <c r="M642" s="3">
        <v>7</v>
      </c>
      <c r="N642" s="14">
        <v>1764.38004</v>
      </c>
      <c r="O642" s="7">
        <f t="shared" si="81"/>
        <v>7.2254335260115599E-2</v>
      </c>
      <c r="P642" s="14">
        <f t="shared" si="82"/>
        <v>1764.38004</v>
      </c>
      <c r="Q642" s="14">
        <f t="shared" si="83"/>
        <v>252.05429142857142</v>
      </c>
      <c r="R642" s="4">
        <f t="shared" si="84"/>
        <v>700</v>
      </c>
      <c r="S642" s="14">
        <f t="shared" si="85"/>
        <v>1380.5790610328638</v>
      </c>
      <c r="T642" s="4">
        <f t="shared" si="86"/>
        <v>75.867052023121389</v>
      </c>
      <c r="U642" s="3">
        <f>LEN(A642) - LEN(SUBSTITUTE(A642,"&gt;","")) +1</f>
        <v>3</v>
      </c>
      <c r="V642" s="8">
        <f t="shared" si="87"/>
        <v>0.5057803468208093</v>
      </c>
      <c r="W642" s="14">
        <f t="shared" si="88"/>
        <v>588.12667999999996</v>
      </c>
      <c r="X642" s="4">
        <f t="shared" si="89"/>
        <v>0.20066325550507047</v>
      </c>
    </row>
    <row r="643" spans="1:24" ht="14.25" customHeight="1" x14ac:dyDescent="0.2">
      <c r="A643" s="5" t="s">
        <v>2028</v>
      </c>
      <c r="B643" s="3" t="s">
        <v>24</v>
      </c>
      <c r="C643" s="3" t="s">
        <v>32</v>
      </c>
      <c r="D643" s="3" t="s">
        <v>2353</v>
      </c>
      <c r="E643" s="3" t="s">
        <v>2354</v>
      </c>
      <c r="F643" s="3" t="s">
        <v>145</v>
      </c>
      <c r="G643" s="3" t="s">
        <v>27</v>
      </c>
      <c r="H643" s="3" t="s">
        <v>19</v>
      </c>
      <c r="I643" s="3">
        <v>11375</v>
      </c>
      <c r="J643" s="3">
        <v>1</v>
      </c>
      <c r="K643" s="3">
        <v>7171</v>
      </c>
      <c r="L643" s="3">
        <v>8151</v>
      </c>
      <c r="M643" s="3">
        <v>1</v>
      </c>
      <c r="N643" s="14">
        <v>1763.7840610000001</v>
      </c>
      <c r="O643" s="7">
        <f t="shared" ref="O643:O706" si="90">IFERROR((J643/I643)*100, 0)</f>
        <v>8.7912087912087912E-3</v>
      </c>
      <c r="P643" s="14">
        <f t="shared" ref="P643:P706" si="91">IFERROR(N643/J643, 0)</f>
        <v>1763.7840610000001</v>
      </c>
      <c r="Q643" s="14">
        <f t="shared" ref="Q643:Q706" si="92">IFERROR(N643/M643, 0)</f>
        <v>1763.7840610000001</v>
      </c>
      <c r="R643" s="4">
        <f t="shared" ref="R643:R706" si="93">IFERROR((M643/J643)*100, 0)</f>
        <v>100</v>
      </c>
      <c r="S643" s="14">
        <f t="shared" ref="S643:S706" si="94">IFERROR((N643/L643)*1000, 0)</f>
        <v>216.38867145135569</v>
      </c>
      <c r="T643" s="4">
        <f t="shared" ref="T643:T706" si="95">(K643/I643)*100</f>
        <v>63.041758241758238</v>
      </c>
      <c r="U643" s="3">
        <f>LEN(A643) - LEN(SUBSTITUTE(A643,"&gt;","")) +1</f>
        <v>3</v>
      </c>
      <c r="V643" s="8">
        <f t="shared" ref="V643:V706" si="96">R643/I643</f>
        <v>8.7912087912087912E-3</v>
      </c>
      <c r="W643" s="14">
        <f t="shared" ref="W643:W706" si="97">N643/U643</f>
        <v>587.92802033333339</v>
      </c>
      <c r="X643" s="4">
        <f t="shared" ref="X643:X706" si="98">(O643*R643/Q643)</f>
        <v>4.9842886017602988E-4</v>
      </c>
    </row>
    <row r="644" spans="1:24" ht="14.25" customHeight="1" x14ac:dyDescent="0.2">
      <c r="A644" s="5" t="s">
        <v>2029</v>
      </c>
      <c r="B644" s="3" t="s">
        <v>14</v>
      </c>
      <c r="C644" s="3" t="s">
        <v>35</v>
      </c>
      <c r="D644" s="3" t="s">
        <v>2362</v>
      </c>
      <c r="E644" s="3" t="s">
        <v>2352</v>
      </c>
      <c r="F644" s="3" t="s">
        <v>790</v>
      </c>
      <c r="G644" s="3" t="s">
        <v>22</v>
      </c>
      <c r="H644" s="3" t="s">
        <v>19</v>
      </c>
      <c r="I644" s="3">
        <v>20165</v>
      </c>
      <c r="J644" s="3">
        <v>1</v>
      </c>
      <c r="K644" s="3">
        <v>6601</v>
      </c>
      <c r="L644" s="3">
        <v>18909</v>
      </c>
      <c r="M644" s="3">
        <v>10</v>
      </c>
      <c r="N644" s="14">
        <v>1743.0786869999999</v>
      </c>
      <c r="O644" s="7">
        <f t="shared" si="90"/>
        <v>4.9590875278948676E-3</v>
      </c>
      <c r="P644" s="14">
        <f t="shared" si="91"/>
        <v>1743.0786869999999</v>
      </c>
      <c r="Q644" s="14">
        <f t="shared" si="92"/>
        <v>174.3078687</v>
      </c>
      <c r="R644" s="4">
        <f t="shared" si="93"/>
        <v>1000</v>
      </c>
      <c r="S644" s="14">
        <f t="shared" si="94"/>
        <v>92.18248913215929</v>
      </c>
      <c r="T644" s="4">
        <f t="shared" si="95"/>
        <v>32.734936771634018</v>
      </c>
      <c r="U644" s="3">
        <f>LEN(A644) - LEN(SUBSTITUTE(A644,"&gt;","")) +1</f>
        <v>3</v>
      </c>
      <c r="V644" s="8">
        <f t="shared" si="96"/>
        <v>4.9590875278948676E-2</v>
      </c>
      <c r="W644" s="14">
        <f t="shared" si="97"/>
        <v>581.02622899999994</v>
      </c>
      <c r="X644" s="4">
        <f t="shared" si="98"/>
        <v>2.8450164441112622E-2</v>
      </c>
    </row>
    <row r="645" spans="1:24" ht="14.25" customHeight="1" x14ac:dyDescent="0.2">
      <c r="A645" s="5" t="s">
        <v>2030</v>
      </c>
      <c r="B645" s="3" t="s">
        <v>24</v>
      </c>
      <c r="C645" s="3" t="s">
        <v>15</v>
      </c>
      <c r="D645" s="3" t="s">
        <v>2349</v>
      </c>
      <c r="E645" s="3" t="s">
        <v>2350</v>
      </c>
      <c r="F645" s="3" t="s">
        <v>957</v>
      </c>
      <c r="G645" s="3" t="s">
        <v>22</v>
      </c>
      <c r="H645" s="3" t="s">
        <v>19</v>
      </c>
      <c r="I645" s="3">
        <v>7356</v>
      </c>
      <c r="J645" s="3">
        <v>1</v>
      </c>
      <c r="K645" s="3">
        <v>1588</v>
      </c>
      <c r="L645" s="3">
        <v>7088</v>
      </c>
      <c r="M645" s="3">
        <v>1</v>
      </c>
      <c r="N645" s="14">
        <v>1730.37357</v>
      </c>
      <c r="O645" s="7">
        <f t="shared" si="90"/>
        <v>1.3594344752582924E-2</v>
      </c>
      <c r="P645" s="14">
        <f t="shared" si="91"/>
        <v>1730.37357</v>
      </c>
      <c r="Q645" s="14">
        <f t="shared" si="92"/>
        <v>1730.37357</v>
      </c>
      <c r="R645" s="4">
        <f t="shared" si="93"/>
        <v>100</v>
      </c>
      <c r="S645" s="14">
        <f t="shared" si="94"/>
        <v>244.1271966704289</v>
      </c>
      <c r="T645" s="4">
        <f t="shared" si="95"/>
        <v>21.587819467101685</v>
      </c>
      <c r="U645" s="3">
        <f>LEN(A645) - LEN(SUBSTITUTE(A645,"&gt;","")) +1</f>
        <v>4</v>
      </c>
      <c r="V645" s="8">
        <f t="shared" si="96"/>
        <v>1.3594344752582926E-2</v>
      </c>
      <c r="W645" s="14">
        <f t="shared" si="97"/>
        <v>432.59339249999999</v>
      </c>
      <c r="X645" s="4">
        <f t="shared" si="98"/>
        <v>7.8563062845342271E-4</v>
      </c>
    </row>
    <row r="646" spans="1:24" ht="14.25" customHeight="1" x14ac:dyDescent="0.2">
      <c r="A646" s="5" t="s">
        <v>2031</v>
      </c>
      <c r="B646" s="3" t="s">
        <v>24</v>
      </c>
      <c r="C646" s="3" t="s">
        <v>29</v>
      </c>
      <c r="D646" s="3" t="s">
        <v>2359</v>
      </c>
      <c r="E646" s="3" t="s">
        <v>2360</v>
      </c>
      <c r="F646" s="3" t="s">
        <v>959</v>
      </c>
      <c r="G646" s="3" t="s">
        <v>27</v>
      </c>
      <c r="H646" s="3" t="s">
        <v>163</v>
      </c>
      <c r="I646" s="3">
        <v>12436</v>
      </c>
      <c r="J646" s="3">
        <v>1</v>
      </c>
      <c r="K646" s="3">
        <v>7055</v>
      </c>
      <c r="L646" s="3">
        <v>11497</v>
      </c>
      <c r="M646" s="3">
        <v>15</v>
      </c>
      <c r="N646" s="14">
        <v>1720.870126</v>
      </c>
      <c r="O646" s="7">
        <f t="shared" si="90"/>
        <v>8.0411707944676742E-3</v>
      </c>
      <c r="P646" s="14">
        <f t="shared" si="91"/>
        <v>1720.870126</v>
      </c>
      <c r="Q646" s="14">
        <f t="shared" si="92"/>
        <v>114.72467506666666</v>
      </c>
      <c r="R646" s="4">
        <f t="shared" si="93"/>
        <v>1500</v>
      </c>
      <c r="S646" s="14">
        <f t="shared" si="94"/>
        <v>149.67992745933722</v>
      </c>
      <c r="T646" s="4">
        <f t="shared" si="95"/>
        <v>56.730459954969447</v>
      </c>
      <c r="U646" s="3">
        <f>LEN(A646) - LEN(SUBSTITUTE(A646,"&gt;","")) +1</f>
        <v>4</v>
      </c>
      <c r="V646" s="8">
        <f t="shared" si="96"/>
        <v>0.12061756191701511</v>
      </c>
      <c r="W646" s="14">
        <f t="shared" si="97"/>
        <v>430.21753150000001</v>
      </c>
      <c r="X646" s="4">
        <f t="shared" si="98"/>
        <v>0.10513654699559975</v>
      </c>
    </row>
    <row r="647" spans="1:24" ht="14.25" customHeight="1" x14ac:dyDescent="0.2">
      <c r="A647" s="5" t="s">
        <v>2032</v>
      </c>
      <c r="B647" s="3" t="s">
        <v>14</v>
      </c>
      <c r="C647" s="3" t="s">
        <v>35</v>
      </c>
      <c r="D647" s="3" t="s">
        <v>2369</v>
      </c>
      <c r="E647" s="3" t="s">
        <v>2365</v>
      </c>
      <c r="F647" s="3" t="s">
        <v>370</v>
      </c>
      <c r="G647" s="3" t="s">
        <v>38</v>
      </c>
      <c r="H647" s="3" t="s">
        <v>19</v>
      </c>
      <c r="I647" s="3">
        <v>16151</v>
      </c>
      <c r="J647" s="3">
        <v>1</v>
      </c>
      <c r="K647" s="3">
        <v>4360</v>
      </c>
      <c r="L647" s="3">
        <v>11358</v>
      </c>
      <c r="M647" s="3">
        <v>3</v>
      </c>
      <c r="N647" s="14">
        <v>1706.224318</v>
      </c>
      <c r="O647" s="7">
        <f t="shared" si="90"/>
        <v>6.1915670856293728E-3</v>
      </c>
      <c r="P647" s="14">
        <f t="shared" si="91"/>
        <v>1706.224318</v>
      </c>
      <c r="Q647" s="14">
        <f t="shared" si="92"/>
        <v>568.74143933333335</v>
      </c>
      <c r="R647" s="4">
        <f t="shared" si="93"/>
        <v>300</v>
      </c>
      <c r="S647" s="14">
        <f t="shared" si="94"/>
        <v>150.22225022010917</v>
      </c>
      <c r="T647" s="4">
        <f t="shared" si="95"/>
        <v>26.995232493344069</v>
      </c>
      <c r="U647" s="3">
        <f>LEN(A647) - LEN(SUBSTITUTE(A647,"&gt;","")) +1</f>
        <v>4</v>
      </c>
      <c r="V647" s="8">
        <f t="shared" si="96"/>
        <v>1.8574701256888117E-2</v>
      </c>
      <c r="W647" s="14">
        <f t="shared" si="97"/>
        <v>426.55607950000001</v>
      </c>
      <c r="X647" s="4">
        <f t="shared" si="98"/>
        <v>3.2659306975522987E-3</v>
      </c>
    </row>
    <row r="648" spans="1:24" ht="14.25" customHeight="1" x14ac:dyDescent="0.2">
      <c r="A648" s="5" t="s">
        <v>2033</v>
      </c>
      <c r="B648" s="3" t="s">
        <v>14</v>
      </c>
      <c r="C648" s="3" t="s">
        <v>15</v>
      </c>
      <c r="D648" s="3" t="s">
        <v>2379</v>
      </c>
      <c r="E648" s="3" t="s">
        <v>2380</v>
      </c>
      <c r="F648" s="3" t="s">
        <v>962</v>
      </c>
      <c r="G648" s="3" t="s">
        <v>27</v>
      </c>
      <c r="H648" s="3" t="s">
        <v>19</v>
      </c>
      <c r="I648" s="3">
        <v>3145</v>
      </c>
      <c r="J648" s="3">
        <v>1</v>
      </c>
      <c r="K648" s="3">
        <v>1817</v>
      </c>
      <c r="L648" s="3">
        <v>2962</v>
      </c>
      <c r="M648" s="3">
        <v>7</v>
      </c>
      <c r="N648" s="14">
        <v>1703.8057699999999</v>
      </c>
      <c r="O648" s="7">
        <f t="shared" si="90"/>
        <v>3.1796502384737677E-2</v>
      </c>
      <c r="P648" s="14">
        <f t="shared" si="91"/>
        <v>1703.8057699999999</v>
      </c>
      <c r="Q648" s="14">
        <f t="shared" si="92"/>
        <v>243.40082428571426</v>
      </c>
      <c r="R648" s="4">
        <f t="shared" si="93"/>
        <v>700</v>
      </c>
      <c r="S648" s="14">
        <f t="shared" si="94"/>
        <v>575.22139432815663</v>
      </c>
      <c r="T648" s="4">
        <f t="shared" si="95"/>
        <v>57.774244833068366</v>
      </c>
      <c r="U648" s="3">
        <f>LEN(A648) - LEN(SUBSTITUTE(A648,"&gt;","")) +1</f>
        <v>3</v>
      </c>
      <c r="V648" s="8">
        <f t="shared" si="96"/>
        <v>0.22257551669316375</v>
      </c>
      <c r="W648" s="14">
        <f t="shared" si="97"/>
        <v>567.93525666666665</v>
      </c>
      <c r="X648" s="4">
        <f t="shared" si="98"/>
        <v>9.1444027499222896E-2</v>
      </c>
    </row>
    <row r="649" spans="1:24" ht="14.25" customHeight="1" x14ac:dyDescent="0.2">
      <c r="A649" s="5" t="s">
        <v>2034</v>
      </c>
      <c r="B649" s="3" t="s">
        <v>24</v>
      </c>
      <c r="C649" s="3" t="s">
        <v>32</v>
      </c>
      <c r="D649" s="3" t="s">
        <v>2398</v>
      </c>
      <c r="E649" s="3" t="s">
        <v>2399</v>
      </c>
      <c r="F649" s="3" t="s">
        <v>437</v>
      </c>
      <c r="G649" s="3" t="s">
        <v>27</v>
      </c>
      <c r="H649" s="3" t="s">
        <v>19</v>
      </c>
      <c r="I649" s="3">
        <v>13202</v>
      </c>
      <c r="J649" s="3">
        <v>1</v>
      </c>
      <c r="K649" s="3">
        <v>10871</v>
      </c>
      <c r="L649" s="3">
        <v>12885</v>
      </c>
      <c r="M649" s="3">
        <v>3</v>
      </c>
      <c r="N649" s="14">
        <v>1699.0608090000001</v>
      </c>
      <c r="O649" s="7">
        <f t="shared" si="90"/>
        <v>7.5746099075897598E-3</v>
      </c>
      <c r="P649" s="14">
        <f t="shared" si="91"/>
        <v>1699.0608090000001</v>
      </c>
      <c r="Q649" s="14">
        <f t="shared" si="92"/>
        <v>566.35360300000002</v>
      </c>
      <c r="R649" s="4">
        <f t="shared" si="93"/>
        <v>300</v>
      </c>
      <c r="S649" s="14">
        <f t="shared" si="94"/>
        <v>131.86346984866123</v>
      </c>
      <c r="T649" s="4">
        <f t="shared" si="95"/>
        <v>82.343584305408271</v>
      </c>
      <c r="U649" s="3">
        <f>LEN(A649) - LEN(SUBSTITUTE(A649,"&gt;","")) +1</f>
        <v>4</v>
      </c>
      <c r="V649" s="8">
        <f t="shared" si="96"/>
        <v>2.2723829722769276E-2</v>
      </c>
      <c r="W649" s="14">
        <f t="shared" si="97"/>
        <v>424.76520225000002</v>
      </c>
      <c r="X649" s="4">
        <f t="shared" si="98"/>
        <v>4.0123042569871811E-3</v>
      </c>
    </row>
    <row r="650" spans="1:24" ht="14.25" customHeight="1" x14ac:dyDescent="0.2">
      <c r="A650" s="5" t="s">
        <v>2035</v>
      </c>
      <c r="B650" s="3" t="s">
        <v>24</v>
      </c>
      <c r="C650" s="3" t="s">
        <v>15</v>
      </c>
      <c r="D650" s="3" t="s">
        <v>2362</v>
      </c>
      <c r="E650" s="3" t="s">
        <v>2352</v>
      </c>
      <c r="F650" s="3" t="s">
        <v>26</v>
      </c>
      <c r="G650" s="3" t="s">
        <v>27</v>
      </c>
      <c r="H650" s="3" t="s">
        <v>19</v>
      </c>
      <c r="I650" s="3">
        <v>14799</v>
      </c>
      <c r="J650" s="3">
        <v>1</v>
      </c>
      <c r="K650" s="3">
        <v>1403</v>
      </c>
      <c r="L650" s="3">
        <v>13410</v>
      </c>
      <c r="M650" s="3">
        <v>9</v>
      </c>
      <c r="N650" s="14">
        <v>1693.7604349999999</v>
      </c>
      <c r="O650" s="7">
        <f t="shared" si="90"/>
        <v>6.7572133252246768E-3</v>
      </c>
      <c r="P650" s="14">
        <f t="shared" si="91"/>
        <v>1693.7604349999999</v>
      </c>
      <c r="Q650" s="14">
        <f t="shared" si="92"/>
        <v>188.19560388888888</v>
      </c>
      <c r="R650" s="4">
        <f t="shared" si="93"/>
        <v>900</v>
      </c>
      <c r="S650" s="14">
        <f t="shared" si="94"/>
        <v>126.30577442207309</v>
      </c>
      <c r="T650" s="4">
        <f t="shared" si="95"/>
        <v>9.4803702952902213</v>
      </c>
      <c r="U650" s="3">
        <f>LEN(A650) - LEN(SUBSTITUTE(A650,"&gt;","")) +1</f>
        <v>5</v>
      </c>
      <c r="V650" s="8">
        <f t="shared" si="96"/>
        <v>6.0814919927022093E-2</v>
      </c>
      <c r="W650" s="14">
        <f t="shared" si="97"/>
        <v>338.75208699999996</v>
      </c>
      <c r="X650" s="4">
        <f t="shared" si="98"/>
        <v>3.2314739914396387E-2</v>
      </c>
    </row>
    <row r="651" spans="1:24" ht="14.25" customHeight="1" x14ac:dyDescent="0.2">
      <c r="A651" s="5" t="s">
        <v>2036</v>
      </c>
      <c r="B651" s="3" t="s">
        <v>24</v>
      </c>
      <c r="C651" s="3" t="s">
        <v>29</v>
      </c>
      <c r="D651" s="3" t="s">
        <v>2364</v>
      </c>
      <c r="E651" s="3" t="s">
        <v>2365</v>
      </c>
      <c r="F651" s="3" t="s">
        <v>753</v>
      </c>
      <c r="G651" s="3" t="s">
        <v>27</v>
      </c>
      <c r="H651" s="3" t="s">
        <v>114</v>
      </c>
      <c r="I651" s="3">
        <v>34278</v>
      </c>
      <c r="J651" s="3">
        <v>1</v>
      </c>
      <c r="K651" s="3">
        <v>3704</v>
      </c>
      <c r="L651" s="3">
        <v>30227</v>
      </c>
      <c r="M651" s="3">
        <v>2</v>
      </c>
      <c r="N651" s="14">
        <v>1689.0831860000001</v>
      </c>
      <c r="O651" s="7">
        <f t="shared" si="90"/>
        <v>2.9173230643561466E-3</v>
      </c>
      <c r="P651" s="14">
        <f t="shared" si="91"/>
        <v>1689.0831860000001</v>
      </c>
      <c r="Q651" s="14">
        <f t="shared" si="92"/>
        <v>844.54159300000003</v>
      </c>
      <c r="R651" s="4">
        <f t="shared" si="93"/>
        <v>200</v>
      </c>
      <c r="S651" s="14">
        <f t="shared" si="94"/>
        <v>55.879947927349725</v>
      </c>
      <c r="T651" s="4">
        <f t="shared" si="95"/>
        <v>10.805764630375169</v>
      </c>
      <c r="U651" s="3">
        <f>LEN(A651) - LEN(SUBSTITUTE(A651,"&gt;","")) +1</f>
        <v>4</v>
      </c>
      <c r="V651" s="8">
        <f t="shared" si="96"/>
        <v>5.8346461287122932E-3</v>
      </c>
      <c r="W651" s="14">
        <f t="shared" si="97"/>
        <v>422.27079650000002</v>
      </c>
      <c r="X651" s="4">
        <f t="shared" si="98"/>
        <v>6.9086545613299274E-4</v>
      </c>
    </row>
    <row r="652" spans="1:24" ht="14.25" customHeight="1" x14ac:dyDescent="0.2">
      <c r="A652" s="5" t="s">
        <v>2037</v>
      </c>
      <c r="B652" s="3" t="s">
        <v>14</v>
      </c>
      <c r="C652" s="3" t="s">
        <v>29</v>
      </c>
      <c r="D652" s="3" t="s">
        <v>2378</v>
      </c>
      <c r="E652" s="3" t="s">
        <v>2352</v>
      </c>
      <c r="F652" s="3" t="s">
        <v>967</v>
      </c>
      <c r="G652" s="3" t="s">
        <v>27</v>
      </c>
      <c r="H652" s="3" t="s">
        <v>19</v>
      </c>
      <c r="I652" s="3">
        <v>770</v>
      </c>
      <c r="J652" s="3">
        <v>1</v>
      </c>
      <c r="K652" s="3">
        <v>487</v>
      </c>
      <c r="L652" s="3">
        <v>738</v>
      </c>
      <c r="M652" s="3">
        <v>2</v>
      </c>
      <c r="N652" s="14">
        <v>1686.77001</v>
      </c>
      <c r="O652" s="7">
        <f t="shared" si="90"/>
        <v>0.12987012987012986</v>
      </c>
      <c r="P652" s="14">
        <f t="shared" si="91"/>
        <v>1686.77001</v>
      </c>
      <c r="Q652" s="14">
        <f t="shared" si="92"/>
        <v>843.38500499999998</v>
      </c>
      <c r="R652" s="4">
        <f t="shared" si="93"/>
        <v>200</v>
      </c>
      <c r="S652" s="14">
        <f t="shared" si="94"/>
        <v>2285.5962195121951</v>
      </c>
      <c r="T652" s="4">
        <f t="shared" si="95"/>
        <v>63.246753246753251</v>
      </c>
      <c r="U652" s="3">
        <f>LEN(A652) - LEN(SUBSTITUTE(A652,"&gt;","")) +1</f>
        <v>4</v>
      </c>
      <c r="V652" s="8">
        <f t="shared" si="96"/>
        <v>0.25974025974025972</v>
      </c>
      <c r="W652" s="14">
        <f t="shared" si="97"/>
        <v>421.69250249999999</v>
      </c>
      <c r="X652" s="4">
        <f t="shared" si="98"/>
        <v>3.0797353308440634E-2</v>
      </c>
    </row>
    <row r="653" spans="1:24" ht="14.25" customHeight="1" x14ac:dyDescent="0.2">
      <c r="A653" s="5" t="s">
        <v>2038</v>
      </c>
      <c r="B653" s="3" t="s">
        <v>14</v>
      </c>
      <c r="C653" s="3" t="s">
        <v>32</v>
      </c>
      <c r="D653" s="3" t="s">
        <v>2353</v>
      </c>
      <c r="E653" s="3" t="s">
        <v>2354</v>
      </c>
      <c r="F653" s="3" t="s">
        <v>969</v>
      </c>
      <c r="G653" s="3" t="s">
        <v>27</v>
      </c>
      <c r="H653" s="3" t="s">
        <v>19</v>
      </c>
      <c r="I653" s="3">
        <v>3624</v>
      </c>
      <c r="J653" s="3">
        <v>1</v>
      </c>
      <c r="K653" s="3">
        <v>1797</v>
      </c>
      <c r="L653" s="3">
        <v>3258</v>
      </c>
      <c r="M653" s="3">
        <v>24</v>
      </c>
      <c r="N653" s="14">
        <v>1678.2856770000001</v>
      </c>
      <c r="O653" s="7">
        <f t="shared" si="90"/>
        <v>2.759381898454746E-2</v>
      </c>
      <c r="P653" s="14">
        <f t="shared" si="91"/>
        <v>1678.2856770000001</v>
      </c>
      <c r="Q653" s="14">
        <f t="shared" si="92"/>
        <v>69.928569875000008</v>
      </c>
      <c r="R653" s="4">
        <f t="shared" si="93"/>
        <v>2400</v>
      </c>
      <c r="S653" s="14">
        <f t="shared" si="94"/>
        <v>515.12758655616938</v>
      </c>
      <c r="T653" s="4">
        <f t="shared" si="95"/>
        <v>49.586092715231786</v>
      </c>
      <c r="U653" s="3">
        <f>LEN(A653) - LEN(SUBSTITUTE(A653,"&gt;","")) +1</f>
        <v>4</v>
      </c>
      <c r="V653" s="8">
        <f t="shared" si="96"/>
        <v>0.66225165562913912</v>
      </c>
      <c r="W653" s="14">
        <f t="shared" si="97"/>
        <v>419.57141925000002</v>
      </c>
      <c r="X653" s="4">
        <f t="shared" si="98"/>
        <v>0.9470401823073733</v>
      </c>
    </row>
    <row r="654" spans="1:24" ht="14.25" customHeight="1" x14ac:dyDescent="0.2">
      <c r="A654" s="5" t="s">
        <v>2039</v>
      </c>
      <c r="B654" s="3" t="s">
        <v>14</v>
      </c>
      <c r="C654" s="3" t="s">
        <v>35</v>
      </c>
      <c r="D654" s="3" t="s">
        <v>2368</v>
      </c>
      <c r="E654" s="3" t="s">
        <v>2352</v>
      </c>
      <c r="F654" s="3" t="s">
        <v>485</v>
      </c>
      <c r="G654" s="3" t="s">
        <v>64</v>
      </c>
      <c r="H654" s="3" t="s">
        <v>19</v>
      </c>
      <c r="I654" s="3">
        <v>21903</v>
      </c>
      <c r="J654" s="3">
        <v>1</v>
      </c>
      <c r="K654" s="3">
        <v>18831</v>
      </c>
      <c r="L654" s="3">
        <v>20922</v>
      </c>
      <c r="M654" s="3">
        <v>4</v>
      </c>
      <c r="N654" s="14">
        <v>1661.167909</v>
      </c>
      <c r="O654" s="7">
        <f t="shared" si="90"/>
        <v>4.5655846231109892E-3</v>
      </c>
      <c r="P654" s="14">
        <f t="shared" si="91"/>
        <v>1661.167909</v>
      </c>
      <c r="Q654" s="14">
        <f t="shared" si="92"/>
        <v>415.29197725</v>
      </c>
      <c r="R654" s="4">
        <f t="shared" si="93"/>
        <v>400</v>
      </c>
      <c r="S654" s="14">
        <f t="shared" si="94"/>
        <v>79.39814114329414</v>
      </c>
      <c r="T654" s="4">
        <f t="shared" si="95"/>
        <v>85.97452403780305</v>
      </c>
      <c r="U654" s="3">
        <f>LEN(A654) - LEN(SUBSTITUTE(A654,"&gt;","")) +1</f>
        <v>5</v>
      </c>
      <c r="V654" s="8">
        <f t="shared" si="96"/>
        <v>1.8262338492443957E-2</v>
      </c>
      <c r="W654" s="14">
        <f t="shared" si="97"/>
        <v>332.23358180000002</v>
      </c>
      <c r="X654" s="4">
        <f t="shared" si="98"/>
        <v>4.397469610025787E-3</v>
      </c>
    </row>
    <row r="655" spans="1:24" ht="14.25" customHeight="1" x14ac:dyDescent="0.2">
      <c r="A655" s="5" t="s">
        <v>2040</v>
      </c>
      <c r="B655" s="3" t="s">
        <v>14</v>
      </c>
      <c r="C655" s="3" t="s">
        <v>15</v>
      </c>
      <c r="D655" s="3" t="s">
        <v>2386</v>
      </c>
      <c r="E655" s="3" t="s">
        <v>2387</v>
      </c>
      <c r="F655" s="3" t="s">
        <v>972</v>
      </c>
      <c r="G655" s="3" t="s">
        <v>27</v>
      </c>
      <c r="H655" s="3" t="s">
        <v>19</v>
      </c>
      <c r="I655" s="3">
        <v>13168</v>
      </c>
      <c r="J655" s="3">
        <v>1</v>
      </c>
      <c r="K655" s="3">
        <v>8527</v>
      </c>
      <c r="L655" s="3">
        <v>12625</v>
      </c>
      <c r="M655" s="3">
        <v>4</v>
      </c>
      <c r="N655" s="14">
        <v>1639.72335</v>
      </c>
      <c r="O655" s="7">
        <f t="shared" si="90"/>
        <v>7.5941676792223569E-3</v>
      </c>
      <c r="P655" s="14">
        <f t="shared" si="91"/>
        <v>1639.72335</v>
      </c>
      <c r="Q655" s="14">
        <f t="shared" si="92"/>
        <v>409.9308375</v>
      </c>
      <c r="R655" s="4">
        <f t="shared" si="93"/>
        <v>400</v>
      </c>
      <c r="S655" s="14">
        <f t="shared" si="94"/>
        <v>129.87907722772277</v>
      </c>
      <c r="T655" s="4">
        <f t="shared" si="95"/>
        <v>64.755467800729036</v>
      </c>
      <c r="U655" s="3">
        <f>LEN(A655) - LEN(SUBSTITUTE(A655,"&gt;","")) +1</f>
        <v>2</v>
      </c>
      <c r="V655" s="8">
        <f t="shared" si="96"/>
        <v>3.0376670716889428E-2</v>
      </c>
      <c r="W655" s="14">
        <f t="shared" si="97"/>
        <v>819.86167499999999</v>
      </c>
      <c r="X655" s="4">
        <f t="shared" si="98"/>
        <v>7.4101940957026508E-3</v>
      </c>
    </row>
    <row r="656" spans="1:24" ht="14.25" customHeight="1" x14ac:dyDescent="0.2">
      <c r="A656" s="5" t="s">
        <v>2041</v>
      </c>
      <c r="B656" s="3" t="s">
        <v>14</v>
      </c>
      <c r="C656" s="3" t="s">
        <v>15</v>
      </c>
      <c r="D656" s="3" t="s">
        <v>2369</v>
      </c>
      <c r="E656" s="3" t="s">
        <v>2365</v>
      </c>
      <c r="F656" s="3" t="s">
        <v>478</v>
      </c>
      <c r="G656" s="3" t="s">
        <v>64</v>
      </c>
      <c r="H656" s="3" t="s">
        <v>19</v>
      </c>
      <c r="I656" s="3">
        <v>31359</v>
      </c>
      <c r="J656" s="3">
        <v>1</v>
      </c>
      <c r="K656" s="3">
        <v>18348</v>
      </c>
      <c r="L656" s="3">
        <v>25950</v>
      </c>
      <c r="M656" s="3">
        <v>24</v>
      </c>
      <c r="N656" s="14">
        <v>1623.614838</v>
      </c>
      <c r="O656" s="7">
        <f t="shared" si="90"/>
        <v>3.1888771963391694E-3</v>
      </c>
      <c r="P656" s="14">
        <f t="shared" si="91"/>
        <v>1623.614838</v>
      </c>
      <c r="Q656" s="14">
        <f t="shared" si="92"/>
        <v>67.650618249999994</v>
      </c>
      <c r="R656" s="4">
        <f t="shared" si="93"/>
        <v>2400</v>
      </c>
      <c r="S656" s="14">
        <f t="shared" si="94"/>
        <v>62.567045780346817</v>
      </c>
      <c r="T656" s="4">
        <f t="shared" si="95"/>
        <v>58.509518798431074</v>
      </c>
      <c r="U656" s="3">
        <f>LEN(A656) - LEN(SUBSTITUTE(A656,"&gt;","")) +1</f>
        <v>4</v>
      </c>
      <c r="V656" s="8">
        <f t="shared" si="96"/>
        <v>7.6533052712140059E-2</v>
      </c>
      <c r="W656" s="14">
        <f t="shared" si="97"/>
        <v>405.90370949999999</v>
      </c>
      <c r="X656" s="4">
        <f t="shared" si="98"/>
        <v>0.11312986442979044</v>
      </c>
    </row>
    <row r="657" spans="1:24" ht="14.25" customHeight="1" x14ac:dyDescent="0.2">
      <c r="A657" s="5" t="s">
        <v>2042</v>
      </c>
      <c r="B657" s="3" t="s">
        <v>14</v>
      </c>
      <c r="C657" s="3" t="s">
        <v>29</v>
      </c>
      <c r="D657" s="3" t="s">
        <v>2368</v>
      </c>
      <c r="E657" s="3" t="s">
        <v>2352</v>
      </c>
      <c r="F657" s="3" t="s">
        <v>975</v>
      </c>
      <c r="G657" s="3" t="s">
        <v>27</v>
      </c>
      <c r="H657" s="3" t="s">
        <v>19</v>
      </c>
      <c r="I657" s="3">
        <v>3274</v>
      </c>
      <c r="J657" s="3">
        <v>1</v>
      </c>
      <c r="K657" s="3">
        <v>1633</v>
      </c>
      <c r="L657" s="3">
        <v>3112</v>
      </c>
      <c r="M657" s="3">
        <v>12</v>
      </c>
      <c r="N657" s="14">
        <v>1616.9657</v>
      </c>
      <c r="O657" s="7">
        <f t="shared" si="90"/>
        <v>3.0543677458766037E-2</v>
      </c>
      <c r="P657" s="14">
        <f t="shared" si="91"/>
        <v>1616.9657</v>
      </c>
      <c r="Q657" s="14">
        <f t="shared" si="92"/>
        <v>134.74714166666666</v>
      </c>
      <c r="R657" s="4">
        <f t="shared" si="93"/>
        <v>1200</v>
      </c>
      <c r="S657" s="14">
        <f t="shared" si="94"/>
        <v>519.59052056555265</v>
      </c>
      <c r="T657" s="4">
        <f t="shared" si="95"/>
        <v>49.877825290164935</v>
      </c>
      <c r="U657" s="3">
        <f>LEN(A657) - LEN(SUBSTITUTE(A657,"&gt;","")) +1</f>
        <v>2</v>
      </c>
      <c r="V657" s="8">
        <f t="shared" si="96"/>
        <v>0.36652412950519242</v>
      </c>
      <c r="W657" s="14">
        <f t="shared" si="97"/>
        <v>808.48284999999998</v>
      </c>
      <c r="X657" s="4">
        <f t="shared" si="98"/>
        <v>0.27200883445222795</v>
      </c>
    </row>
    <row r="658" spans="1:24" ht="14.25" customHeight="1" x14ac:dyDescent="0.2">
      <c r="A658" s="5" t="s">
        <v>2043</v>
      </c>
      <c r="B658" s="3" t="s">
        <v>14</v>
      </c>
      <c r="C658" s="3" t="s">
        <v>32</v>
      </c>
      <c r="D658" s="3" t="s">
        <v>2369</v>
      </c>
      <c r="E658" s="3" t="s">
        <v>2365</v>
      </c>
      <c r="F658" s="3" t="s">
        <v>977</v>
      </c>
      <c r="G658" s="3" t="s">
        <v>22</v>
      </c>
      <c r="H658" s="3" t="s">
        <v>19</v>
      </c>
      <c r="I658" s="3">
        <v>10707</v>
      </c>
      <c r="J658" s="3">
        <v>1</v>
      </c>
      <c r="K658" s="3">
        <v>6300</v>
      </c>
      <c r="L658" s="3">
        <v>10089</v>
      </c>
      <c r="M658" s="3">
        <v>1</v>
      </c>
      <c r="N658" s="14">
        <v>1603.8592639999999</v>
      </c>
      <c r="O658" s="7">
        <f t="shared" si="90"/>
        <v>9.3396843186700287E-3</v>
      </c>
      <c r="P658" s="14">
        <f t="shared" si="91"/>
        <v>1603.8592639999999</v>
      </c>
      <c r="Q658" s="14">
        <f t="shared" si="92"/>
        <v>1603.8592639999999</v>
      </c>
      <c r="R658" s="4">
        <f t="shared" si="93"/>
        <v>100</v>
      </c>
      <c r="S658" s="14">
        <f t="shared" si="94"/>
        <v>158.97108375458419</v>
      </c>
      <c r="T658" s="4">
        <f t="shared" si="95"/>
        <v>58.840011207621181</v>
      </c>
      <c r="U658" s="3">
        <f>LEN(A658) - LEN(SUBSTITUTE(A658,"&gt;","")) +1</f>
        <v>2</v>
      </c>
      <c r="V658" s="8">
        <f t="shared" si="96"/>
        <v>9.3396843186700287E-3</v>
      </c>
      <c r="W658" s="14">
        <f t="shared" si="97"/>
        <v>801.92963199999997</v>
      </c>
      <c r="X658" s="4">
        <f t="shared" si="98"/>
        <v>5.8232567709070693E-4</v>
      </c>
    </row>
    <row r="659" spans="1:24" ht="14.25" customHeight="1" x14ac:dyDescent="0.2">
      <c r="A659" s="5" t="s">
        <v>2044</v>
      </c>
      <c r="B659" s="3" t="s">
        <v>24</v>
      </c>
      <c r="C659" s="3" t="s">
        <v>32</v>
      </c>
      <c r="D659" s="3" t="s">
        <v>2367</v>
      </c>
      <c r="E659" s="3" t="s">
        <v>2352</v>
      </c>
      <c r="F659" s="3" t="s">
        <v>979</v>
      </c>
      <c r="G659" s="3" t="s">
        <v>27</v>
      </c>
      <c r="H659" s="3" t="s">
        <v>114</v>
      </c>
      <c r="I659" s="3">
        <v>20348</v>
      </c>
      <c r="J659" s="3">
        <v>1</v>
      </c>
      <c r="K659" s="3">
        <v>14945</v>
      </c>
      <c r="L659" s="3">
        <v>19548</v>
      </c>
      <c r="M659" s="3">
        <v>1</v>
      </c>
      <c r="N659" s="14">
        <v>1596.552373</v>
      </c>
      <c r="O659" s="7">
        <f t="shared" si="90"/>
        <v>4.9144879103597411E-3</v>
      </c>
      <c r="P659" s="14">
        <f t="shared" si="91"/>
        <v>1596.552373</v>
      </c>
      <c r="Q659" s="14">
        <f t="shared" si="92"/>
        <v>1596.552373</v>
      </c>
      <c r="R659" s="4">
        <f t="shared" si="93"/>
        <v>100</v>
      </c>
      <c r="S659" s="14">
        <f t="shared" si="94"/>
        <v>81.673438356865148</v>
      </c>
      <c r="T659" s="4">
        <f t="shared" si="95"/>
        <v>73.447021820326313</v>
      </c>
      <c r="U659" s="3">
        <f>LEN(A659) - LEN(SUBSTITUTE(A659,"&gt;","")) +1</f>
        <v>4</v>
      </c>
      <c r="V659" s="8">
        <f t="shared" si="96"/>
        <v>4.9144879103597402E-3</v>
      </c>
      <c r="W659" s="14">
        <f t="shared" si="97"/>
        <v>399.13809325</v>
      </c>
      <c r="X659" s="4">
        <f t="shared" si="98"/>
        <v>3.0781877209108888E-4</v>
      </c>
    </row>
    <row r="660" spans="1:24" ht="14.25" customHeight="1" x14ac:dyDescent="0.2">
      <c r="A660" s="5" t="s">
        <v>2045</v>
      </c>
      <c r="B660" s="3" t="s">
        <v>14</v>
      </c>
      <c r="C660" s="3" t="s">
        <v>32</v>
      </c>
      <c r="D660" s="3" t="s">
        <v>2369</v>
      </c>
      <c r="E660" s="3" t="s">
        <v>2365</v>
      </c>
      <c r="F660" s="3" t="s">
        <v>981</v>
      </c>
      <c r="G660" s="3" t="s">
        <v>22</v>
      </c>
      <c r="H660" s="3" t="s">
        <v>19</v>
      </c>
      <c r="I660" s="3">
        <v>14917</v>
      </c>
      <c r="J660" s="3">
        <v>1</v>
      </c>
      <c r="K660" s="3">
        <v>3065</v>
      </c>
      <c r="L660" s="3">
        <v>13109</v>
      </c>
      <c r="M660" s="3">
        <v>1</v>
      </c>
      <c r="N660" s="14">
        <v>1583.537104</v>
      </c>
      <c r="O660" s="7">
        <f t="shared" si="90"/>
        <v>6.7037608098143063E-3</v>
      </c>
      <c r="P660" s="14">
        <f t="shared" si="91"/>
        <v>1583.537104</v>
      </c>
      <c r="Q660" s="14">
        <f t="shared" si="92"/>
        <v>1583.537104</v>
      </c>
      <c r="R660" s="4">
        <f t="shared" si="93"/>
        <v>100</v>
      </c>
      <c r="S660" s="14">
        <f t="shared" si="94"/>
        <v>120.79770417270578</v>
      </c>
      <c r="T660" s="4">
        <f t="shared" si="95"/>
        <v>20.547026882080846</v>
      </c>
      <c r="U660" s="3">
        <f>LEN(A660) - LEN(SUBSTITUTE(A660,"&gt;","")) +1</f>
        <v>4</v>
      </c>
      <c r="V660" s="8">
        <f t="shared" si="96"/>
        <v>6.7037608098143055E-3</v>
      </c>
      <c r="W660" s="14">
        <f t="shared" si="97"/>
        <v>395.884276</v>
      </c>
      <c r="X660" s="4">
        <f t="shared" si="98"/>
        <v>4.2334093674727726E-4</v>
      </c>
    </row>
    <row r="661" spans="1:24" ht="14.25" customHeight="1" x14ac:dyDescent="0.2">
      <c r="A661" s="5" t="s">
        <v>2046</v>
      </c>
      <c r="B661" s="3" t="s">
        <v>24</v>
      </c>
      <c r="C661" s="3" t="s">
        <v>29</v>
      </c>
      <c r="D661" s="3" t="s">
        <v>2362</v>
      </c>
      <c r="E661" s="3" t="s">
        <v>2352</v>
      </c>
      <c r="F661" s="3" t="s">
        <v>79</v>
      </c>
      <c r="G661" s="3" t="s">
        <v>41</v>
      </c>
      <c r="H661" s="3" t="s">
        <v>19</v>
      </c>
      <c r="I661" s="3">
        <v>40519</v>
      </c>
      <c r="J661" s="3">
        <v>1</v>
      </c>
      <c r="K661" s="3">
        <v>6105</v>
      </c>
      <c r="L661" s="3">
        <v>26283</v>
      </c>
      <c r="M661" s="3">
        <v>10</v>
      </c>
      <c r="N661" s="14">
        <v>1582.410977</v>
      </c>
      <c r="O661" s="7">
        <f t="shared" si="90"/>
        <v>2.4679779856363682E-3</v>
      </c>
      <c r="P661" s="14">
        <f t="shared" si="91"/>
        <v>1582.410977</v>
      </c>
      <c r="Q661" s="14">
        <f t="shared" si="92"/>
        <v>158.24109770000001</v>
      </c>
      <c r="R661" s="4">
        <f t="shared" si="93"/>
        <v>1000</v>
      </c>
      <c r="S661" s="14">
        <f t="shared" si="94"/>
        <v>60.206634592702507</v>
      </c>
      <c r="T661" s="4">
        <f t="shared" si="95"/>
        <v>15.067005602310028</v>
      </c>
      <c r="U661" s="3">
        <f>LEN(A661) - LEN(SUBSTITUTE(A661,"&gt;","")) +1</f>
        <v>3</v>
      </c>
      <c r="V661" s="8">
        <f t="shared" si="96"/>
        <v>2.467977985636368E-2</v>
      </c>
      <c r="W661" s="14">
        <f t="shared" si="97"/>
        <v>527.47032566666667</v>
      </c>
      <c r="X661" s="4">
        <f t="shared" si="98"/>
        <v>1.5596314873366606E-2</v>
      </c>
    </row>
    <row r="662" spans="1:24" ht="14.25" customHeight="1" x14ac:dyDescent="0.2">
      <c r="A662" s="5" t="s">
        <v>2047</v>
      </c>
      <c r="B662" s="3" t="s">
        <v>24</v>
      </c>
      <c r="C662" s="3" t="s">
        <v>35</v>
      </c>
      <c r="D662" s="3" t="s">
        <v>2378</v>
      </c>
      <c r="E662" s="3" t="s">
        <v>2352</v>
      </c>
      <c r="F662" s="3" t="s">
        <v>984</v>
      </c>
      <c r="G662" s="3" t="s">
        <v>38</v>
      </c>
      <c r="H662" s="3" t="s">
        <v>19</v>
      </c>
      <c r="I662" s="3">
        <v>13823</v>
      </c>
      <c r="J662" s="3">
        <v>1</v>
      </c>
      <c r="K662" s="3">
        <v>10671</v>
      </c>
      <c r="L662" s="3">
        <v>12937</v>
      </c>
      <c r="M662" s="3">
        <v>1</v>
      </c>
      <c r="N662" s="14">
        <v>1574.709734</v>
      </c>
      <c r="O662" s="7">
        <f t="shared" si="90"/>
        <v>7.2343196122404687E-3</v>
      </c>
      <c r="P662" s="14">
        <f t="shared" si="91"/>
        <v>1574.709734</v>
      </c>
      <c r="Q662" s="14">
        <f t="shared" si="92"/>
        <v>1574.709734</v>
      </c>
      <c r="R662" s="4">
        <f t="shared" si="93"/>
        <v>100</v>
      </c>
      <c r="S662" s="14">
        <f t="shared" si="94"/>
        <v>121.72139862410141</v>
      </c>
      <c r="T662" s="4">
        <f t="shared" si="95"/>
        <v>77.197424582218048</v>
      </c>
      <c r="U662" s="3">
        <f>LEN(A662) - LEN(SUBSTITUTE(A662,"&gt;","")) +1</f>
        <v>4</v>
      </c>
      <c r="V662" s="8">
        <f t="shared" si="96"/>
        <v>7.2343196122404687E-3</v>
      </c>
      <c r="W662" s="14">
        <f t="shared" si="97"/>
        <v>393.67743350000001</v>
      </c>
      <c r="X662" s="4">
        <f t="shared" si="98"/>
        <v>4.594065468728771E-4</v>
      </c>
    </row>
    <row r="663" spans="1:24" ht="14.25" customHeight="1" x14ac:dyDescent="0.2">
      <c r="A663" s="5" t="s">
        <v>2048</v>
      </c>
      <c r="B663" s="3" t="s">
        <v>14</v>
      </c>
      <c r="C663" s="3" t="s">
        <v>35</v>
      </c>
      <c r="D663" s="3" t="s">
        <v>2361</v>
      </c>
      <c r="E663" s="3" t="s">
        <v>2360</v>
      </c>
      <c r="F663" s="3" t="s">
        <v>986</v>
      </c>
      <c r="G663" s="3" t="s">
        <v>323</v>
      </c>
      <c r="H663" s="3" t="s">
        <v>19</v>
      </c>
      <c r="I663" s="3">
        <v>9014</v>
      </c>
      <c r="J663" s="3">
        <v>1</v>
      </c>
      <c r="K663" s="3">
        <v>5054</v>
      </c>
      <c r="L663" s="3">
        <v>7227</v>
      </c>
      <c r="M663" s="3">
        <v>1</v>
      </c>
      <c r="N663" s="14">
        <v>1539.60069</v>
      </c>
      <c r="O663" s="7">
        <f t="shared" si="90"/>
        <v>1.1093854004881297E-2</v>
      </c>
      <c r="P663" s="14">
        <f t="shared" si="91"/>
        <v>1539.60069</v>
      </c>
      <c r="Q663" s="14">
        <f t="shared" si="92"/>
        <v>1539.60069</v>
      </c>
      <c r="R663" s="4">
        <f t="shared" si="93"/>
        <v>100</v>
      </c>
      <c r="S663" s="14">
        <f t="shared" si="94"/>
        <v>213.03454960564551</v>
      </c>
      <c r="T663" s="4">
        <f t="shared" si="95"/>
        <v>56.068338140670072</v>
      </c>
      <c r="U663" s="3">
        <f>LEN(A663) - LEN(SUBSTITUTE(A663,"&gt;","")) +1</f>
        <v>3</v>
      </c>
      <c r="V663" s="8">
        <f t="shared" si="96"/>
        <v>1.1093854004881295E-2</v>
      </c>
      <c r="W663" s="14">
        <f t="shared" si="97"/>
        <v>513.20023000000003</v>
      </c>
      <c r="X663" s="4">
        <f t="shared" si="98"/>
        <v>7.2056696758698489E-4</v>
      </c>
    </row>
    <row r="664" spans="1:24" ht="14.25" customHeight="1" x14ac:dyDescent="0.2">
      <c r="A664" s="5" t="s">
        <v>2049</v>
      </c>
      <c r="B664" s="3" t="s">
        <v>24</v>
      </c>
      <c r="C664" s="3" t="s">
        <v>29</v>
      </c>
      <c r="D664" s="3" t="s">
        <v>2368</v>
      </c>
      <c r="E664" s="3" t="s">
        <v>2352</v>
      </c>
      <c r="F664" s="3" t="s">
        <v>543</v>
      </c>
      <c r="G664" s="3" t="s">
        <v>22</v>
      </c>
      <c r="H664" s="3" t="s">
        <v>19</v>
      </c>
      <c r="I664" s="3">
        <v>9790</v>
      </c>
      <c r="J664" s="3">
        <v>1</v>
      </c>
      <c r="K664" s="3">
        <v>1295</v>
      </c>
      <c r="L664" s="3">
        <v>9196</v>
      </c>
      <c r="M664" s="3">
        <v>1</v>
      </c>
      <c r="N664" s="14">
        <v>1532.1488810000001</v>
      </c>
      <c r="O664" s="7">
        <f t="shared" si="90"/>
        <v>1.0214504596527068E-2</v>
      </c>
      <c r="P664" s="14">
        <f t="shared" si="91"/>
        <v>1532.1488810000001</v>
      </c>
      <c r="Q664" s="14">
        <f t="shared" si="92"/>
        <v>1532.1488810000001</v>
      </c>
      <c r="R664" s="4">
        <f t="shared" si="93"/>
        <v>100</v>
      </c>
      <c r="S664" s="14">
        <f t="shared" si="94"/>
        <v>166.61036113527621</v>
      </c>
      <c r="T664" s="4">
        <f t="shared" si="95"/>
        <v>13.227783452502553</v>
      </c>
      <c r="U664" s="3">
        <f>LEN(A664) - LEN(SUBSTITUTE(A664,"&gt;","")) +1</f>
        <v>4</v>
      </c>
      <c r="V664" s="8">
        <f t="shared" si="96"/>
        <v>1.0214504596527068E-2</v>
      </c>
      <c r="W664" s="14">
        <f t="shared" si="97"/>
        <v>383.03722025000002</v>
      </c>
      <c r="X664" s="4">
        <f t="shared" si="98"/>
        <v>6.6667833153787796E-4</v>
      </c>
    </row>
    <row r="665" spans="1:24" ht="14.25" customHeight="1" x14ac:dyDescent="0.2">
      <c r="A665" s="5" t="s">
        <v>2050</v>
      </c>
      <c r="B665" s="3" t="s">
        <v>24</v>
      </c>
      <c r="C665" s="3" t="s">
        <v>15</v>
      </c>
      <c r="D665" s="3" t="s">
        <v>2373</v>
      </c>
      <c r="E665" s="3" t="s">
        <v>2352</v>
      </c>
      <c r="F665" s="3" t="s">
        <v>504</v>
      </c>
      <c r="G665" s="3" t="s">
        <v>33</v>
      </c>
      <c r="H665" s="3" t="s">
        <v>19</v>
      </c>
      <c r="I665" s="3">
        <v>13833</v>
      </c>
      <c r="J665" s="3">
        <v>1</v>
      </c>
      <c r="K665" s="3">
        <v>7693</v>
      </c>
      <c r="L665" s="3">
        <v>13237</v>
      </c>
      <c r="M665" s="3">
        <v>1</v>
      </c>
      <c r="N665" s="14">
        <v>1526.7870660000001</v>
      </c>
      <c r="O665" s="7">
        <f t="shared" si="90"/>
        <v>7.2290898575869296E-3</v>
      </c>
      <c r="P665" s="14">
        <f t="shared" si="91"/>
        <v>1526.7870660000001</v>
      </c>
      <c r="Q665" s="14">
        <f t="shared" si="92"/>
        <v>1526.7870660000001</v>
      </c>
      <c r="R665" s="4">
        <f t="shared" si="93"/>
        <v>100</v>
      </c>
      <c r="S665" s="14">
        <f t="shared" si="94"/>
        <v>115.34237863564252</v>
      </c>
      <c r="T665" s="4">
        <f t="shared" si="95"/>
        <v>55.613388274416252</v>
      </c>
      <c r="U665" s="3">
        <f>LEN(A665) - LEN(SUBSTITUTE(A665,"&gt;","")) +1</f>
        <v>4</v>
      </c>
      <c r="V665" s="8">
        <f t="shared" si="96"/>
        <v>7.2290898575869296E-3</v>
      </c>
      <c r="W665" s="14">
        <f t="shared" si="97"/>
        <v>381.69676650000002</v>
      </c>
      <c r="X665" s="4">
        <f t="shared" si="98"/>
        <v>4.734838287912854E-4</v>
      </c>
    </row>
    <row r="666" spans="1:24" ht="14.25" customHeight="1" x14ac:dyDescent="0.2">
      <c r="A666" s="5" t="s">
        <v>2051</v>
      </c>
      <c r="B666" s="3" t="s">
        <v>14</v>
      </c>
      <c r="C666" s="3" t="s">
        <v>32</v>
      </c>
      <c r="D666" s="3" t="s">
        <v>2362</v>
      </c>
      <c r="E666" s="3" t="s">
        <v>2352</v>
      </c>
      <c r="F666" s="3" t="s">
        <v>635</v>
      </c>
      <c r="G666" s="3" t="s">
        <v>22</v>
      </c>
      <c r="H666" s="3" t="s">
        <v>19</v>
      </c>
      <c r="I666" s="3">
        <v>12510</v>
      </c>
      <c r="J666" s="3">
        <v>1</v>
      </c>
      <c r="K666" s="3">
        <v>4391</v>
      </c>
      <c r="L666" s="3">
        <v>9098</v>
      </c>
      <c r="M666" s="3">
        <v>1</v>
      </c>
      <c r="N666" s="14">
        <v>1524.470523</v>
      </c>
      <c r="O666" s="7">
        <f t="shared" si="90"/>
        <v>7.9936051159072742E-3</v>
      </c>
      <c r="P666" s="14">
        <f t="shared" si="91"/>
        <v>1524.470523</v>
      </c>
      <c r="Q666" s="14">
        <f t="shared" si="92"/>
        <v>1524.470523</v>
      </c>
      <c r="R666" s="4">
        <f t="shared" si="93"/>
        <v>100</v>
      </c>
      <c r="S666" s="14">
        <f t="shared" si="94"/>
        <v>167.56105990327544</v>
      </c>
      <c r="T666" s="4">
        <f t="shared" si="95"/>
        <v>35.099920063948844</v>
      </c>
      <c r="U666" s="3">
        <f>LEN(A666) - LEN(SUBSTITUTE(A666,"&gt;","")) +1</f>
        <v>4</v>
      </c>
      <c r="V666" s="8">
        <f t="shared" si="96"/>
        <v>7.9936051159072742E-3</v>
      </c>
      <c r="W666" s="14">
        <f t="shared" si="97"/>
        <v>381.11763074999999</v>
      </c>
      <c r="X666" s="4">
        <f t="shared" si="98"/>
        <v>5.243528815615725E-4</v>
      </c>
    </row>
    <row r="667" spans="1:24" ht="14.25" customHeight="1" x14ac:dyDescent="0.2">
      <c r="A667" s="5" t="s">
        <v>2052</v>
      </c>
      <c r="B667" s="3" t="s">
        <v>68</v>
      </c>
      <c r="C667" s="3" t="s">
        <v>15</v>
      </c>
      <c r="D667" s="3" t="s">
        <v>2349</v>
      </c>
      <c r="E667" s="3" t="s">
        <v>2350</v>
      </c>
      <c r="F667" s="3" t="s">
        <v>597</v>
      </c>
      <c r="G667" s="3" t="s">
        <v>22</v>
      </c>
      <c r="H667" s="3" t="s">
        <v>19</v>
      </c>
      <c r="I667" s="3">
        <v>32400</v>
      </c>
      <c r="J667" s="3">
        <v>1</v>
      </c>
      <c r="K667" s="3">
        <v>5152</v>
      </c>
      <c r="L667" s="3">
        <v>30383</v>
      </c>
      <c r="M667" s="3">
        <v>9</v>
      </c>
      <c r="N667" s="14">
        <v>1522.352623</v>
      </c>
      <c r="O667" s="7">
        <f t="shared" si="90"/>
        <v>3.08641975308642E-3</v>
      </c>
      <c r="P667" s="14">
        <f t="shared" si="91"/>
        <v>1522.352623</v>
      </c>
      <c r="Q667" s="14">
        <f t="shared" si="92"/>
        <v>169.15029144444443</v>
      </c>
      <c r="R667" s="4">
        <f t="shared" si="93"/>
        <v>900</v>
      </c>
      <c r="S667" s="14">
        <f t="shared" si="94"/>
        <v>50.105408386268643</v>
      </c>
      <c r="T667" s="4">
        <f t="shared" si="95"/>
        <v>15.901234567901234</v>
      </c>
      <c r="U667" s="3">
        <f>LEN(A667) - LEN(SUBSTITUTE(A667,"&gt;","")) +1</f>
        <v>4</v>
      </c>
      <c r="V667" s="8">
        <f t="shared" si="96"/>
        <v>2.7777777777777776E-2</v>
      </c>
      <c r="W667" s="14">
        <f t="shared" si="97"/>
        <v>380.58815575</v>
      </c>
      <c r="X667" s="4">
        <f t="shared" si="98"/>
        <v>1.642195088200666E-2</v>
      </c>
    </row>
    <row r="668" spans="1:24" ht="14.25" customHeight="1" x14ac:dyDescent="0.2">
      <c r="A668" s="5" t="s">
        <v>2053</v>
      </c>
      <c r="B668" s="3" t="s">
        <v>14</v>
      </c>
      <c r="C668" s="3" t="s">
        <v>35</v>
      </c>
      <c r="D668" s="3" t="s">
        <v>2363</v>
      </c>
      <c r="E668" s="3" t="s">
        <v>2358</v>
      </c>
      <c r="F668" s="3" t="s">
        <v>992</v>
      </c>
      <c r="G668" s="3" t="s">
        <v>27</v>
      </c>
      <c r="H668" s="3" t="s">
        <v>19</v>
      </c>
      <c r="I668" s="3">
        <v>187</v>
      </c>
      <c r="J668" s="3">
        <v>1</v>
      </c>
      <c r="K668" s="3">
        <v>28</v>
      </c>
      <c r="L668" s="3">
        <v>171</v>
      </c>
      <c r="M668" s="3">
        <v>3</v>
      </c>
      <c r="N668" s="14">
        <v>1505.8810880000001</v>
      </c>
      <c r="O668" s="7">
        <f t="shared" si="90"/>
        <v>0.53475935828876997</v>
      </c>
      <c r="P668" s="14">
        <f t="shared" si="91"/>
        <v>1505.8810880000001</v>
      </c>
      <c r="Q668" s="14">
        <f t="shared" si="92"/>
        <v>501.9603626666667</v>
      </c>
      <c r="R668" s="4">
        <f t="shared" si="93"/>
        <v>300</v>
      </c>
      <c r="S668" s="14">
        <f t="shared" si="94"/>
        <v>8806.3221520467832</v>
      </c>
      <c r="T668" s="4">
        <f t="shared" si="95"/>
        <v>14.973262032085561</v>
      </c>
      <c r="U668" s="3">
        <f>LEN(A668) - LEN(SUBSTITUTE(A668,"&gt;","")) +1</f>
        <v>3</v>
      </c>
      <c r="V668" s="8">
        <f t="shared" si="96"/>
        <v>1.6042780748663101</v>
      </c>
      <c r="W668" s="14">
        <f t="shared" si="97"/>
        <v>501.9603626666667</v>
      </c>
      <c r="X668" s="4">
        <f t="shared" si="98"/>
        <v>0.31960254119340725</v>
      </c>
    </row>
    <row r="669" spans="1:24" ht="14.25" customHeight="1" x14ac:dyDescent="0.2">
      <c r="A669" s="5" t="s">
        <v>2054</v>
      </c>
      <c r="B669" s="3" t="s">
        <v>14</v>
      </c>
      <c r="C669" s="3" t="s">
        <v>35</v>
      </c>
      <c r="D669" s="3" t="s">
        <v>2353</v>
      </c>
      <c r="E669" s="3" t="s">
        <v>2354</v>
      </c>
      <c r="F669" s="3" t="s">
        <v>301</v>
      </c>
      <c r="G669" s="3" t="s">
        <v>38</v>
      </c>
      <c r="H669" s="3" t="s">
        <v>19</v>
      </c>
      <c r="I669" s="3">
        <v>9881</v>
      </c>
      <c r="J669" s="3">
        <v>1</v>
      </c>
      <c r="K669" s="3">
        <v>2344</v>
      </c>
      <c r="L669" s="3">
        <v>7324</v>
      </c>
      <c r="M669" s="3">
        <v>1</v>
      </c>
      <c r="N669" s="14">
        <v>1505.0115499999999</v>
      </c>
      <c r="O669" s="7">
        <f t="shared" si="90"/>
        <v>1.0120433154539015E-2</v>
      </c>
      <c r="P669" s="14">
        <f t="shared" si="91"/>
        <v>1505.0115499999999</v>
      </c>
      <c r="Q669" s="14">
        <f t="shared" si="92"/>
        <v>1505.0115499999999</v>
      </c>
      <c r="R669" s="4">
        <f t="shared" si="93"/>
        <v>100</v>
      </c>
      <c r="S669" s="14">
        <f t="shared" si="94"/>
        <v>205.49038093937739</v>
      </c>
      <c r="T669" s="4">
        <f t="shared" si="95"/>
        <v>23.722295314239449</v>
      </c>
      <c r="U669" s="3">
        <f>LEN(A669) - LEN(SUBSTITUTE(A669,"&gt;","")) +1</f>
        <v>3</v>
      </c>
      <c r="V669" s="8">
        <f t="shared" si="96"/>
        <v>1.0120433154539015E-2</v>
      </c>
      <c r="W669" s="14">
        <f t="shared" si="97"/>
        <v>501.67051666666663</v>
      </c>
      <c r="X669" s="4">
        <f t="shared" si="98"/>
        <v>6.7244886954781274E-4</v>
      </c>
    </row>
    <row r="670" spans="1:24" ht="14.25" customHeight="1" x14ac:dyDescent="0.2">
      <c r="A670" s="5" t="s">
        <v>2055</v>
      </c>
      <c r="B670" s="3" t="s">
        <v>24</v>
      </c>
      <c r="C670" s="3" t="s">
        <v>15</v>
      </c>
      <c r="D670" s="3" t="s">
        <v>2369</v>
      </c>
      <c r="E670" s="3" t="s">
        <v>2365</v>
      </c>
      <c r="F670" s="3" t="s">
        <v>250</v>
      </c>
      <c r="G670" s="3" t="s">
        <v>22</v>
      </c>
      <c r="H670" s="3" t="s">
        <v>19</v>
      </c>
      <c r="I670" s="3">
        <v>30714</v>
      </c>
      <c r="J670" s="3">
        <v>1</v>
      </c>
      <c r="K670" s="3">
        <v>12531</v>
      </c>
      <c r="L670" s="3">
        <v>28461</v>
      </c>
      <c r="M670" s="3">
        <v>9</v>
      </c>
      <c r="N670" s="14">
        <v>1503.4843109999999</v>
      </c>
      <c r="O670" s="7">
        <f t="shared" si="90"/>
        <v>3.2558442404115387E-3</v>
      </c>
      <c r="P670" s="14">
        <f t="shared" si="91"/>
        <v>1503.4843109999999</v>
      </c>
      <c r="Q670" s="14">
        <f t="shared" si="92"/>
        <v>167.05381233333333</v>
      </c>
      <c r="R670" s="4">
        <f t="shared" si="93"/>
        <v>900</v>
      </c>
      <c r="S670" s="14">
        <f t="shared" si="94"/>
        <v>52.826123853694526</v>
      </c>
      <c r="T670" s="4">
        <f t="shared" si="95"/>
        <v>40.798984176596989</v>
      </c>
      <c r="U670" s="3">
        <f>LEN(A670) - LEN(SUBSTITUTE(A670,"&gt;","")) +1</f>
        <v>4</v>
      </c>
      <c r="V670" s="8">
        <f t="shared" si="96"/>
        <v>2.9302598163703848E-2</v>
      </c>
      <c r="W670" s="14">
        <f t="shared" si="97"/>
        <v>375.87107774999998</v>
      </c>
      <c r="X670" s="4">
        <f t="shared" si="98"/>
        <v>1.7540813797912298E-2</v>
      </c>
    </row>
    <row r="671" spans="1:24" ht="14.25" customHeight="1" x14ac:dyDescent="0.2">
      <c r="A671" s="5" t="s">
        <v>2056</v>
      </c>
      <c r="B671" s="3" t="s">
        <v>14</v>
      </c>
      <c r="C671" s="3" t="s">
        <v>32</v>
      </c>
      <c r="D671" s="3" t="s">
        <v>2353</v>
      </c>
      <c r="E671" s="3" t="s">
        <v>2354</v>
      </c>
      <c r="F671" s="3" t="s">
        <v>72</v>
      </c>
      <c r="G671" s="3" t="s">
        <v>38</v>
      </c>
      <c r="H671" s="3" t="s">
        <v>19</v>
      </c>
      <c r="I671" s="3">
        <v>12088</v>
      </c>
      <c r="J671" s="3">
        <v>1</v>
      </c>
      <c r="K671" s="3">
        <v>1124</v>
      </c>
      <c r="L671" s="3">
        <v>10003</v>
      </c>
      <c r="M671" s="3">
        <v>2</v>
      </c>
      <c r="N671" s="14">
        <v>1500.0261519999999</v>
      </c>
      <c r="O671" s="7">
        <f t="shared" si="90"/>
        <v>8.2726671078755792E-3</v>
      </c>
      <c r="P671" s="14">
        <f t="shared" si="91"/>
        <v>1500.0261519999999</v>
      </c>
      <c r="Q671" s="14">
        <f t="shared" si="92"/>
        <v>750.01307599999996</v>
      </c>
      <c r="R671" s="4">
        <f t="shared" si="93"/>
        <v>200</v>
      </c>
      <c r="S671" s="14">
        <f t="shared" si="94"/>
        <v>149.9576279116265</v>
      </c>
      <c r="T671" s="4">
        <f t="shared" si="95"/>
        <v>9.2984778292521515</v>
      </c>
      <c r="U671" s="3">
        <f>LEN(A671) - LEN(SUBSTITUTE(A671,"&gt;","")) +1</f>
        <v>5</v>
      </c>
      <c r="V671" s="8">
        <f t="shared" si="96"/>
        <v>1.6545334215751158E-2</v>
      </c>
      <c r="W671" s="14">
        <f t="shared" si="97"/>
        <v>300.00523039999996</v>
      </c>
      <c r="X671" s="4">
        <f t="shared" si="98"/>
        <v>2.2060061011191169E-3</v>
      </c>
    </row>
    <row r="672" spans="1:24" ht="14.25" customHeight="1" x14ac:dyDescent="0.2">
      <c r="A672" s="5" t="s">
        <v>2057</v>
      </c>
      <c r="B672" s="3" t="s">
        <v>14</v>
      </c>
      <c r="C672" s="3" t="s">
        <v>15</v>
      </c>
      <c r="D672" s="3" t="s">
        <v>2349</v>
      </c>
      <c r="E672" s="3" t="s">
        <v>2350</v>
      </c>
      <c r="F672" s="3" t="s">
        <v>107</v>
      </c>
      <c r="G672" s="3" t="s">
        <v>407</v>
      </c>
      <c r="H672" s="3" t="s">
        <v>19</v>
      </c>
      <c r="I672" s="3">
        <v>34959</v>
      </c>
      <c r="J672" s="3">
        <v>1</v>
      </c>
      <c r="K672" s="3">
        <v>17511</v>
      </c>
      <c r="L672" s="3">
        <v>31974</v>
      </c>
      <c r="M672" s="3">
        <v>1</v>
      </c>
      <c r="N672" s="14">
        <v>1477.4933570000001</v>
      </c>
      <c r="O672" s="7">
        <f t="shared" si="90"/>
        <v>2.860493721216282E-3</v>
      </c>
      <c r="P672" s="14">
        <f t="shared" si="91"/>
        <v>1477.4933570000001</v>
      </c>
      <c r="Q672" s="14">
        <f t="shared" si="92"/>
        <v>1477.4933570000001</v>
      </c>
      <c r="R672" s="4">
        <f t="shared" si="93"/>
        <v>100</v>
      </c>
      <c r="S672" s="14">
        <f t="shared" si="94"/>
        <v>46.209212391317948</v>
      </c>
      <c r="T672" s="4">
        <f t="shared" si="95"/>
        <v>50.090105552218311</v>
      </c>
      <c r="U672" s="3">
        <f>LEN(A672) - LEN(SUBSTITUTE(A672,"&gt;","")) +1</f>
        <v>4</v>
      </c>
      <c r="V672" s="8">
        <f t="shared" si="96"/>
        <v>2.860493721216282E-3</v>
      </c>
      <c r="W672" s="14">
        <f t="shared" si="97"/>
        <v>369.37333925000001</v>
      </c>
      <c r="X672" s="4">
        <f t="shared" si="98"/>
        <v>1.9360450642055114E-4</v>
      </c>
    </row>
    <row r="673" spans="1:24" ht="14.25" customHeight="1" x14ac:dyDescent="0.2">
      <c r="A673" s="5" t="s">
        <v>2058</v>
      </c>
      <c r="B673" s="3" t="s">
        <v>24</v>
      </c>
      <c r="C673" s="3" t="s">
        <v>35</v>
      </c>
      <c r="D673" s="3" t="s">
        <v>2369</v>
      </c>
      <c r="E673" s="3" t="s">
        <v>2365</v>
      </c>
      <c r="F673" s="3" t="s">
        <v>998</v>
      </c>
      <c r="G673" s="3" t="s">
        <v>38</v>
      </c>
      <c r="H673" s="3" t="s">
        <v>19</v>
      </c>
      <c r="I673" s="3">
        <v>14136</v>
      </c>
      <c r="J673" s="3">
        <v>1</v>
      </c>
      <c r="K673" s="3">
        <v>4683</v>
      </c>
      <c r="L673" s="3">
        <v>13273</v>
      </c>
      <c r="M673" s="3">
        <v>3</v>
      </c>
      <c r="N673" s="14">
        <v>1476.5368410000001</v>
      </c>
      <c r="O673" s="7">
        <f t="shared" si="90"/>
        <v>7.0741369552914544E-3</v>
      </c>
      <c r="P673" s="14">
        <f t="shared" si="91"/>
        <v>1476.5368410000001</v>
      </c>
      <c r="Q673" s="14">
        <f t="shared" si="92"/>
        <v>492.17894700000005</v>
      </c>
      <c r="R673" s="4">
        <f t="shared" si="93"/>
        <v>300</v>
      </c>
      <c r="S673" s="14">
        <f t="shared" si="94"/>
        <v>111.24364054848189</v>
      </c>
      <c r="T673" s="4">
        <f t="shared" si="95"/>
        <v>33.12818336162988</v>
      </c>
      <c r="U673" s="3">
        <f>LEN(A673) - LEN(SUBSTITUTE(A673,"&gt;","")) +1</f>
        <v>4</v>
      </c>
      <c r="V673" s="8">
        <f t="shared" si="96"/>
        <v>2.1222410865874362E-2</v>
      </c>
      <c r="W673" s="14">
        <f t="shared" si="97"/>
        <v>369.13421025000002</v>
      </c>
      <c r="X673" s="4">
        <f t="shared" si="98"/>
        <v>4.3119298367458123E-3</v>
      </c>
    </row>
    <row r="674" spans="1:24" ht="14.25" customHeight="1" x14ac:dyDescent="0.2">
      <c r="A674" s="5" t="s">
        <v>2059</v>
      </c>
      <c r="B674" s="3" t="s">
        <v>24</v>
      </c>
      <c r="C674" s="3" t="s">
        <v>32</v>
      </c>
      <c r="D674" s="3" t="s">
        <v>2370</v>
      </c>
      <c r="E674" s="3" t="s">
        <v>2360</v>
      </c>
      <c r="F674" s="3" t="s">
        <v>392</v>
      </c>
      <c r="G674" s="3" t="s">
        <v>415</v>
      </c>
      <c r="H674" s="3" t="s">
        <v>19</v>
      </c>
      <c r="I674" s="3">
        <v>7409</v>
      </c>
      <c r="J674" s="3">
        <v>1</v>
      </c>
      <c r="K674" s="3">
        <v>5009</v>
      </c>
      <c r="L674" s="3">
        <v>7160</v>
      </c>
      <c r="M674" s="3">
        <v>12</v>
      </c>
      <c r="N674" s="14">
        <v>1472.110115</v>
      </c>
      <c r="O674" s="7">
        <f t="shared" si="90"/>
        <v>1.3497098123903362E-2</v>
      </c>
      <c r="P674" s="14">
        <f t="shared" si="91"/>
        <v>1472.110115</v>
      </c>
      <c r="Q674" s="14">
        <f t="shared" si="92"/>
        <v>122.67584291666667</v>
      </c>
      <c r="R674" s="4">
        <f t="shared" si="93"/>
        <v>1200</v>
      </c>
      <c r="S674" s="14">
        <f t="shared" si="94"/>
        <v>205.60197136871508</v>
      </c>
      <c r="T674" s="4">
        <f t="shared" si="95"/>
        <v>67.606964502631939</v>
      </c>
      <c r="U674" s="3">
        <f>LEN(A674) - LEN(SUBSTITUTE(A674,"&gt;","")) +1</f>
        <v>4</v>
      </c>
      <c r="V674" s="8">
        <f t="shared" si="96"/>
        <v>0.16196517748684033</v>
      </c>
      <c r="W674" s="14">
        <f t="shared" si="97"/>
        <v>368.02752874999999</v>
      </c>
      <c r="X674" s="4">
        <f t="shared" si="98"/>
        <v>0.13202695301377534</v>
      </c>
    </row>
    <row r="675" spans="1:24" ht="14.25" customHeight="1" x14ac:dyDescent="0.2">
      <c r="A675" s="5" t="s">
        <v>2060</v>
      </c>
      <c r="B675" s="3" t="s">
        <v>14</v>
      </c>
      <c r="C675" s="3" t="s">
        <v>15</v>
      </c>
      <c r="D675" s="3" t="s">
        <v>2363</v>
      </c>
      <c r="E675" s="3" t="s">
        <v>2358</v>
      </c>
      <c r="F675" s="3" t="s">
        <v>478</v>
      </c>
      <c r="G675" s="3" t="s">
        <v>38</v>
      </c>
      <c r="H675" s="3" t="s">
        <v>19</v>
      </c>
      <c r="I675" s="3">
        <v>15311</v>
      </c>
      <c r="J675" s="3">
        <v>1</v>
      </c>
      <c r="K675" s="3">
        <v>7757</v>
      </c>
      <c r="L675" s="3">
        <v>12630</v>
      </c>
      <c r="M675" s="3">
        <v>19</v>
      </c>
      <c r="N675" s="14">
        <v>1471.187144</v>
      </c>
      <c r="O675" s="7">
        <f t="shared" si="90"/>
        <v>6.531252041016262E-3</v>
      </c>
      <c r="P675" s="14">
        <f t="shared" si="91"/>
        <v>1471.187144</v>
      </c>
      <c r="Q675" s="14">
        <f t="shared" si="92"/>
        <v>77.430902315789467</v>
      </c>
      <c r="R675" s="4">
        <f t="shared" si="93"/>
        <v>1900</v>
      </c>
      <c r="S675" s="14">
        <f t="shared" si="94"/>
        <v>116.48354267616786</v>
      </c>
      <c r="T675" s="4">
        <f t="shared" si="95"/>
        <v>50.662922082163156</v>
      </c>
      <c r="U675" s="3">
        <f>LEN(A675) - LEN(SUBSTITUTE(A675,"&gt;","")) +1</f>
        <v>3</v>
      </c>
      <c r="V675" s="8">
        <f t="shared" si="96"/>
        <v>0.12409378877930899</v>
      </c>
      <c r="W675" s="14">
        <f t="shared" si="97"/>
        <v>490.39571466666666</v>
      </c>
      <c r="X675" s="4">
        <f t="shared" si="98"/>
        <v>0.1602639063577129</v>
      </c>
    </row>
    <row r="676" spans="1:24" ht="14.25" customHeight="1" x14ac:dyDescent="0.2">
      <c r="A676" s="5" t="s">
        <v>2061</v>
      </c>
      <c r="B676" s="3" t="s">
        <v>14</v>
      </c>
      <c r="C676" s="3" t="s">
        <v>32</v>
      </c>
      <c r="D676" s="3" t="s">
        <v>2357</v>
      </c>
      <c r="E676" s="3" t="s">
        <v>2358</v>
      </c>
      <c r="F676" s="3" t="s">
        <v>161</v>
      </c>
      <c r="G676" s="3" t="s">
        <v>41</v>
      </c>
      <c r="H676" s="3" t="s">
        <v>19</v>
      </c>
      <c r="I676" s="3">
        <v>73544</v>
      </c>
      <c r="J676" s="3">
        <v>1</v>
      </c>
      <c r="K676" s="3">
        <v>40405</v>
      </c>
      <c r="L676" s="3">
        <v>67406</v>
      </c>
      <c r="M676" s="3">
        <v>1</v>
      </c>
      <c r="N676" s="14">
        <v>1465.8722660000001</v>
      </c>
      <c r="O676" s="7">
        <f t="shared" si="90"/>
        <v>1.3597302295224629E-3</v>
      </c>
      <c r="P676" s="14">
        <f t="shared" si="91"/>
        <v>1465.8722660000001</v>
      </c>
      <c r="Q676" s="14">
        <f t="shared" si="92"/>
        <v>1465.8722660000001</v>
      </c>
      <c r="R676" s="4">
        <f t="shared" si="93"/>
        <v>100</v>
      </c>
      <c r="S676" s="14">
        <f t="shared" si="94"/>
        <v>21.746910749784888</v>
      </c>
      <c r="T676" s="4">
        <f t="shared" si="95"/>
        <v>54.939899923855108</v>
      </c>
      <c r="U676" s="3">
        <f>LEN(A676) - LEN(SUBSTITUTE(A676,"&gt;","")) +1</f>
        <v>5</v>
      </c>
      <c r="V676" s="8">
        <f t="shared" si="96"/>
        <v>1.3597302295224629E-3</v>
      </c>
      <c r="W676" s="14">
        <f t="shared" si="97"/>
        <v>293.17445320000002</v>
      </c>
      <c r="X676" s="4">
        <f t="shared" si="98"/>
        <v>9.2759121040800346E-5</v>
      </c>
    </row>
    <row r="677" spans="1:24" ht="14.25" customHeight="1" x14ac:dyDescent="0.2">
      <c r="A677" s="5" t="s">
        <v>2062</v>
      </c>
      <c r="B677" s="3" t="s">
        <v>14</v>
      </c>
      <c r="C677" s="3" t="s">
        <v>29</v>
      </c>
      <c r="D677" s="3" t="s">
        <v>2357</v>
      </c>
      <c r="E677" s="3" t="s">
        <v>2358</v>
      </c>
      <c r="F677" s="3" t="s">
        <v>111</v>
      </c>
      <c r="G677" s="3" t="s">
        <v>33</v>
      </c>
      <c r="H677" s="3" t="s">
        <v>19</v>
      </c>
      <c r="I677" s="3">
        <v>19826</v>
      </c>
      <c r="J677" s="3">
        <v>1</v>
      </c>
      <c r="K677" s="3">
        <v>6511</v>
      </c>
      <c r="L677" s="3">
        <v>15752</v>
      </c>
      <c r="M677" s="3">
        <v>10</v>
      </c>
      <c r="N677" s="14">
        <v>1447.873298</v>
      </c>
      <c r="O677" s="7">
        <f t="shared" si="90"/>
        <v>5.0438817714112778E-3</v>
      </c>
      <c r="P677" s="14">
        <f t="shared" si="91"/>
        <v>1447.873298</v>
      </c>
      <c r="Q677" s="14">
        <f t="shared" si="92"/>
        <v>144.78732980000001</v>
      </c>
      <c r="R677" s="4">
        <f t="shared" si="93"/>
        <v>1000</v>
      </c>
      <c r="S677" s="14">
        <f t="shared" si="94"/>
        <v>91.916791391569319</v>
      </c>
      <c r="T677" s="4">
        <f t="shared" si="95"/>
        <v>32.840714213658835</v>
      </c>
      <c r="U677" s="3">
        <f>LEN(A677) - LEN(SUBSTITUTE(A677,"&gt;","")) +1</f>
        <v>5</v>
      </c>
      <c r="V677" s="8">
        <f t="shared" si="96"/>
        <v>5.043881771411278E-2</v>
      </c>
      <c r="W677" s="14">
        <f t="shared" si="97"/>
        <v>289.57465960000002</v>
      </c>
      <c r="X677" s="4">
        <f t="shared" si="98"/>
        <v>3.4836485888499878E-2</v>
      </c>
    </row>
    <row r="678" spans="1:24" ht="14.25" customHeight="1" x14ac:dyDescent="0.2">
      <c r="A678" s="5" t="s">
        <v>2063</v>
      </c>
      <c r="B678" s="3" t="s">
        <v>24</v>
      </c>
      <c r="C678" s="3" t="s">
        <v>35</v>
      </c>
      <c r="D678" s="3" t="s">
        <v>2359</v>
      </c>
      <c r="E678" s="3" t="s">
        <v>2360</v>
      </c>
      <c r="F678" s="3" t="s">
        <v>891</v>
      </c>
      <c r="G678" s="3" t="s">
        <v>18</v>
      </c>
      <c r="H678" s="3" t="s">
        <v>114</v>
      </c>
      <c r="I678" s="3">
        <v>1648</v>
      </c>
      <c r="J678" s="3">
        <v>1</v>
      </c>
      <c r="K678" s="3">
        <v>1108</v>
      </c>
      <c r="L678" s="3">
        <v>1570</v>
      </c>
      <c r="M678" s="3">
        <v>2</v>
      </c>
      <c r="N678" s="14">
        <v>1447.5420019999999</v>
      </c>
      <c r="O678" s="7">
        <f t="shared" si="90"/>
        <v>6.0679611650485431E-2</v>
      </c>
      <c r="P678" s="14">
        <f t="shared" si="91"/>
        <v>1447.5420019999999</v>
      </c>
      <c r="Q678" s="14">
        <f t="shared" si="92"/>
        <v>723.77100099999996</v>
      </c>
      <c r="R678" s="4">
        <f t="shared" si="93"/>
        <v>200</v>
      </c>
      <c r="S678" s="14">
        <f t="shared" si="94"/>
        <v>922.00127515923555</v>
      </c>
      <c r="T678" s="4">
        <f t="shared" si="95"/>
        <v>67.233009708737868</v>
      </c>
      <c r="U678" s="3">
        <f>LEN(A678) - LEN(SUBSTITUTE(A678,"&gt;","")) +1</f>
        <v>4</v>
      </c>
      <c r="V678" s="8">
        <f t="shared" si="96"/>
        <v>0.12135922330097088</v>
      </c>
      <c r="W678" s="14">
        <f t="shared" si="97"/>
        <v>361.88550049999998</v>
      </c>
      <c r="X678" s="4">
        <f t="shared" si="98"/>
        <v>1.6767627209890227E-2</v>
      </c>
    </row>
    <row r="679" spans="1:24" ht="14.25" customHeight="1" x14ac:dyDescent="0.2">
      <c r="A679" s="5" t="s">
        <v>1004</v>
      </c>
      <c r="B679" s="3" t="s">
        <v>14</v>
      </c>
      <c r="C679" s="3" t="s">
        <v>35</v>
      </c>
      <c r="D679" s="3" t="s">
        <v>2349</v>
      </c>
      <c r="E679" s="3" t="s">
        <v>2350</v>
      </c>
      <c r="F679" s="3" t="s">
        <v>831</v>
      </c>
      <c r="G679" s="3" t="s">
        <v>27</v>
      </c>
      <c r="H679" s="3" t="s">
        <v>19</v>
      </c>
      <c r="I679" s="3">
        <v>55445</v>
      </c>
      <c r="J679" s="3">
        <v>0</v>
      </c>
      <c r="K679" s="3">
        <v>4565</v>
      </c>
      <c r="L679" s="3">
        <v>53407</v>
      </c>
      <c r="M679" s="3">
        <v>36</v>
      </c>
      <c r="N679" s="14">
        <v>7948.4807520000004</v>
      </c>
      <c r="O679" s="7">
        <f t="shared" si="90"/>
        <v>0</v>
      </c>
      <c r="P679" s="14">
        <f t="shared" si="91"/>
        <v>0</v>
      </c>
      <c r="Q679" s="14">
        <f t="shared" si="92"/>
        <v>220.791132</v>
      </c>
      <c r="R679" s="4">
        <f t="shared" si="93"/>
        <v>0</v>
      </c>
      <c r="S679" s="14">
        <f t="shared" si="94"/>
        <v>148.82844481060536</v>
      </c>
      <c r="T679" s="4">
        <f t="shared" si="95"/>
        <v>8.2333844350256999</v>
      </c>
      <c r="U679" s="3">
        <f>LEN(A679) - LEN(SUBSTITUTE(A679,"&gt;","")) +1</f>
        <v>4</v>
      </c>
      <c r="V679" s="8">
        <f t="shared" si="96"/>
        <v>0</v>
      </c>
      <c r="W679" s="14">
        <f t="shared" si="97"/>
        <v>1987.1201880000001</v>
      </c>
      <c r="X679" s="4">
        <f t="shared" si="98"/>
        <v>0</v>
      </c>
    </row>
    <row r="680" spans="1:24" ht="14.25" customHeight="1" x14ac:dyDescent="0.2">
      <c r="A680" s="5" t="s">
        <v>2064</v>
      </c>
      <c r="B680" s="3" t="s">
        <v>14</v>
      </c>
      <c r="C680" s="3" t="s">
        <v>35</v>
      </c>
      <c r="D680" s="3" t="s">
        <v>2363</v>
      </c>
      <c r="E680" s="3" t="s">
        <v>2358</v>
      </c>
      <c r="F680" s="3" t="s">
        <v>1006</v>
      </c>
      <c r="G680" s="3" t="s">
        <v>41</v>
      </c>
      <c r="H680" s="3" t="s">
        <v>19</v>
      </c>
      <c r="I680" s="3">
        <v>39881</v>
      </c>
      <c r="J680" s="3">
        <v>0</v>
      </c>
      <c r="K680" s="3">
        <v>6331</v>
      </c>
      <c r="L680" s="3">
        <v>36245</v>
      </c>
      <c r="M680" s="3">
        <v>1</v>
      </c>
      <c r="N680" s="14">
        <v>7098.8897059999999</v>
      </c>
      <c r="O680" s="7">
        <f t="shared" si="90"/>
        <v>0</v>
      </c>
      <c r="P680" s="14">
        <f t="shared" si="91"/>
        <v>0</v>
      </c>
      <c r="Q680" s="14">
        <f t="shared" si="92"/>
        <v>7098.8897059999999</v>
      </c>
      <c r="R680" s="4">
        <f t="shared" si="93"/>
        <v>0</v>
      </c>
      <c r="S680" s="14">
        <f t="shared" si="94"/>
        <v>195.85845512484482</v>
      </c>
      <c r="T680" s="4">
        <f t="shared" si="95"/>
        <v>15.874727313758433</v>
      </c>
      <c r="U680" s="3">
        <f>LEN(A680) - LEN(SUBSTITUTE(A680,"&gt;","")) +1</f>
        <v>5</v>
      </c>
      <c r="V680" s="8">
        <f t="shared" si="96"/>
        <v>0</v>
      </c>
      <c r="W680" s="14">
        <f t="shared" si="97"/>
        <v>1419.7779412</v>
      </c>
      <c r="X680" s="4">
        <f t="shared" si="98"/>
        <v>0</v>
      </c>
    </row>
    <row r="681" spans="1:24" ht="14.25" customHeight="1" x14ac:dyDescent="0.2">
      <c r="A681" s="5" t="s">
        <v>2065</v>
      </c>
      <c r="B681" s="3" t="s">
        <v>24</v>
      </c>
      <c r="C681" s="3" t="s">
        <v>29</v>
      </c>
      <c r="D681" s="3" t="s">
        <v>2363</v>
      </c>
      <c r="E681" s="3" t="s">
        <v>2358</v>
      </c>
      <c r="F681" s="3" t="s">
        <v>214</v>
      </c>
      <c r="G681" s="3" t="s">
        <v>22</v>
      </c>
      <c r="H681" s="3" t="s">
        <v>163</v>
      </c>
      <c r="I681" s="3">
        <v>7585</v>
      </c>
      <c r="J681" s="3">
        <v>0</v>
      </c>
      <c r="K681" s="3">
        <v>5396</v>
      </c>
      <c r="L681" s="3">
        <v>7417</v>
      </c>
      <c r="M681" s="3">
        <v>24</v>
      </c>
      <c r="N681" s="14">
        <v>7082.6538019999998</v>
      </c>
      <c r="O681" s="7">
        <f t="shared" si="90"/>
        <v>0</v>
      </c>
      <c r="P681" s="14">
        <f t="shared" si="91"/>
        <v>0</v>
      </c>
      <c r="Q681" s="14">
        <f t="shared" si="92"/>
        <v>295.11057508333334</v>
      </c>
      <c r="R681" s="4">
        <f t="shared" si="93"/>
        <v>0</v>
      </c>
      <c r="S681" s="14">
        <f t="shared" si="94"/>
        <v>954.92163974652817</v>
      </c>
      <c r="T681" s="4">
        <f t="shared" si="95"/>
        <v>71.140408701384303</v>
      </c>
      <c r="U681" s="3">
        <f>LEN(A681) - LEN(SUBSTITUTE(A681,"&gt;","")) +1</f>
        <v>5</v>
      </c>
      <c r="V681" s="8">
        <f t="shared" si="96"/>
        <v>0</v>
      </c>
      <c r="W681" s="14">
        <f t="shared" si="97"/>
        <v>1416.5307604</v>
      </c>
      <c r="X681" s="4">
        <f t="shared" si="98"/>
        <v>0</v>
      </c>
    </row>
    <row r="682" spans="1:24" ht="14.25" customHeight="1" x14ac:dyDescent="0.2">
      <c r="A682" s="5" t="s">
        <v>1008</v>
      </c>
      <c r="B682" s="3" t="s">
        <v>24</v>
      </c>
      <c r="C682" s="3" t="s">
        <v>29</v>
      </c>
      <c r="D682" s="3" t="s">
        <v>2362</v>
      </c>
      <c r="E682" s="3" t="s">
        <v>2352</v>
      </c>
      <c r="F682" s="3" t="s">
        <v>166</v>
      </c>
      <c r="G682" s="3" t="s">
        <v>33</v>
      </c>
      <c r="H682" s="3" t="s">
        <v>19</v>
      </c>
      <c r="I682" s="3">
        <v>8187</v>
      </c>
      <c r="J682" s="3">
        <v>0</v>
      </c>
      <c r="K682" s="3">
        <v>4888</v>
      </c>
      <c r="L682" s="3">
        <v>7510</v>
      </c>
      <c r="M682" s="3">
        <v>1</v>
      </c>
      <c r="N682" s="14">
        <v>6980.2293040000004</v>
      </c>
      <c r="O682" s="7">
        <f t="shared" si="90"/>
        <v>0</v>
      </c>
      <c r="P682" s="14">
        <f t="shared" si="91"/>
        <v>0</v>
      </c>
      <c r="Q682" s="14">
        <f t="shared" si="92"/>
        <v>6980.2293040000004</v>
      </c>
      <c r="R682" s="4">
        <f t="shared" si="93"/>
        <v>0</v>
      </c>
      <c r="S682" s="14">
        <f t="shared" si="94"/>
        <v>929.45796324900141</v>
      </c>
      <c r="T682" s="4">
        <f t="shared" si="95"/>
        <v>59.704409429583485</v>
      </c>
      <c r="U682" s="3">
        <f>LEN(A682) - LEN(SUBSTITUTE(A682,"&gt;","")) +1</f>
        <v>4</v>
      </c>
      <c r="V682" s="8">
        <f t="shared" si="96"/>
        <v>0</v>
      </c>
      <c r="W682" s="14">
        <f t="shared" si="97"/>
        <v>1745.0573260000001</v>
      </c>
      <c r="X682" s="4">
        <f t="shared" si="98"/>
        <v>0</v>
      </c>
    </row>
    <row r="683" spans="1:24" ht="14.25" customHeight="1" x14ac:dyDescent="0.2">
      <c r="A683" s="5" t="s">
        <v>2066</v>
      </c>
      <c r="B683" s="3" t="s">
        <v>68</v>
      </c>
      <c r="C683" s="3" t="s">
        <v>35</v>
      </c>
      <c r="D683" s="3" t="s">
        <v>2353</v>
      </c>
      <c r="E683" s="3" t="s">
        <v>2354</v>
      </c>
      <c r="F683" s="3" t="s">
        <v>1010</v>
      </c>
      <c r="G683" s="3" t="s">
        <v>27</v>
      </c>
      <c r="H683" s="3" t="s">
        <v>19</v>
      </c>
      <c r="I683" s="3">
        <v>194</v>
      </c>
      <c r="J683" s="3">
        <v>0</v>
      </c>
      <c r="K683" s="3">
        <v>120</v>
      </c>
      <c r="L683" s="3">
        <v>160</v>
      </c>
      <c r="M683" s="3">
        <v>24</v>
      </c>
      <c r="N683" s="14">
        <v>6956.6273659999997</v>
      </c>
      <c r="O683" s="7">
        <f t="shared" si="90"/>
        <v>0</v>
      </c>
      <c r="P683" s="14">
        <f t="shared" si="91"/>
        <v>0</v>
      </c>
      <c r="Q683" s="14">
        <f t="shared" si="92"/>
        <v>289.85947358333334</v>
      </c>
      <c r="R683" s="4">
        <f t="shared" si="93"/>
        <v>0</v>
      </c>
      <c r="S683" s="14">
        <f t="shared" si="94"/>
        <v>43478.921037500004</v>
      </c>
      <c r="T683" s="4">
        <f t="shared" si="95"/>
        <v>61.855670103092784</v>
      </c>
      <c r="U683" s="3">
        <f>LEN(A683) - LEN(SUBSTITUTE(A683,"&gt;","")) +1</f>
        <v>5</v>
      </c>
      <c r="V683" s="8">
        <f t="shared" si="96"/>
        <v>0</v>
      </c>
      <c r="W683" s="14">
        <f t="shared" si="97"/>
        <v>1391.3254732</v>
      </c>
      <c r="X683" s="4">
        <f t="shared" si="98"/>
        <v>0</v>
      </c>
    </row>
    <row r="684" spans="1:24" ht="14.25" customHeight="1" x14ac:dyDescent="0.2">
      <c r="A684" s="5" t="s">
        <v>1011</v>
      </c>
      <c r="B684" s="3" t="s">
        <v>14</v>
      </c>
      <c r="C684" s="3" t="s">
        <v>29</v>
      </c>
      <c r="D684" s="3" t="s">
        <v>2362</v>
      </c>
      <c r="E684" s="3" t="s">
        <v>2352</v>
      </c>
      <c r="F684" s="3" t="s">
        <v>1012</v>
      </c>
      <c r="G684" s="3" t="s">
        <v>27</v>
      </c>
      <c r="H684" s="3" t="s">
        <v>19</v>
      </c>
      <c r="I684" s="3">
        <v>7226</v>
      </c>
      <c r="J684" s="3">
        <v>0</v>
      </c>
      <c r="K684" s="3">
        <v>2266</v>
      </c>
      <c r="L684" s="3">
        <v>4728</v>
      </c>
      <c r="M684" s="3">
        <v>2</v>
      </c>
      <c r="N684" s="14">
        <v>6940.3207160000002</v>
      </c>
      <c r="O684" s="7">
        <f t="shared" si="90"/>
        <v>0</v>
      </c>
      <c r="P684" s="14">
        <f t="shared" si="91"/>
        <v>0</v>
      </c>
      <c r="Q684" s="14">
        <f t="shared" si="92"/>
        <v>3470.1603580000001</v>
      </c>
      <c r="R684" s="4">
        <f t="shared" si="93"/>
        <v>0</v>
      </c>
      <c r="S684" s="14">
        <f t="shared" si="94"/>
        <v>1467.9189331641287</v>
      </c>
      <c r="T684" s="4">
        <f t="shared" si="95"/>
        <v>31.358981455853861</v>
      </c>
      <c r="U684" s="3">
        <f>LEN(A684) - LEN(SUBSTITUTE(A684,"&gt;","")) +1</f>
        <v>4</v>
      </c>
      <c r="V684" s="8">
        <f t="shared" si="96"/>
        <v>0</v>
      </c>
      <c r="W684" s="14">
        <f t="shared" si="97"/>
        <v>1735.080179</v>
      </c>
      <c r="X684" s="4">
        <f t="shared" si="98"/>
        <v>0</v>
      </c>
    </row>
    <row r="685" spans="1:24" ht="14.25" customHeight="1" x14ac:dyDescent="0.2">
      <c r="A685" s="5" t="s">
        <v>2067</v>
      </c>
      <c r="B685" s="3" t="s">
        <v>68</v>
      </c>
      <c r="C685" s="3" t="s">
        <v>32</v>
      </c>
      <c r="D685" s="3" t="s">
        <v>2349</v>
      </c>
      <c r="E685" s="3" t="s">
        <v>2350</v>
      </c>
      <c r="F685" s="3" t="s">
        <v>1014</v>
      </c>
      <c r="G685" s="3" t="s">
        <v>27</v>
      </c>
      <c r="H685" s="3" t="s">
        <v>19</v>
      </c>
      <c r="I685" s="3">
        <v>2692</v>
      </c>
      <c r="J685" s="3">
        <v>0</v>
      </c>
      <c r="K685" s="3">
        <v>1520</v>
      </c>
      <c r="L685" s="3">
        <v>2626</v>
      </c>
      <c r="M685" s="3">
        <v>2</v>
      </c>
      <c r="N685" s="14">
        <v>6884.9914520000002</v>
      </c>
      <c r="O685" s="7">
        <f t="shared" si="90"/>
        <v>0</v>
      </c>
      <c r="P685" s="14">
        <f t="shared" si="91"/>
        <v>0</v>
      </c>
      <c r="Q685" s="14">
        <f t="shared" si="92"/>
        <v>3442.4957260000001</v>
      </c>
      <c r="R685" s="4">
        <f t="shared" si="93"/>
        <v>0</v>
      </c>
      <c r="S685" s="14">
        <f t="shared" si="94"/>
        <v>2621.8550845392233</v>
      </c>
      <c r="T685" s="4">
        <f t="shared" si="95"/>
        <v>56.463595839524515</v>
      </c>
      <c r="U685" s="3">
        <f>LEN(A685) - LEN(SUBSTITUTE(A685,"&gt;","")) +1</f>
        <v>6</v>
      </c>
      <c r="V685" s="8">
        <f t="shared" si="96"/>
        <v>0</v>
      </c>
      <c r="W685" s="14">
        <f t="shared" si="97"/>
        <v>1147.4985753333333</v>
      </c>
      <c r="X685" s="4">
        <f t="shared" si="98"/>
        <v>0</v>
      </c>
    </row>
    <row r="686" spans="1:24" ht="14.25" customHeight="1" x14ac:dyDescent="0.2">
      <c r="A686" s="5" t="s">
        <v>1015</v>
      </c>
      <c r="B686" s="3" t="s">
        <v>14</v>
      </c>
      <c r="C686" s="3" t="s">
        <v>29</v>
      </c>
      <c r="D686" s="3" t="s">
        <v>2353</v>
      </c>
      <c r="E686" s="3" t="s">
        <v>2354</v>
      </c>
      <c r="F686" s="3" t="s">
        <v>805</v>
      </c>
      <c r="G686" s="3" t="s">
        <v>27</v>
      </c>
      <c r="H686" s="3" t="s">
        <v>19</v>
      </c>
      <c r="I686" s="3">
        <v>9463</v>
      </c>
      <c r="J686" s="3">
        <v>0</v>
      </c>
      <c r="K686" s="3">
        <v>1518</v>
      </c>
      <c r="L686" s="3">
        <v>8191</v>
      </c>
      <c r="M686" s="3">
        <v>1</v>
      </c>
      <c r="N686" s="14">
        <v>6879.6017069999998</v>
      </c>
      <c r="O686" s="7">
        <f t="shared" si="90"/>
        <v>0</v>
      </c>
      <c r="P686" s="14">
        <f t="shared" si="91"/>
        <v>0</v>
      </c>
      <c r="Q686" s="14">
        <f t="shared" si="92"/>
        <v>6879.6017069999998</v>
      </c>
      <c r="R686" s="4">
        <f t="shared" si="93"/>
        <v>0</v>
      </c>
      <c r="S686" s="14">
        <f t="shared" si="94"/>
        <v>839.89765681845927</v>
      </c>
      <c r="T686" s="4">
        <f t="shared" si="95"/>
        <v>16.041424495403149</v>
      </c>
      <c r="U686" s="3">
        <f>LEN(A686) - LEN(SUBSTITUTE(A686,"&gt;","")) +1</f>
        <v>4</v>
      </c>
      <c r="V686" s="8">
        <f t="shared" si="96"/>
        <v>0</v>
      </c>
      <c r="W686" s="14">
        <f t="shared" si="97"/>
        <v>1719.90042675</v>
      </c>
      <c r="X686" s="4">
        <f t="shared" si="98"/>
        <v>0</v>
      </c>
    </row>
    <row r="687" spans="1:24" ht="14.25" customHeight="1" x14ac:dyDescent="0.2">
      <c r="A687" s="5" t="s">
        <v>1016</v>
      </c>
      <c r="B687" s="3" t="s">
        <v>24</v>
      </c>
      <c r="C687" s="3" t="s">
        <v>29</v>
      </c>
      <c r="D687" s="3" t="s">
        <v>2357</v>
      </c>
      <c r="E687" s="3" t="s">
        <v>2358</v>
      </c>
      <c r="F687" s="3" t="s">
        <v>179</v>
      </c>
      <c r="G687" s="3" t="s">
        <v>27</v>
      </c>
      <c r="H687" s="3" t="s">
        <v>163</v>
      </c>
      <c r="I687" s="3">
        <v>28888</v>
      </c>
      <c r="J687" s="3">
        <v>0</v>
      </c>
      <c r="K687" s="3">
        <v>21437</v>
      </c>
      <c r="L687" s="3">
        <v>27586</v>
      </c>
      <c r="M687" s="3">
        <v>19</v>
      </c>
      <c r="N687" s="14">
        <v>6858.5781180000004</v>
      </c>
      <c r="O687" s="7">
        <f t="shared" si="90"/>
        <v>0</v>
      </c>
      <c r="P687" s="14">
        <f t="shared" si="91"/>
        <v>0</v>
      </c>
      <c r="Q687" s="14">
        <f t="shared" si="92"/>
        <v>360.97779568421055</v>
      </c>
      <c r="R687" s="4">
        <f t="shared" si="93"/>
        <v>0</v>
      </c>
      <c r="S687" s="14">
        <f t="shared" si="94"/>
        <v>248.625321467411</v>
      </c>
      <c r="T687" s="4">
        <f t="shared" si="95"/>
        <v>74.207283301024646</v>
      </c>
      <c r="U687" s="3">
        <f>LEN(A687) - LEN(SUBSTITUTE(A687,"&gt;","")) +1</f>
        <v>4</v>
      </c>
      <c r="V687" s="8">
        <f t="shared" si="96"/>
        <v>0</v>
      </c>
      <c r="W687" s="14">
        <f t="shared" si="97"/>
        <v>1714.6445295000001</v>
      </c>
      <c r="X687" s="4">
        <f t="shared" si="98"/>
        <v>0</v>
      </c>
    </row>
    <row r="688" spans="1:24" ht="14.25" customHeight="1" x14ac:dyDescent="0.2">
      <c r="A688" s="5" t="s">
        <v>1017</v>
      </c>
      <c r="B688" s="3" t="s">
        <v>14</v>
      </c>
      <c r="C688" s="3" t="s">
        <v>35</v>
      </c>
      <c r="D688" s="3" t="s">
        <v>2369</v>
      </c>
      <c r="E688" s="3" t="s">
        <v>2365</v>
      </c>
      <c r="F688" s="3" t="s">
        <v>396</v>
      </c>
      <c r="G688" s="3" t="s">
        <v>27</v>
      </c>
      <c r="H688" s="3" t="s">
        <v>19</v>
      </c>
      <c r="I688" s="3">
        <v>17582</v>
      </c>
      <c r="J688" s="3">
        <v>0</v>
      </c>
      <c r="K688" s="3">
        <v>9848</v>
      </c>
      <c r="L688" s="3">
        <v>16558</v>
      </c>
      <c r="M688" s="3">
        <v>8</v>
      </c>
      <c r="N688" s="14">
        <v>6846.4479149999997</v>
      </c>
      <c r="O688" s="7">
        <f t="shared" si="90"/>
        <v>0</v>
      </c>
      <c r="P688" s="14">
        <f t="shared" si="91"/>
        <v>0</v>
      </c>
      <c r="Q688" s="14">
        <f t="shared" si="92"/>
        <v>855.80598937499997</v>
      </c>
      <c r="R688" s="4">
        <f t="shared" si="93"/>
        <v>0</v>
      </c>
      <c r="S688" s="14">
        <f t="shared" si="94"/>
        <v>413.48278264283124</v>
      </c>
      <c r="T688" s="4">
        <f t="shared" si="95"/>
        <v>56.011830280969178</v>
      </c>
      <c r="U688" s="3">
        <f>LEN(A688) - LEN(SUBSTITUTE(A688,"&gt;","")) +1</f>
        <v>4</v>
      </c>
      <c r="V688" s="8">
        <f t="shared" si="96"/>
        <v>0</v>
      </c>
      <c r="W688" s="14">
        <f t="shared" si="97"/>
        <v>1711.6119787499999</v>
      </c>
      <c r="X688" s="4">
        <f t="shared" si="98"/>
        <v>0</v>
      </c>
    </row>
    <row r="689" spans="1:24" ht="14.25" customHeight="1" x14ac:dyDescent="0.2">
      <c r="A689" s="5" t="s">
        <v>2068</v>
      </c>
      <c r="B689" s="3" t="s">
        <v>24</v>
      </c>
      <c r="C689" s="3" t="s">
        <v>35</v>
      </c>
      <c r="D689" s="3" t="s">
        <v>2349</v>
      </c>
      <c r="E689" s="3" t="s">
        <v>2350</v>
      </c>
      <c r="F689" s="3" t="s">
        <v>618</v>
      </c>
      <c r="G689" s="3" t="s">
        <v>41</v>
      </c>
      <c r="H689" s="3" t="s">
        <v>114</v>
      </c>
      <c r="I689" s="3">
        <v>25206</v>
      </c>
      <c r="J689" s="3">
        <v>0</v>
      </c>
      <c r="K689" s="3">
        <v>3588</v>
      </c>
      <c r="L689" s="3">
        <v>23556</v>
      </c>
      <c r="M689" s="3">
        <v>19</v>
      </c>
      <c r="N689" s="14">
        <v>6846.3564340000003</v>
      </c>
      <c r="O689" s="7">
        <f t="shared" si="90"/>
        <v>0</v>
      </c>
      <c r="P689" s="14">
        <f t="shared" si="91"/>
        <v>0</v>
      </c>
      <c r="Q689" s="14">
        <f t="shared" si="92"/>
        <v>360.33454915789474</v>
      </c>
      <c r="R689" s="4">
        <f t="shared" si="93"/>
        <v>0</v>
      </c>
      <c r="S689" s="14">
        <f t="shared" si="94"/>
        <v>290.64172329767365</v>
      </c>
      <c r="T689" s="4">
        <f t="shared" si="95"/>
        <v>14.234706022375626</v>
      </c>
      <c r="U689" s="3">
        <f>LEN(A689) - LEN(SUBSTITUTE(A689,"&gt;","")) +1</f>
        <v>5</v>
      </c>
      <c r="V689" s="8">
        <f t="shared" si="96"/>
        <v>0</v>
      </c>
      <c r="W689" s="14">
        <f t="shared" si="97"/>
        <v>1369.2712868000001</v>
      </c>
      <c r="X689" s="4">
        <f t="shared" si="98"/>
        <v>0</v>
      </c>
    </row>
    <row r="690" spans="1:24" ht="14.25" customHeight="1" x14ac:dyDescent="0.2">
      <c r="A690" s="5" t="s">
        <v>1019</v>
      </c>
      <c r="B690" s="3" t="s">
        <v>14</v>
      </c>
      <c r="C690" s="3" t="s">
        <v>35</v>
      </c>
      <c r="D690" s="3" t="s">
        <v>2367</v>
      </c>
      <c r="E690" s="3" t="s">
        <v>2352</v>
      </c>
      <c r="F690" s="3" t="s">
        <v>1020</v>
      </c>
      <c r="G690" s="3" t="s">
        <v>27</v>
      </c>
      <c r="H690" s="3" t="s">
        <v>19</v>
      </c>
      <c r="I690" s="3">
        <v>130</v>
      </c>
      <c r="J690" s="3">
        <v>0</v>
      </c>
      <c r="K690" s="3">
        <v>72</v>
      </c>
      <c r="L690" s="3">
        <v>120</v>
      </c>
      <c r="M690" s="3">
        <v>23</v>
      </c>
      <c r="N690" s="14">
        <v>6833.6958089999998</v>
      </c>
      <c r="O690" s="7">
        <f t="shared" si="90"/>
        <v>0</v>
      </c>
      <c r="P690" s="14">
        <f t="shared" si="91"/>
        <v>0</v>
      </c>
      <c r="Q690" s="14">
        <f t="shared" si="92"/>
        <v>297.11720908695651</v>
      </c>
      <c r="R690" s="4">
        <f t="shared" si="93"/>
        <v>0</v>
      </c>
      <c r="S690" s="14">
        <f t="shared" si="94"/>
        <v>56947.465075</v>
      </c>
      <c r="T690" s="4">
        <f t="shared" si="95"/>
        <v>55.384615384615387</v>
      </c>
      <c r="U690" s="3">
        <f>LEN(A690) - LEN(SUBSTITUTE(A690,"&gt;","")) +1</f>
        <v>4</v>
      </c>
      <c r="V690" s="8">
        <f t="shared" si="96"/>
        <v>0</v>
      </c>
      <c r="W690" s="14">
        <f t="shared" si="97"/>
        <v>1708.42395225</v>
      </c>
      <c r="X690" s="4">
        <f t="shared" si="98"/>
        <v>0</v>
      </c>
    </row>
    <row r="691" spans="1:24" ht="14.25" customHeight="1" x14ac:dyDescent="0.2">
      <c r="A691" s="5" t="s">
        <v>1021</v>
      </c>
      <c r="B691" s="3" t="s">
        <v>24</v>
      </c>
      <c r="C691" s="3" t="s">
        <v>15</v>
      </c>
      <c r="D691" s="3" t="s">
        <v>2363</v>
      </c>
      <c r="E691" s="3" t="s">
        <v>2358</v>
      </c>
      <c r="F691" s="3" t="s">
        <v>1022</v>
      </c>
      <c r="G691" s="3" t="s">
        <v>27</v>
      </c>
      <c r="H691" s="3" t="s">
        <v>114</v>
      </c>
      <c r="I691" s="3">
        <v>432</v>
      </c>
      <c r="J691" s="3">
        <v>0</v>
      </c>
      <c r="K691" s="3">
        <v>76</v>
      </c>
      <c r="L691" s="3">
        <v>418</v>
      </c>
      <c r="M691" s="3">
        <v>18</v>
      </c>
      <c r="N691" s="14">
        <v>6820.5437169999996</v>
      </c>
      <c r="O691" s="7">
        <f t="shared" si="90"/>
        <v>0</v>
      </c>
      <c r="P691" s="14">
        <f t="shared" si="91"/>
        <v>0</v>
      </c>
      <c r="Q691" s="14">
        <f t="shared" si="92"/>
        <v>378.91909538888888</v>
      </c>
      <c r="R691" s="4">
        <f t="shared" si="93"/>
        <v>0</v>
      </c>
      <c r="S691" s="14">
        <f t="shared" si="94"/>
        <v>16317.090232057413</v>
      </c>
      <c r="T691" s="4">
        <f t="shared" si="95"/>
        <v>17.592592592592592</v>
      </c>
      <c r="U691" s="3">
        <f>LEN(A691) - LEN(SUBSTITUTE(A691,"&gt;","")) +1</f>
        <v>4</v>
      </c>
      <c r="V691" s="8">
        <f t="shared" si="96"/>
        <v>0</v>
      </c>
      <c r="W691" s="14">
        <f t="shared" si="97"/>
        <v>1705.1359292499999</v>
      </c>
      <c r="X691" s="4">
        <f t="shared" si="98"/>
        <v>0</v>
      </c>
    </row>
    <row r="692" spans="1:24" ht="14.25" customHeight="1" x14ac:dyDescent="0.2">
      <c r="A692" s="5" t="s">
        <v>1023</v>
      </c>
      <c r="B692" s="3" t="s">
        <v>14</v>
      </c>
      <c r="C692" s="3" t="s">
        <v>29</v>
      </c>
      <c r="D692" s="3" t="s">
        <v>2357</v>
      </c>
      <c r="E692" s="3" t="s">
        <v>2358</v>
      </c>
      <c r="F692" s="3" t="s">
        <v>1024</v>
      </c>
      <c r="G692" s="3" t="s">
        <v>27</v>
      </c>
      <c r="H692" s="3" t="s">
        <v>19</v>
      </c>
      <c r="I692" s="3">
        <v>2788</v>
      </c>
      <c r="J692" s="3">
        <v>0</v>
      </c>
      <c r="K692" s="3">
        <v>1589</v>
      </c>
      <c r="L692" s="3">
        <v>2608</v>
      </c>
      <c r="M692" s="3">
        <v>2</v>
      </c>
      <c r="N692" s="14">
        <v>6815.8387069999999</v>
      </c>
      <c r="O692" s="7">
        <f t="shared" si="90"/>
        <v>0</v>
      </c>
      <c r="P692" s="14">
        <f t="shared" si="91"/>
        <v>0</v>
      </c>
      <c r="Q692" s="14">
        <f t="shared" si="92"/>
        <v>3407.9193534999999</v>
      </c>
      <c r="R692" s="4">
        <f t="shared" si="93"/>
        <v>0</v>
      </c>
      <c r="S692" s="14">
        <f t="shared" si="94"/>
        <v>2613.4350870398771</v>
      </c>
      <c r="T692" s="4">
        <f t="shared" si="95"/>
        <v>56.994261119081777</v>
      </c>
      <c r="U692" s="3">
        <f>LEN(A692) - LEN(SUBSTITUTE(A692,"&gt;","")) +1</f>
        <v>4</v>
      </c>
      <c r="V692" s="8">
        <f t="shared" si="96"/>
        <v>0</v>
      </c>
      <c r="W692" s="14">
        <f t="shared" si="97"/>
        <v>1703.95967675</v>
      </c>
      <c r="X692" s="4">
        <f t="shared" si="98"/>
        <v>0</v>
      </c>
    </row>
    <row r="693" spans="1:24" ht="14.25" customHeight="1" x14ac:dyDescent="0.2">
      <c r="A693" s="5" t="s">
        <v>2069</v>
      </c>
      <c r="B693" s="3" t="s">
        <v>24</v>
      </c>
      <c r="C693" s="3" t="s">
        <v>29</v>
      </c>
      <c r="D693" s="3" t="s">
        <v>2353</v>
      </c>
      <c r="E693" s="3" t="s">
        <v>2354</v>
      </c>
      <c r="F693" s="3" t="s">
        <v>72</v>
      </c>
      <c r="G693" s="3" t="s">
        <v>38</v>
      </c>
      <c r="H693" s="3" t="s">
        <v>163</v>
      </c>
      <c r="I693" s="3">
        <v>27592</v>
      </c>
      <c r="J693" s="3">
        <v>0</v>
      </c>
      <c r="K693" s="3">
        <v>10901</v>
      </c>
      <c r="L693" s="3">
        <v>24980</v>
      </c>
      <c r="M693" s="3">
        <v>17</v>
      </c>
      <c r="N693" s="14">
        <v>6809.3560219999999</v>
      </c>
      <c r="O693" s="7">
        <f t="shared" si="90"/>
        <v>0</v>
      </c>
      <c r="P693" s="14">
        <f t="shared" si="91"/>
        <v>0</v>
      </c>
      <c r="Q693" s="14">
        <f t="shared" si="92"/>
        <v>400.55035423529409</v>
      </c>
      <c r="R693" s="4">
        <f t="shared" si="93"/>
        <v>0</v>
      </c>
      <c r="S693" s="14">
        <f t="shared" si="94"/>
        <v>272.59231473178539</v>
      </c>
      <c r="T693" s="4">
        <f t="shared" si="95"/>
        <v>39.507828356045231</v>
      </c>
      <c r="U693" s="3">
        <f>LEN(A693) - LEN(SUBSTITUTE(A693,"&gt;","")) +1</f>
        <v>5</v>
      </c>
      <c r="V693" s="8">
        <f t="shared" si="96"/>
        <v>0</v>
      </c>
      <c r="W693" s="14">
        <f t="shared" si="97"/>
        <v>1361.8712043999999</v>
      </c>
      <c r="X693" s="4">
        <f t="shared" si="98"/>
        <v>0</v>
      </c>
    </row>
    <row r="694" spans="1:24" ht="14.25" customHeight="1" x14ac:dyDescent="0.2">
      <c r="A694" s="5" t="s">
        <v>2070</v>
      </c>
      <c r="B694" s="3" t="s">
        <v>24</v>
      </c>
      <c r="C694" s="3" t="s">
        <v>29</v>
      </c>
      <c r="D694" s="3" t="s">
        <v>2353</v>
      </c>
      <c r="E694" s="3" t="s">
        <v>2354</v>
      </c>
      <c r="F694" s="3" t="s">
        <v>437</v>
      </c>
      <c r="G694" s="3" t="s">
        <v>27</v>
      </c>
      <c r="H694" s="3" t="s">
        <v>114</v>
      </c>
      <c r="I694" s="3">
        <v>24962</v>
      </c>
      <c r="J694" s="3">
        <v>0</v>
      </c>
      <c r="K694" s="3">
        <v>18450</v>
      </c>
      <c r="L694" s="3">
        <v>24128</v>
      </c>
      <c r="M694" s="3">
        <v>16</v>
      </c>
      <c r="N694" s="14">
        <v>6809.0560509999996</v>
      </c>
      <c r="O694" s="7">
        <f t="shared" si="90"/>
        <v>0</v>
      </c>
      <c r="P694" s="14">
        <f t="shared" si="91"/>
        <v>0</v>
      </c>
      <c r="Q694" s="14">
        <f t="shared" si="92"/>
        <v>425.56600318749997</v>
      </c>
      <c r="R694" s="4">
        <f t="shared" si="93"/>
        <v>0</v>
      </c>
      <c r="S694" s="14">
        <f t="shared" si="94"/>
        <v>282.20557240550397</v>
      </c>
      <c r="T694" s="4">
        <f t="shared" si="95"/>
        <v>73.912346767085964</v>
      </c>
      <c r="U694" s="3">
        <f>LEN(A694) - LEN(SUBSTITUTE(A694,"&gt;","")) +1</f>
        <v>5</v>
      </c>
      <c r="V694" s="8">
        <f t="shared" si="96"/>
        <v>0</v>
      </c>
      <c r="W694" s="14">
        <f t="shared" si="97"/>
        <v>1361.8112102</v>
      </c>
      <c r="X694" s="4">
        <f t="shared" si="98"/>
        <v>0</v>
      </c>
    </row>
    <row r="695" spans="1:24" ht="14.25" customHeight="1" x14ac:dyDescent="0.2">
      <c r="A695" s="5" t="s">
        <v>2071</v>
      </c>
      <c r="B695" s="3" t="s">
        <v>24</v>
      </c>
      <c r="C695" s="3" t="s">
        <v>15</v>
      </c>
      <c r="D695" s="3" t="s">
        <v>2349</v>
      </c>
      <c r="E695" s="3" t="s">
        <v>2350</v>
      </c>
      <c r="F695" s="3" t="s">
        <v>1028</v>
      </c>
      <c r="G695" s="3" t="s">
        <v>58</v>
      </c>
      <c r="H695" s="3" t="s">
        <v>19</v>
      </c>
      <c r="I695" s="3">
        <v>6199</v>
      </c>
      <c r="J695" s="3">
        <v>0</v>
      </c>
      <c r="K695" s="3">
        <v>1690</v>
      </c>
      <c r="L695" s="3">
        <v>3865</v>
      </c>
      <c r="M695" s="3">
        <v>3</v>
      </c>
      <c r="N695" s="14">
        <v>6752.687465</v>
      </c>
      <c r="O695" s="7">
        <f t="shared" si="90"/>
        <v>0</v>
      </c>
      <c r="P695" s="14">
        <f t="shared" si="91"/>
        <v>0</v>
      </c>
      <c r="Q695" s="14">
        <f t="shared" si="92"/>
        <v>2250.8958216666665</v>
      </c>
      <c r="R695" s="4">
        <f t="shared" si="93"/>
        <v>0</v>
      </c>
      <c r="S695" s="14">
        <f t="shared" si="94"/>
        <v>1747.137765847348</v>
      </c>
      <c r="T695" s="4">
        <f t="shared" si="95"/>
        <v>27.262461687368933</v>
      </c>
      <c r="U695" s="3">
        <f>LEN(A695) - LEN(SUBSTITUTE(A695,"&gt;","")) +1</f>
        <v>5</v>
      </c>
      <c r="V695" s="8">
        <f t="shared" si="96"/>
        <v>0</v>
      </c>
      <c r="W695" s="14">
        <f t="shared" si="97"/>
        <v>1350.537493</v>
      </c>
      <c r="X695" s="4">
        <f t="shared" si="98"/>
        <v>0</v>
      </c>
    </row>
    <row r="696" spans="1:24" ht="14.25" customHeight="1" x14ac:dyDescent="0.2">
      <c r="A696" s="5" t="s">
        <v>1029</v>
      </c>
      <c r="B696" s="3" t="s">
        <v>68</v>
      </c>
      <c r="C696" s="3" t="s">
        <v>15</v>
      </c>
      <c r="D696" s="3" t="s">
        <v>2353</v>
      </c>
      <c r="E696" s="3" t="s">
        <v>2354</v>
      </c>
      <c r="F696" s="3" t="s">
        <v>1030</v>
      </c>
      <c r="G696" s="3" t="s">
        <v>27</v>
      </c>
      <c r="H696" s="3" t="s">
        <v>19</v>
      </c>
      <c r="I696" s="3">
        <v>1017</v>
      </c>
      <c r="J696" s="3">
        <v>0</v>
      </c>
      <c r="K696" s="3">
        <v>262</v>
      </c>
      <c r="L696" s="3">
        <v>643</v>
      </c>
      <c r="M696" s="3">
        <v>3</v>
      </c>
      <c r="N696" s="14">
        <v>6750.5438130000002</v>
      </c>
      <c r="O696" s="7">
        <f t="shared" si="90"/>
        <v>0</v>
      </c>
      <c r="P696" s="14">
        <f t="shared" si="91"/>
        <v>0</v>
      </c>
      <c r="Q696" s="14">
        <f t="shared" si="92"/>
        <v>2250.1812709999999</v>
      </c>
      <c r="R696" s="4">
        <f t="shared" si="93"/>
        <v>0</v>
      </c>
      <c r="S696" s="14">
        <f t="shared" si="94"/>
        <v>10498.512928460343</v>
      </c>
      <c r="T696" s="4">
        <f t="shared" si="95"/>
        <v>25.762045231071777</v>
      </c>
      <c r="U696" s="3">
        <f>LEN(A696) - LEN(SUBSTITUTE(A696,"&gt;","")) +1</f>
        <v>4</v>
      </c>
      <c r="V696" s="8">
        <f t="shared" si="96"/>
        <v>0</v>
      </c>
      <c r="W696" s="14">
        <f t="shared" si="97"/>
        <v>1687.6359532500001</v>
      </c>
      <c r="X696" s="4">
        <f t="shared" si="98"/>
        <v>0</v>
      </c>
    </row>
    <row r="697" spans="1:24" ht="14.25" customHeight="1" x14ac:dyDescent="0.2">
      <c r="A697" s="5" t="s">
        <v>1031</v>
      </c>
      <c r="B697" s="3" t="s">
        <v>24</v>
      </c>
      <c r="C697" s="3" t="s">
        <v>35</v>
      </c>
      <c r="D697" s="3" t="s">
        <v>2359</v>
      </c>
      <c r="E697" s="3" t="s">
        <v>2360</v>
      </c>
      <c r="F697" s="3" t="s">
        <v>1032</v>
      </c>
      <c r="G697" s="3" t="s">
        <v>38</v>
      </c>
      <c r="H697" s="3" t="s">
        <v>19</v>
      </c>
      <c r="I697" s="3">
        <v>1404</v>
      </c>
      <c r="J697" s="3">
        <v>0</v>
      </c>
      <c r="K697" s="3">
        <v>706</v>
      </c>
      <c r="L697" s="3">
        <v>1290</v>
      </c>
      <c r="M697" s="3">
        <v>9</v>
      </c>
      <c r="N697" s="14">
        <v>6740.4845230000001</v>
      </c>
      <c r="O697" s="7">
        <f t="shared" si="90"/>
        <v>0</v>
      </c>
      <c r="P697" s="14">
        <f t="shared" si="91"/>
        <v>0</v>
      </c>
      <c r="Q697" s="14">
        <f t="shared" si="92"/>
        <v>748.94272477777781</v>
      </c>
      <c r="R697" s="4">
        <f t="shared" si="93"/>
        <v>0</v>
      </c>
      <c r="S697" s="14">
        <f t="shared" si="94"/>
        <v>5225.1818007751936</v>
      </c>
      <c r="T697" s="4">
        <f t="shared" si="95"/>
        <v>50.284900284900282</v>
      </c>
      <c r="U697" s="3">
        <f>LEN(A697) - LEN(SUBSTITUTE(A697,"&gt;","")) +1</f>
        <v>4</v>
      </c>
      <c r="V697" s="8">
        <f t="shared" si="96"/>
        <v>0</v>
      </c>
      <c r="W697" s="14">
        <f t="shared" si="97"/>
        <v>1685.12113075</v>
      </c>
      <c r="X697" s="4">
        <f t="shared" si="98"/>
        <v>0</v>
      </c>
    </row>
    <row r="698" spans="1:24" ht="14.25" customHeight="1" x14ac:dyDescent="0.2">
      <c r="A698" s="5" t="s">
        <v>1033</v>
      </c>
      <c r="B698" s="3" t="s">
        <v>24</v>
      </c>
      <c r="C698" s="3" t="s">
        <v>32</v>
      </c>
      <c r="D698" s="3" t="s">
        <v>2349</v>
      </c>
      <c r="E698" s="3" t="s">
        <v>2350</v>
      </c>
      <c r="F698" s="3" t="s">
        <v>269</v>
      </c>
      <c r="G698" s="3" t="s">
        <v>27</v>
      </c>
      <c r="H698" s="3" t="s">
        <v>19</v>
      </c>
      <c r="I698" s="3">
        <v>9404</v>
      </c>
      <c r="J698" s="3">
        <v>0</v>
      </c>
      <c r="K698" s="3">
        <v>4781</v>
      </c>
      <c r="L698" s="3">
        <v>7943</v>
      </c>
      <c r="M698" s="3">
        <v>1</v>
      </c>
      <c r="N698" s="14">
        <v>6730.0562829999999</v>
      </c>
      <c r="O698" s="7">
        <f t="shared" si="90"/>
        <v>0</v>
      </c>
      <c r="P698" s="14">
        <f t="shared" si="91"/>
        <v>0</v>
      </c>
      <c r="Q698" s="14">
        <f t="shared" si="92"/>
        <v>6730.0562829999999</v>
      </c>
      <c r="R698" s="4">
        <f t="shared" si="93"/>
        <v>0</v>
      </c>
      <c r="S698" s="14">
        <f t="shared" si="94"/>
        <v>847.2940051617777</v>
      </c>
      <c r="T698" s="4">
        <f t="shared" si="95"/>
        <v>50.840068056146329</v>
      </c>
      <c r="U698" s="3">
        <f>LEN(A698) - LEN(SUBSTITUTE(A698,"&gt;","")) +1</f>
        <v>4</v>
      </c>
      <c r="V698" s="8">
        <f t="shared" si="96"/>
        <v>0</v>
      </c>
      <c r="W698" s="14">
        <f t="shared" si="97"/>
        <v>1682.51407075</v>
      </c>
      <c r="X698" s="4">
        <f t="shared" si="98"/>
        <v>0</v>
      </c>
    </row>
    <row r="699" spans="1:24" ht="14.25" customHeight="1" x14ac:dyDescent="0.2">
      <c r="A699" s="5" t="s">
        <v>1034</v>
      </c>
      <c r="B699" s="3" t="s">
        <v>14</v>
      </c>
      <c r="C699" s="3" t="s">
        <v>35</v>
      </c>
      <c r="D699" s="3" t="s">
        <v>2353</v>
      </c>
      <c r="E699" s="3" t="s">
        <v>2354</v>
      </c>
      <c r="F699" s="3" t="s">
        <v>347</v>
      </c>
      <c r="G699" s="3" t="s">
        <v>58</v>
      </c>
      <c r="H699" s="3" t="s">
        <v>19</v>
      </c>
      <c r="I699" s="3">
        <v>2339</v>
      </c>
      <c r="J699" s="3">
        <v>0</v>
      </c>
      <c r="K699" s="3">
        <v>1087</v>
      </c>
      <c r="L699" s="3">
        <v>1510</v>
      </c>
      <c r="M699" s="3">
        <v>2</v>
      </c>
      <c r="N699" s="14">
        <v>6730.0000040000004</v>
      </c>
      <c r="O699" s="7">
        <f t="shared" si="90"/>
        <v>0</v>
      </c>
      <c r="P699" s="14">
        <f t="shared" si="91"/>
        <v>0</v>
      </c>
      <c r="Q699" s="14">
        <f t="shared" si="92"/>
        <v>3365.0000020000002</v>
      </c>
      <c r="R699" s="4">
        <f t="shared" si="93"/>
        <v>0</v>
      </c>
      <c r="S699" s="14">
        <f t="shared" si="94"/>
        <v>4456.9536450331125</v>
      </c>
      <c r="T699" s="4">
        <f t="shared" si="95"/>
        <v>46.472851646002567</v>
      </c>
      <c r="U699" s="3">
        <f>LEN(A699) - LEN(SUBSTITUTE(A699,"&gt;","")) +1</f>
        <v>4</v>
      </c>
      <c r="V699" s="8">
        <f t="shared" si="96"/>
        <v>0</v>
      </c>
      <c r="W699" s="14">
        <f t="shared" si="97"/>
        <v>1682.5000010000001</v>
      </c>
      <c r="X699" s="4">
        <f t="shared" si="98"/>
        <v>0</v>
      </c>
    </row>
    <row r="700" spans="1:24" ht="14.25" customHeight="1" x14ac:dyDescent="0.2">
      <c r="A700" s="5" t="s">
        <v>2072</v>
      </c>
      <c r="B700" s="3" t="s">
        <v>24</v>
      </c>
      <c r="C700" s="3" t="s">
        <v>29</v>
      </c>
      <c r="D700" s="3" t="s">
        <v>2370</v>
      </c>
      <c r="E700" s="3" t="s">
        <v>2360</v>
      </c>
      <c r="F700" s="3" t="s">
        <v>529</v>
      </c>
      <c r="G700" s="3" t="s">
        <v>27</v>
      </c>
      <c r="H700" s="3" t="s">
        <v>163</v>
      </c>
      <c r="I700" s="3">
        <v>7695</v>
      </c>
      <c r="J700" s="3">
        <v>0</v>
      </c>
      <c r="K700" s="3">
        <v>3481</v>
      </c>
      <c r="L700" s="3">
        <v>7050</v>
      </c>
      <c r="M700" s="3">
        <v>14</v>
      </c>
      <c r="N700" s="14">
        <v>6727.4404990000003</v>
      </c>
      <c r="O700" s="7">
        <f t="shared" si="90"/>
        <v>0</v>
      </c>
      <c r="P700" s="14">
        <f t="shared" si="91"/>
        <v>0</v>
      </c>
      <c r="Q700" s="14">
        <f t="shared" si="92"/>
        <v>480.53146421428573</v>
      </c>
      <c r="R700" s="4">
        <f t="shared" si="93"/>
        <v>0</v>
      </c>
      <c r="S700" s="14">
        <f t="shared" si="94"/>
        <v>954.24687929078027</v>
      </c>
      <c r="T700" s="4">
        <f t="shared" si="95"/>
        <v>45.237166991552954</v>
      </c>
      <c r="U700" s="3">
        <f>LEN(A700) - LEN(SUBSTITUTE(A700,"&gt;","")) +1</f>
        <v>5</v>
      </c>
      <c r="V700" s="8">
        <f t="shared" si="96"/>
        <v>0</v>
      </c>
      <c r="W700" s="14">
        <f t="shared" si="97"/>
        <v>1345.4880998000001</v>
      </c>
      <c r="X700" s="4">
        <f t="shared" si="98"/>
        <v>0</v>
      </c>
    </row>
    <row r="701" spans="1:24" ht="14.25" customHeight="1" x14ac:dyDescent="0.2">
      <c r="A701" s="5" t="s">
        <v>2073</v>
      </c>
      <c r="B701" s="3" t="s">
        <v>68</v>
      </c>
      <c r="C701" s="3" t="s">
        <v>15</v>
      </c>
      <c r="D701" s="3" t="s">
        <v>2357</v>
      </c>
      <c r="E701" s="3" t="s">
        <v>2358</v>
      </c>
      <c r="F701" s="3" t="s">
        <v>1037</v>
      </c>
      <c r="G701" s="3" t="s">
        <v>27</v>
      </c>
      <c r="H701" s="3" t="s">
        <v>19</v>
      </c>
      <c r="I701" s="3">
        <v>389</v>
      </c>
      <c r="J701" s="3">
        <v>0</v>
      </c>
      <c r="K701" s="3">
        <v>294</v>
      </c>
      <c r="L701" s="3">
        <v>346</v>
      </c>
      <c r="M701" s="3">
        <v>2</v>
      </c>
      <c r="N701" s="14">
        <v>6699.4753099999998</v>
      </c>
      <c r="O701" s="7">
        <f t="shared" si="90"/>
        <v>0</v>
      </c>
      <c r="P701" s="14">
        <f t="shared" si="91"/>
        <v>0</v>
      </c>
      <c r="Q701" s="14">
        <f t="shared" si="92"/>
        <v>3349.7376549999999</v>
      </c>
      <c r="R701" s="4">
        <f t="shared" si="93"/>
        <v>0</v>
      </c>
      <c r="S701" s="14">
        <f t="shared" si="94"/>
        <v>19362.645404624276</v>
      </c>
      <c r="T701" s="4">
        <f t="shared" si="95"/>
        <v>75.578406169665811</v>
      </c>
      <c r="U701" s="3">
        <f>LEN(A701) - LEN(SUBSTITUTE(A701,"&gt;","")) +1</f>
        <v>5</v>
      </c>
      <c r="V701" s="8">
        <f t="shared" si="96"/>
        <v>0</v>
      </c>
      <c r="W701" s="14">
        <f t="shared" si="97"/>
        <v>1339.8950620000001</v>
      </c>
      <c r="X701" s="4">
        <f t="shared" si="98"/>
        <v>0</v>
      </c>
    </row>
    <row r="702" spans="1:24" ht="14.25" customHeight="1" x14ac:dyDescent="0.2">
      <c r="A702" s="5" t="s">
        <v>1038</v>
      </c>
      <c r="B702" s="3" t="s">
        <v>24</v>
      </c>
      <c r="C702" s="3" t="s">
        <v>35</v>
      </c>
      <c r="D702" s="3" t="s">
        <v>2353</v>
      </c>
      <c r="E702" s="3" t="s">
        <v>2354</v>
      </c>
      <c r="F702" s="3" t="s">
        <v>239</v>
      </c>
      <c r="G702" s="3" t="s">
        <v>64</v>
      </c>
      <c r="H702" s="3" t="s">
        <v>114</v>
      </c>
      <c r="I702" s="3">
        <v>293</v>
      </c>
      <c r="J702" s="3">
        <v>0</v>
      </c>
      <c r="K702" s="3">
        <v>80</v>
      </c>
      <c r="L702" s="3">
        <v>239</v>
      </c>
      <c r="M702" s="3">
        <v>13</v>
      </c>
      <c r="N702" s="14">
        <v>6692.688416</v>
      </c>
      <c r="O702" s="7">
        <f t="shared" si="90"/>
        <v>0</v>
      </c>
      <c r="P702" s="14">
        <f t="shared" si="91"/>
        <v>0</v>
      </c>
      <c r="Q702" s="14">
        <f t="shared" si="92"/>
        <v>514.82218584615384</v>
      </c>
      <c r="R702" s="4">
        <f t="shared" si="93"/>
        <v>0</v>
      </c>
      <c r="S702" s="14">
        <f t="shared" si="94"/>
        <v>28002.880401673639</v>
      </c>
      <c r="T702" s="4">
        <f t="shared" si="95"/>
        <v>27.303754266211605</v>
      </c>
      <c r="U702" s="3">
        <f>LEN(A702) - LEN(SUBSTITUTE(A702,"&gt;","")) +1</f>
        <v>4</v>
      </c>
      <c r="V702" s="8">
        <f t="shared" si="96"/>
        <v>0</v>
      </c>
      <c r="W702" s="14">
        <f t="shared" si="97"/>
        <v>1673.172104</v>
      </c>
      <c r="X702" s="4">
        <f t="shared" si="98"/>
        <v>0</v>
      </c>
    </row>
    <row r="703" spans="1:24" ht="14.25" customHeight="1" x14ac:dyDescent="0.2">
      <c r="A703" s="5" t="s">
        <v>1039</v>
      </c>
      <c r="B703" s="3" t="s">
        <v>24</v>
      </c>
      <c r="C703" s="3" t="s">
        <v>32</v>
      </c>
      <c r="D703" s="3" t="s">
        <v>2362</v>
      </c>
      <c r="E703" s="3" t="s">
        <v>2352</v>
      </c>
      <c r="F703" s="3" t="s">
        <v>1040</v>
      </c>
      <c r="G703" s="3" t="s">
        <v>58</v>
      </c>
      <c r="H703" s="3" t="s">
        <v>19</v>
      </c>
      <c r="I703" s="3">
        <v>4533</v>
      </c>
      <c r="J703" s="3">
        <v>0</v>
      </c>
      <c r="K703" s="3">
        <v>3838</v>
      </c>
      <c r="L703" s="3">
        <v>4255</v>
      </c>
      <c r="M703" s="3">
        <v>3</v>
      </c>
      <c r="N703" s="14">
        <v>6686.988128</v>
      </c>
      <c r="O703" s="7">
        <f t="shared" si="90"/>
        <v>0</v>
      </c>
      <c r="P703" s="14">
        <f t="shared" si="91"/>
        <v>0</v>
      </c>
      <c r="Q703" s="14">
        <f t="shared" si="92"/>
        <v>2228.9960426666667</v>
      </c>
      <c r="R703" s="4">
        <f t="shared" si="93"/>
        <v>0</v>
      </c>
      <c r="S703" s="14">
        <f t="shared" si="94"/>
        <v>1571.5600770857814</v>
      </c>
      <c r="T703" s="4">
        <f t="shared" si="95"/>
        <v>84.667990293403932</v>
      </c>
      <c r="U703" s="3">
        <f>LEN(A703) - LEN(SUBSTITUTE(A703,"&gt;","")) +1</f>
        <v>4</v>
      </c>
      <c r="V703" s="8">
        <f t="shared" si="96"/>
        <v>0</v>
      </c>
      <c r="W703" s="14">
        <f t="shared" si="97"/>
        <v>1671.747032</v>
      </c>
      <c r="X703" s="4">
        <f t="shared" si="98"/>
        <v>0</v>
      </c>
    </row>
    <row r="704" spans="1:24" ht="14.25" customHeight="1" x14ac:dyDescent="0.2">
      <c r="A704" s="5" t="s">
        <v>2074</v>
      </c>
      <c r="B704" s="3" t="s">
        <v>24</v>
      </c>
      <c r="C704" s="3" t="s">
        <v>35</v>
      </c>
      <c r="D704" s="3" t="s">
        <v>2351</v>
      </c>
      <c r="E704" s="3" t="s">
        <v>2352</v>
      </c>
      <c r="F704" s="3" t="s">
        <v>1042</v>
      </c>
      <c r="G704" s="3" t="s">
        <v>38</v>
      </c>
      <c r="H704" s="3" t="s">
        <v>114</v>
      </c>
      <c r="I704" s="3">
        <v>353</v>
      </c>
      <c r="J704" s="3">
        <v>0</v>
      </c>
      <c r="K704" s="3">
        <v>108</v>
      </c>
      <c r="L704" s="3">
        <v>325</v>
      </c>
      <c r="M704" s="3">
        <v>13</v>
      </c>
      <c r="N704" s="14">
        <v>6685.2857839999997</v>
      </c>
      <c r="O704" s="7">
        <f t="shared" si="90"/>
        <v>0</v>
      </c>
      <c r="P704" s="14">
        <f t="shared" si="91"/>
        <v>0</v>
      </c>
      <c r="Q704" s="14">
        <f t="shared" si="92"/>
        <v>514.25275261538457</v>
      </c>
      <c r="R704" s="4">
        <f t="shared" si="93"/>
        <v>0</v>
      </c>
      <c r="S704" s="14">
        <f t="shared" si="94"/>
        <v>20570.110104615385</v>
      </c>
      <c r="T704" s="4">
        <f t="shared" si="95"/>
        <v>30.594900849858359</v>
      </c>
      <c r="U704" s="3">
        <f>LEN(A704) - LEN(SUBSTITUTE(A704,"&gt;","")) +1</f>
        <v>5</v>
      </c>
      <c r="V704" s="8">
        <f t="shared" si="96"/>
        <v>0</v>
      </c>
      <c r="W704" s="14">
        <f t="shared" si="97"/>
        <v>1337.0571568</v>
      </c>
      <c r="X704" s="4">
        <f t="shared" si="98"/>
        <v>0</v>
      </c>
    </row>
    <row r="705" spans="1:24" ht="14.25" customHeight="1" x14ac:dyDescent="0.2">
      <c r="A705" s="5" t="s">
        <v>1043</v>
      </c>
      <c r="B705" s="3" t="s">
        <v>24</v>
      </c>
      <c r="C705" s="3" t="s">
        <v>35</v>
      </c>
      <c r="D705" s="3" t="s">
        <v>2368</v>
      </c>
      <c r="E705" s="3" t="s">
        <v>2352</v>
      </c>
      <c r="F705" s="3" t="s">
        <v>1044</v>
      </c>
      <c r="G705" s="3" t="s">
        <v>27</v>
      </c>
      <c r="H705" s="3" t="s">
        <v>19</v>
      </c>
      <c r="I705" s="3">
        <v>7628</v>
      </c>
      <c r="J705" s="3">
        <v>0</v>
      </c>
      <c r="K705" s="3">
        <v>5048</v>
      </c>
      <c r="L705" s="3">
        <v>7154</v>
      </c>
      <c r="M705" s="3">
        <v>1</v>
      </c>
      <c r="N705" s="14">
        <v>6684.0628040000001</v>
      </c>
      <c r="O705" s="7">
        <f t="shared" si="90"/>
        <v>0</v>
      </c>
      <c r="P705" s="14">
        <f t="shared" si="91"/>
        <v>0</v>
      </c>
      <c r="Q705" s="14">
        <f t="shared" si="92"/>
        <v>6684.0628040000001</v>
      </c>
      <c r="R705" s="4">
        <f t="shared" si="93"/>
        <v>0</v>
      </c>
      <c r="S705" s="14">
        <f t="shared" si="94"/>
        <v>934.31126698350579</v>
      </c>
      <c r="T705" s="4">
        <f t="shared" si="95"/>
        <v>66.177241740954372</v>
      </c>
      <c r="U705" s="3">
        <f>LEN(A705) - LEN(SUBSTITUTE(A705,"&gt;","")) +1</f>
        <v>4</v>
      </c>
      <c r="V705" s="8">
        <f t="shared" si="96"/>
        <v>0</v>
      </c>
      <c r="W705" s="14">
        <f t="shared" si="97"/>
        <v>1671.015701</v>
      </c>
      <c r="X705" s="4">
        <f t="shared" si="98"/>
        <v>0</v>
      </c>
    </row>
    <row r="706" spans="1:24" ht="14.25" customHeight="1" x14ac:dyDescent="0.2">
      <c r="A706" s="5" t="s">
        <v>2075</v>
      </c>
      <c r="B706" s="3" t="s">
        <v>68</v>
      </c>
      <c r="C706" s="3" t="s">
        <v>35</v>
      </c>
      <c r="D706" s="3" t="s">
        <v>2353</v>
      </c>
      <c r="E706" s="3" t="s">
        <v>2354</v>
      </c>
      <c r="F706" s="3" t="s">
        <v>554</v>
      </c>
      <c r="G706" s="3" t="s">
        <v>27</v>
      </c>
      <c r="H706" s="3" t="s">
        <v>19</v>
      </c>
      <c r="I706" s="3">
        <v>364</v>
      </c>
      <c r="J706" s="3">
        <v>0</v>
      </c>
      <c r="K706" s="3">
        <v>199</v>
      </c>
      <c r="L706" s="3">
        <v>321</v>
      </c>
      <c r="M706" s="3">
        <v>2</v>
      </c>
      <c r="N706" s="14">
        <v>6676.171472</v>
      </c>
      <c r="O706" s="7">
        <f t="shared" si="90"/>
        <v>0</v>
      </c>
      <c r="P706" s="14">
        <f t="shared" si="91"/>
        <v>0</v>
      </c>
      <c r="Q706" s="14">
        <f t="shared" si="92"/>
        <v>3338.085736</v>
      </c>
      <c r="R706" s="4">
        <f t="shared" si="93"/>
        <v>0</v>
      </c>
      <c r="S706" s="14">
        <f t="shared" si="94"/>
        <v>20798.041968847352</v>
      </c>
      <c r="T706" s="4">
        <f t="shared" si="95"/>
        <v>54.670329670329664</v>
      </c>
      <c r="U706" s="3">
        <f>LEN(A706) - LEN(SUBSTITUTE(A706,"&gt;","")) +1</f>
        <v>5</v>
      </c>
      <c r="V706" s="8">
        <f t="shared" si="96"/>
        <v>0</v>
      </c>
      <c r="W706" s="14">
        <f t="shared" si="97"/>
        <v>1335.2342944</v>
      </c>
      <c r="X706" s="4">
        <f t="shared" si="98"/>
        <v>0</v>
      </c>
    </row>
    <row r="707" spans="1:24" ht="14.25" customHeight="1" x14ac:dyDescent="0.2">
      <c r="A707" s="5" t="s">
        <v>2076</v>
      </c>
      <c r="B707" s="3" t="s">
        <v>14</v>
      </c>
      <c r="C707" s="3" t="s">
        <v>32</v>
      </c>
      <c r="D707" s="3" t="s">
        <v>2401</v>
      </c>
      <c r="E707" s="3" t="s">
        <v>2375</v>
      </c>
      <c r="F707" s="3" t="s">
        <v>72</v>
      </c>
      <c r="G707" s="3" t="s">
        <v>323</v>
      </c>
      <c r="H707" s="3" t="s">
        <v>19</v>
      </c>
      <c r="I707" s="3">
        <v>83957</v>
      </c>
      <c r="J707" s="3">
        <v>0</v>
      </c>
      <c r="K707" s="3">
        <v>1420</v>
      </c>
      <c r="L707" s="3">
        <v>69246</v>
      </c>
      <c r="M707" s="3">
        <v>4</v>
      </c>
      <c r="N707" s="14">
        <v>6651.51451</v>
      </c>
      <c r="O707" s="7">
        <f t="shared" ref="O707:O770" si="99">IFERROR((J707/I707)*100, 0)</f>
        <v>0</v>
      </c>
      <c r="P707" s="14">
        <f t="shared" ref="P707:P770" si="100">IFERROR(N707/J707, 0)</f>
        <v>0</v>
      </c>
      <c r="Q707" s="14">
        <f t="shared" ref="Q707:Q770" si="101">IFERROR(N707/M707, 0)</f>
        <v>1662.8786275</v>
      </c>
      <c r="R707" s="4">
        <f t="shared" ref="R707:R770" si="102">IFERROR((M707/J707)*100, 0)</f>
        <v>0</v>
      </c>
      <c r="S707" s="14">
        <f t="shared" ref="S707:S770" si="103">IFERROR((N707/L707)*1000, 0)</f>
        <v>96.056299425237569</v>
      </c>
      <c r="T707" s="4">
        <f t="shared" ref="T707:T770" si="104">(K707/I707)*100</f>
        <v>1.6913419964982075</v>
      </c>
      <c r="U707" s="3">
        <f>LEN(A707) - LEN(SUBSTITUTE(A707,"&gt;","")) +1</f>
        <v>5</v>
      </c>
      <c r="V707" s="8">
        <f t="shared" ref="V707:V770" si="105">R707/I707</f>
        <v>0</v>
      </c>
      <c r="W707" s="14">
        <f t="shared" ref="W707:W770" si="106">N707/U707</f>
        <v>1330.3029019999999</v>
      </c>
      <c r="X707" s="4">
        <f t="shared" ref="X707:X770" si="107">(O707*R707/Q707)</f>
        <v>0</v>
      </c>
    </row>
    <row r="708" spans="1:24" ht="14.25" customHeight="1" x14ac:dyDescent="0.2">
      <c r="A708" s="5" t="s">
        <v>2077</v>
      </c>
      <c r="B708" s="3" t="s">
        <v>24</v>
      </c>
      <c r="C708" s="3" t="s">
        <v>35</v>
      </c>
      <c r="D708" s="3" t="s">
        <v>2369</v>
      </c>
      <c r="E708" s="3" t="s">
        <v>2365</v>
      </c>
      <c r="F708" s="3" t="s">
        <v>149</v>
      </c>
      <c r="G708" s="3" t="s">
        <v>81</v>
      </c>
      <c r="H708" s="3" t="s">
        <v>114</v>
      </c>
      <c r="I708" s="3">
        <v>3046</v>
      </c>
      <c r="J708" s="3">
        <v>0</v>
      </c>
      <c r="K708" s="3">
        <v>2183</v>
      </c>
      <c r="L708" s="3">
        <v>2775</v>
      </c>
      <c r="M708" s="3">
        <v>13</v>
      </c>
      <c r="N708" s="14">
        <v>6643.9665420000001</v>
      </c>
      <c r="O708" s="7">
        <f t="shared" si="99"/>
        <v>0</v>
      </c>
      <c r="P708" s="14">
        <f t="shared" si="100"/>
        <v>0</v>
      </c>
      <c r="Q708" s="14">
        <f t="shared" si="101"/>
        <v>511.0743493846154</v>
      </c>
      <c r="R708" s="4">
        <f t="shared" si="102"/>
        <v>0</v>
      </c>
      <c r="S708" s="14">
        <f t="shared" si="103"/>
        <v>2394.2221772972975</v>
      </c>
      <c r="T708" s="4">
        <f t="shared" si="104"/>
        <v>71.667760998030204</v>
      </c>
      <c r="U708" s="3">
        <f>LEN(A708) - LEN(SUBSTITUTE(A708,"&gt;","")) +1</f>
        <v>5</v>
      </c>
      <c r="V708" s="8">
        <f t="shared" si="105"/>
        <v>0</v>
      </c>
      <c r="W708" s="14">
        <f t="shared" si="106"/>
        <v>1328.7933084000001</v>
      </c>
      <c r="X708" s="4">
        <f t="shared" si="107"/>
        <v>0</v>
      </c>
    </row>
    <row r="709" spans="1:24" ht="14.25" customHeight="1" x14ac:dyDescent="0.2">
      <c r="A709" s="5" t="s">
        <v>2078</v>
      </c>
      <c r="B709" s="3" t="s">
        <v>24</v>
      </c>
      <c r="C709" s="3" t="s">
        <v>15</v>
      </c>
      <c r="D709" s="3" t="s">
        <v>2363</v>
      </c>
      <c r="E709" s="3" t="s">
        <v>2358</v>
      </c>
      <c r="F709" s="3" t="s">
        <v>1049</v>
      </c>
      <c r="G709" s="3" t="s">
        <v>18</v>
      </c>
      <c r="H709" s="3" t="s">
        <v>19</v>
      </c>
      <c r="I709" s="3">
        <v>3865</v>
      </c>
      <c r="J709" s="3">
        <v>0</v>
      </c>
      <c r="K709" s="3">
        <v>2144</v>
      </c>
      <c r="L709" s="3">
        <v>3637</v>
      </c>
      <c r="M709" s="3">
        <v>3</v>
      </c>
      <c r="N709" s="14">
        <v>6622.1902419999997</v>
      </c>
      <c r="O709" s="7">
        <f t="shared" si="99"/>
        <v>0</v>
      </c>
      <c r="P709" s="14">
        <f t="shared" si="100"/>
        <v>0</v>
      </c>
      <c r="Q709" s="14">
        <f t="shared" si="101"/>
        <v>2207.3967473333332</v>
      </c>
      <c r="R709" s="4">
        <f t="shared" si="102"/>
        <v>0</v>
      </c>
      <c r="S709" s="14">
        <f t="shared" si="103"/>
        <v>1820.7836794061038</v>
      </c>
      <c r="T709" s="4">
        <f t="shared" si="104"/>
        <v>55.472186287192763</v>
      </c>
      <c r="U709" s="3">
        <f>LEN(A709) - LEN(SUBSTITUTE(A709,"&gt;","")) +1</f>
        <v>5</v>
      </c>
      <c r="V709" s="8">
        <f t="shared" si="105"/>
        <v>0</v>
      </c>
      <c r="W709" s="14">
        <f t="shared" si="106"/>
        <v>1324.4380483999998</v>
      </c>
      <c r="X709" s="4">
        <f t="shared" si="107"/>
        <v>0</v>
      </c>
    </row>
    <row r="710" spans="1:24" ht="14.25" customHeight="1" x14ac:dyDescent="0.2">
      <c r="A710" s="5" t="s">
        <v>1050</v>
      </c>
      <c r="B710" s="3" t="s">
        <v>14</v>
      </c>
      <c r="C710" s="3" t="s">
        <v>32</v>
      </c>
      <c r="D710" s="3" t="s">
        <v>2386</v>
      </c>
      <c r="E710" s="3" t="s">
        <v>2387</v>
      </c>
      <c r="F710" s="3" t="s">
        <v>891</v>
      </c>
      <c r="G710" s="3" t="s">
        <v>41</v>
      </c>
      <c r="H710" s="3" t="s">
        <v>19</v>
      </c>
      <c r="I710" s="3">
        <v>25</v>
      </c>
      <c r="J710" s="3">
        <v>0</v>
      </c>
      <c r="K710" s="3">
        <v>13</v>
      </c>
      <c r="L710" s="3">
        <v>24</v>
      </c>
      <c r="M710" s="3">
        <v>4</v>
      </c>
      <c r="N710" s="14">
        <v>6603.8708559999995</v>
      </c>
      <c r="O710" s="7">
        <f t="shared" si="99"/>
        <v>0</v>
      </c>
      <c r="P710" s="14">
        <f t="shared" si="100"/>
        <v>0</v>
      </c>
      <c r="Q710" s="14">
        <f t="shared" si="101"/>
        <v>1650.9677139999999</v>
      </c>
      <c r="R710" s="4">
        <f t="shared" si="102"/>
        <v>0</v>
      </c>
      <c r="S710" s="14">
        <f t="shared" si="103"/>
        <v>275161.28566666663</v>
      </c>
      <c r="T710" s="4">
        <f t="shared" si="104"/>
        <v>52</v>
      </c>
      <c r="U710" s="3">
        <f>LEN(A710) - LEN(SUBSTITUTE(A710,"&gt;","")) +1</f>
        <v>4</v>
      </c>
      <c r="V710" s="8">
        <f t="shared" si="105"/>
        <v>0</v>
      </c>
      <c r="W710" s="14">
        <f t="shared" si="106"/>
        <v>1650.9677139999999</v>
      </c>
      <c r="X710" s="4">
        <f t="shared" si="107"/>
        <v>0</v>
      </c>
    </row>
    <row r="711" spans="1:24" ht="14.25" customHeight="1" x14ac:dyDescent="0.2">
      <c r="A711" s="5" t="s">
        <v>2079</v>
      </c>
      <c r="B711" s="3" t="s">
        <v>14</v>
      </c>
      <c r="C711" s="3" t="s">
        <v>15</v>
      </c>
      <c r="D711" s="3" t="s">
        <v>2388</v>
      </c>
      <c r="E711" s="3" t="s">
        <v>2356</v>
      </c>
      <c r="F711" s="3" t="s">
        <v>1052</v>
      </c>
      <c r="G711" s="3" t="s">
        <v>22</v>
      </c>
      <c r="H711" s="3" t="s">
        <v>19</v>
      </c>
      <c r="I711" s="3">
        <v>7143</v>
      </c>
      <c r="J711" s="3">
        <v>0</v>
      </c>
      <c r="K711" s="3">
        <v>3470</v>
      </c>
      <c r="L711" s="3">
        <v>5926</v>
      </c>
      <c r="M711" s="3">
        <v>1</v>
      </c>
      <c r="N711" s="14">
        <v>6593.5110999999997</v>
      </c>
      <c r="O711" s="7">
        <f t="shared" si="99"/>
        <v>0</v>
      </c>
      <c r="P711" s="14">
        <f t="shared" si="100"/>
        <v>0</v>
      </c>
      <c r="Q711" s="14">
        <f t="shared" si="101"/>
        <v>6593.5110999999997</v>
      </c>
      <c r="R711" s="4">
        <f t="shared" si="102"/>
        <v>0</v>
      </c>
      <c r="S711" s="14">
        <f t="shared" si="103"/>
        <v>1112.6410901113734</v>
      </c>
      <c r="T711" s="4">
        <f t="shared" si="104"/>
        <v>48.579028419431616</v>
      </c>
      <c r="U711" s="3">
        <f>LEN(A711) - LEN(SUBSTITUTE(A711,"&gt;","")) +1</f>
        <v>5</v>
      </c>
      <c r="V711" s="8">
        <f t="shared" si="105"/>
        <v>0</v>
      </c>
      <c r="W711" s="14">
        <f t="shared" si="106"/>
        <v>1318.7022199999999</v>
      </c>
      <c r="X711" s="4">
        <f t="shared" si="107"/>
        <v>0</v>
      </c>
    </row>
    <row r="712" spans="1:24" ht="14.25" customHeight="1" x14ac:dyDescent="0.2">
      <c r="A712" s="5" t="s">
        <v>2080</v>
      </c>
      <c r="B712" s="3" t="s">
        <v>14</v>
      </c>
      <c r="C712" s="3" t="s">
        <v>32</v>
      </c>
      <c r="D712" s="3" t="s">
        <v>2357</v>
      </c>
      <c r="E712" s="3" t="s">
        <v>2358</v>
      </c>
      <c r="F712" s="3" t="s">
        <v>1054</v>
      </c>
      <c r="G712" s="3" t="s">
        <v>38</v>
      </c>
      <c r="H712" s="3" t="s">
        <v>19</v>
      </c>
      <c r="I712" s="3">
        <v>474</v>
      </c>
      <c r="J712" s="3">
        <v>0</v>
      </c>
      <c r="K712" s="3">
        <v>181</v>
      </c>
      <c r="L712" s="3">
        <v>456</v>
      </c>
      <c r="M712" s="3">
        <v>11</v>
      </c>
      <c r="N712" s="14">
        <v>6593.2177819999997</v>
      </c>
      <c r="O712" s="7">
        <f t="shared" si="99"/>
        <v>0</v>
      </c>
      <c r="P712" s="14">
        <f t="shared" si="100"/>
        <v>0</v>
      </c>
      <c r="Q712" s="14">
        <f t="shared" si="101"/>
        <v>599.38343472727274</v>
      </c>
      <c r="R712" s="4">
        <f t="shared" si="102"/>
        <v>0</v>
      </c>
      <c r="S712" s="14">
        <f t="shared" si="103"/>
        <v>14458.810925438596</v>
      </c>
      <c r="T712" s="4">
        <f t="shared" si="104"/>
        <v>38.185654008438817</v>
      </c>
      <c r="U712" s="3">
        <f>LEN(A712) - LEN(SUBSTITUTE(A712,"&gt;","")) +1</f>
        <v>5</v>
      </c>
      <c r="V712" s="8">
        <f t="shared" si="105"/>
        <v>0</v>
      </c>
      <c r="W712" s="14">
        <f t="shared" si="106"/>
        <v>1318.6435563999999</v>
      </c>
      <c r="X712" s="4">
        <f t="shared" si="107"/>
        <v>0</v>
      </c>
    </row>
    <row r="713" spans="1:24" ht="14.25" customHeight="1" x14ac:dyDescent="0.2">
      <c r="A713" s="5" t="s">
        <v>2081</v>
      </c>
      <c r="B713" s="3" t="s">
        <v>14</v>
      </c>
      <c r="C713" s="3" t="s">
        <v>32</v>
      </c>
      <c r="D713" s="3" t="s">
        <v>2369</v>
      </c>
      <c r="E713" s="3" t="s">
        <v>2365</v>
      </c>
      <c r="F713" s="3" t="s">
        <v>1056</v>
      </c>
      <c r="G713" s="3" t="s">
        <v>50</v>
      </c>
      <c r="H713" s="3" t="s">
        <v>19</v>
      </c>
      <c r="I713" s="3">
        <v>2227</v>
      </c>
      <c r="J713" s="3">
        <v>0</v>
      </c>
      <c r="K713" s="3">
        <v>1755</v>
      </c>
      <c r="L713" s="3">
        <v>2139</v>
      </c>
      <c r="M713" s="3">
        <v>2</v>
      </c>
      <c r="N713" s="14">
        <v>6589.9788580000004</v>
      </c>
      <c r="O713" s="7">
        <f t="shared" si="99"/>
        <v>0</v>
      </c>
      <c r="P713" s="14">
        <f t="shared" si="100"/>
        <v>0</v>
      </c>
      <c r="Q713" s="14">
        <f t="shared" si="101"/>
        <v>3294.9894290000002</v>
      </c>
      <c r="R713" s="4">
        <f t="shared" si="102"/>
        <v>0</v>
      </c>
      <c r="S713" s="14">
        <f t="shared" si="103"/>
        <v>3080.8690313230486</v>
      </c>
      <c r="T713" s="4">
        <f t="shared" si="104"/>
        <v>78.805568028738222</v>
      </c>
      <c r="U713" s="3">
        <f>LEN(A713) - LEN(SUBSTITUTE(A713,"&gt;","")) +1</f>
        <v>5</v>
      </c>
      <c r="V713" s="8">
        <f t="shared" si="105"/>
        <v>0</v>
      </c>
      <c r="W713" s="14">
        <f t="shared" si="106"/>
        <v>1317.9957716000001</v>
      </c>
      <c r="X713" s="4">
        <f t="shared" si="107"/>
        <v>0</v>
      </c>
    </row>
    <row r="714" spans="1:24" ht="14.25" customHeight="1" x14ac:dyDescent="0.2">
      <c r="A714" s="5" t="s">
        <v>2082</v>
      </c>
      <c r="B714" s="3" t="s">
        <v>24</v>
      </c>
      <c r="C714" s="3" t="s">
        <v>15</v>
      </c>
      <c r="D714" s="3" t="s">
        <v>2368</v>
      </c>
      <c r="E714" s="3" t="s">
        <v>2352</v>
      </c>
      <c r="F714" s="3" t="s">
        <v>1058</v>
      </c>
      <c r="G714" s="3" t="s">
        <v>41</v>
      </c>
      <c r="H714" s="3" t="s">
        <v>163</v>
      </c>
      <c r="I714" s="3">
        <v>9517</v>
      </c>
      <c r="J714" s="3">
        <v>0</v>
      </c>
      <c r="K714" s="3">
        <v>4790</v>
      </c>
      <c r="L714" s="3">
        <v>8421</v>
      </c>
      <c r="M714" s="3">
        <v>12</v>
      </c>
      <c r="N714" s="14">
        <v>6559.859555</v>
      </c>
      <c r="O714" s="7">
        <f t="shared" si="99"/>
        <v>0</v>
      </c>
      <c r="P714" s="14">
        <f t="shared" si="100"/>
        <v>0</v>
      </c>
      <c r="Q714" s="14">
        <f t="shared" si="101"/>
        <v>546.6549629166667</v>
      </c>
      <c r="R714" s="4">
        <f t="shared" si="102"/>
        <v>0</v>
      </c>
      <c r="S714" s="14">
        <f t="shared" si="103"/>
        <v>778.9881908324428</v>
      </c>
      <c r="T714" s="4">
        <f t="shared" si="104"/>
        <v>50.330986655458652</v>
      </c>
      <c r="U714" s="3">
        <f>LEN(A714) - LEN(SUBSTITUTE(A714,"&gt;","")) +1</f>
        <v>5</v>
      </c>
      <c r="V714" s="8">
        <f t="shared" si="105"/>
        <v>0</v>
      </c>
      <c r="W714" s="14">
        <f t="shared" si="106"/>
        <v>1311.9719110000001</v>
      </c>
      <c r="X714" s="4">
        <f t="shared" si="107"/>
        <v>0</v>
      </c>
    </row>
    <row r="715" spans="1:24" ht="14.25" customHeight="1" x14ac:dyDescent="0.2">
      <c r="A715" s="5" t="s">
        <v>2083</v>
      </c>
      <c r="B715" s="3" t="s">
        <v>24</v>
      </c>
      <c r="C715" s="3" t="s">
        <v>32</v>
      </c>
      <c r="D715" s="3" t="s">
        <v>2362</v>
      </c>
      <c r="E715" s="3" t="s">
        <v>2352</v>
      </c>
      <c r="F715" s="3" t="s">
        <v>149</v>
      </c>
      <c r="G715" s="3" t="s">
        <v>22</v>
      </c>
      <c r="H715" s="3" t="s">
        <v>114</v>
      </c>
      <c r="I715" s="3">
        <v>120837</v>
      </c>
      <c r="J715" s="3">
        <v>0</v>
      </c>
      <c r="K715" s="3">
        <v>11550</v>
      </c>
      <c r="L715" s="3">
        <v>15105</v>
      </c>
      <c r="M715" s="3">
        <v>12</v>
      </c>
      <c r="N715" s="14">
        <v>6556.2257099999997</v>
      </c>
      <c r="O715" s="7">
        <f t="shared" si="99"/>
        <v>0</v>
      </c>
      <c r="P715" s="14">
        <f t="shared" si="100"/>
        <v>0</v>
      </c>
      <c r="Q715" s="14">
        <f t="shared" si="101"/>
        <v>546.35214250000001</v>
      </c>
      <c r="R715" s="4">
        <f t="shared" si="102"/>
        <v>0</v>
      </c>
      <c r="S715" s="14">
        <f t="shared" si="103"/>
        <v>434.04341012909629</v>
      </c>
      <c r="T715" s="4">
        <f t="shared" si="104"/>
        <v>9.5583306437597759</v>
      </c>
      <c r="U715" s="3">
        <f>LEN(A715) - LEN(SUBSTITUTE(A715,"&gt;","")) +1</f>
        <v>5</v>
      </c>
      <c r="V715" s="8">
        <f t="shared" si="105"/>
        <v>0</v>
      </c>
      <c r="W715" s="14">
        <f t="shared" si="106"/>
        <v>1311.245142</v>
      </c>
      <c r="X715" s="4">
        <f t="shared" si="107"/>
        <v>0</v>
      </c>
    </row>
    <row r="716" spans="1:24" ht="14.25" customHeight="1" x14ac:dyDescent="0.2">
      <c r="A716" s="5" t="s">
        <v>1060</v>
      </c>
      <c r="B716" s="3" t="s">
        <v>14</v>
      </c>
      <c r="C716" s="3" t="s">
        <v>29</v>
      </c>
      <c r="D716" s="3" t="s">
        <v>2378</v>
      </c>
      <c r="E716" s="3" t="s">
        <v>2352</v>
      </c>
      <c r="F716" s="3" t="s">
        <v>733</v>
      </c>
      <c r="G716" s="3" t="s">
        <v>27</v>
      </c>
      <c r="H716" s="3" t="s">
        <v>19</v>
      </c>
      <c r="I716" s="3">
        <v>9261</v>
      </c>
      <c r="J716" s="3">
        <v>0</v>
      </c>
      <c r="K716" s="3">
        <v>3852</v>
      </c>
      <c r="L716" s="3">
        <v>8526</v>
      </c>
      <c r="M716" s="3">
        <v>1</v>
      </c>
      <c r="N716" s="14">
        <v>6511.0295759999999</v>
      </c>
      <c r="O716" s="7">
        <f t="shared" si="99"/>
        <v>0</v>
      </c>
      <c r="P716" s="14">
        <f t="shared" si="100"/>
        <v>0</v>
      </c>
      <c r="Q716" s="14">
        <f t="shared" si="101"/>
        <v>6511.0295759999999</v>
      </c>
      <c r="R716" s="4">
        <f t="shared" si="102"/>
        <v>0</v>
      </c>
      <c r="S716" s="14">
        <f t="shared" si="103"/>
        <v>763.66755524278676</v>
      </c>
      <c r="T716" s="4">
        <f t="shared" si="104"/>
        <v>41.59378036929057</v>
      </c>
      <c r="U716" s="3">
        <f>LEN(A716) - LEN(SUBSTITUTE(A716,"&gt;","")) +1</f>
        <v>4</v>
      </c>
      <c r="V716" s="8">
        <f t="shared" si="105"/>
        <v>0</v>
      </c>
      <c r="W716" s="14">
        <f t="shared" si="106"/>
        <v>1627.757394</v>
      </c>
      <c r="X716" s="4">
        <f t="shared" si="107"/>
        <v>0</v>
      </c>
    </row>
    <row r="717" spans="1:24" ht="14.25" customHeight="1" x14ac:dyDescent="0.2">
      <c r="A717" s="5" t="s">
        <v>1061</v>
      </c>
      <c r="B717" s="3" t="s">
        <v>24</v>
      </c>
      <c r="C717" s="3" t="s">
        <v>15</v>
      </c>
      <c r="D717" s="3" t="s">
        <v>2359</v>
      </c>
      <c r="E717" s="3" t="s">
        <v>2360</v>
      </c>
      <c r="F717" s="3" t="s">
        <v>1062</v>
      </c>
      <c r="G717" s="3" t="s">
        <v>22</v>
      </c>
      <c r="H717" s="3" t="s">
        <v>19</v>
      </c>
      <c r="I717" s="3">
        <v>6639</v>
      </c>
      <c r="J717" s="3">
        <v>0</v>
      </c>
      <c r="K717" s="3">
        <v>3586</v>
      </c>
      <c r="L717" s="3">
        <v>6182</v>
      </c>
      <c r="M717" s="3">
        <v>3</v>
      </c>
      <c r="N717" s="14">
        <v>6496.6686929999996</v>
      </c>
      <c r="O717" s="7">
        <f t="shared" si="99"/>
        <v>0</v>
      </c>
      <c r="P717" s="14">
        <f t="shared" si="100"/>
        <v>0</v>
      </c>
      <c r="Q717" s="14">
        <f t="shared" si="101"/>
        <v>2165.556231</v>
      </c>
      <c r="R717" s="4">
        <f t="shared" si="102"/>
        <v>0</v>
      </c>
      <c r="S717" s="14">
        <f t="shared" si="103"/>
        <v>1050.9007914914266</v>
      </c>
      <c r="T717" s="4">
        <f t="shared" si="104"/>
        <v>54.014158758849227</v>
      </c>
      <c r="U717" s="3">
        <f>LEN(A717) - LEN(SUBSTITUTE(A717,"&gt;","")) +1</f>
        <v>4</v>
      </c>
      <c r="V717" s="8">
        <f t="shared" si="105"/>
        <v>0</v>
      </c>
      <c r="W717" s="14">
        <f t="shared" si="106"/>
        <v>1624.1671732499999</v>
      </c>
      <c r="X717" s="4">
        <f t="shared" si="107"/>
        <v>0</v>
      </c>
    </row>
    <row r="718" spans="1:24" ht="14.25" customHeight="1" x14ac:dyDescent="0.2">
      <c r="A718" s="5" t="s">
        <v>2084</v>
      </c>
      <c r="B718" s="3" t="s">
        <v>14</v>
      </c>
      <c r="C718" s="3" t="s">
        <v>32</v>
      </c>
      <c r="D718" s="3" t="s">
        <v>2366</v>
      </c>
      <c r="E718" s="3" t="s">
        <v>2352</v>
      </c>
      <c r="F718" s="3" t="s">
        <v>618</v>
      </c>
      <c r="G718" s="3" t="s">
        <v>27</v>
      </c>
      <c r="H718" s="3" t="s">
        <v>19</v>
      </c>
      <c r="I718" s="3">
        <v>3333</v>
      </c>
      <c r="J718" s="3">
        <v>0</v>
      </c>
      <c r="K718" s="3">
        <v>764</v>
      </c>
      <c r="L718" s="3">
        <v>2831</v>
      </c>
      <c r="M718" s="3">
        <v>3</v>
      </c>
      <c r="N718" s="14">
        <v>6486.5094069999996</v>
      </c>
      <c r="O718" s="7">
        <f t="shared" si="99"/>
        <v>0</v>
      </c>
      <c r="P718" s="14">
        <f t="shared" si="100"/>
        <v>0</v>
      </c>
      <c r="Q718" s="14">
        <f t="shared" si="101"/>
        <v>2162.1698023333333</v>
      </c>
      <c r="R718" s="4">
        <f t="shared" si="102"/>
        <v>0</v>
      </c>
      <c r="S718" s="14">
        <f t="shared" si="103"/>
        <v>2291.2431674320028</v>
      </c>
      <c r="T718" s="4">
        <f t="shared" si="104"/>
        <v>22.922292229222922</v>
      </c>
      <c r="U718" s="3">
        <f>LEN(A718) - LEN(SUBSTITUTE(A718,"&gt;","")) +1</f>
        <v>6</v>
      </c>
      <c r="V718" s="8">
        <f t="shared" si="105"/>
        <v>0</v>
      </c>
      <c r="W718" s="14">
        <f t="shared" si="106"/>
        <v>1081.0849011666667</v>
      </c>
      <c r="X718" s="4">
        <f t="shared" si="107"/>
        <v>0</v>
      </c>
    </row>
    <row r="719" spans="1:24" ht="14.25" customHeight="1" x14ac:dyDescent="0.2">
      <c r="A719" s="5" t="s">
        <v>1064</v>
      </c>
      <c r="B719" s="3" t="s">
        <v>24</v>
      </c>
      <c r="C719" s="3" t="s">
        <v>35</v>
      </c>
      <c r="D719" s="3" t="s">
        <v>2353</v>
      </c>
      <c r="E719" s="3" t="s">
        <v>2354</v>
      </c>
      <c r="F719" s="3" t="s">
        <v>40</v>
      </c>
      <c r="G719" s="3" t="s">
        <v>27</v>
      </c>
      <c r="H719" s="3" t="s">
        <v>163</v>
      </c>
      <c r="I719" s="3">
        <v>6984</v>
      </c>
      <c r="J719" s="3">
        <v>0</v>
      </c>
      <c r="K719" s="3">
        <v>3596</v>
      </c>
      <c r="L719" s="3">
        <v>5925</v>
      </c>
      <c r="M719" s="3">
        <v>11</v>
      </c>
      <c r="N719" s="14">
        <v>6476.4486550000001</v>
      </c>
      <c r="O719" s="7">
        <f t="shared" si="99"/>
        <v>0</v>
      </c>
      <c r="P719" s="14">
        <f t="shared" si="100"/>
        <v>0</v>
      </c>
      <c r="Q719" s="14">
        <f t="shared" si="101"/>
        <v>588.76805954545455</v>
      </c>
      <c r="R719" s="4">
        <f t="shared" si="102"/>
        <v>0</v>
      </c>
      <c r="S719" s="14">
        <f t="shared" si="103"/>
        <v>1093.0715029535866</v>
      </c>
      <c r="T719" s="4">
        <f t="shared" si="104"/>
        <v>51.489117983963339</v>
      </c>
      <c r="U719" s="3">
        <f>LEN(A719) - LEN(SUBSTITUTE(A719,"&gt;","")) +1</f>
        <v>4</v>
      </c>
      <c r="V719" s="8">
        <f t="shared" si="105"/>
        <v>0</v>
      </c>
      <c r="W719" s="14">
        <f t="shared" si="106"/>
        <v>1619.11216375</v>
      </c>
      <c r="X719" s="4">
        <f t="shared" si="107"/>
        <v>0</v>
      </c>
    </row>
    <row r="720" spans="1:24" ht="14.25" customHeight="1" x14ac:dyDescent="0.2">
      <c r="A720" s="5" t="s">
        <v>1065</v>
      </c>
      <c r="B720" s="3" t="s">
        <v>24</v>
      </c>
      <c r="C720" s="3" t="s">
        <v>15</v>
      </c>
      <c r="D720" s="3" t="s">
        <v>2362</v>
      </c>
      <c r="E720" s="3" t="s">
        <v>2352</v>
      </c>
      <c r="F720" s="3" t="s">
        <v>425</v>
      </c>
      <c r="G720" s="3" t="s">
        <v>27</v>
      </c>
      <c r="H720" s="3" t="s">
        <v>114</v>
      </c>
      <c r="I720" s="3">
        <v>3202</v>
      </c>
      <c r="J720" s="3">
        <v>0</v>
      </c>
      <c r="K720" s="3">
        <v>2221</v>
      </c>
      <c r="L720" s="3">
        <v>3086</v>
      </c>
      <c r="M720" s="3">
        <v>11</v>
      </c>
      <c r="N720" s="14">
        <v>6441.6129060000003</v>
      </c>
      <c r="O720" s="7">
        <f t="shared" si="99"/>
        <v>0</v>
      </c>
      <c r="P720" s="14">
        <f t="shared" si="100"/>
        <v>0</v>
      </c>
      <c r="Q720" s="14">
        <f t="shared" si="101"/>
        <v>585.60117327272735</v>
      </c>
      <c r="R720" s="4">
        <f t="shared" si="102"/>
        <v>0</v>
      </c>
      <c r="S720" s="14">
        <f t="shared" si="103"/>
        <v>2087.3664633830203</v>
      </c>
      <c r="T720" s="4">
        <f t="shared" si="104"/>
        <v>69.362898188632101</v>
      </c>
      <c r="U720" s="3">
        <f>LEN(A720) - LEN(SUBSTITUTE(A720,"&gt;","")) +1</f>
        <v>4</v>
      </c>
      <c r="V720" s="8">
        <f t="shared" si="105"/>
        <v>0</v>
      </c>
      <c r="W720" s="14">
        <f t="shared" si="106"/>
        <v>1610.4032265000001</v>
      </c>
      <c r="X720" s="4">
        <f t="shared" si="107"/>
        <v>0</v>
      </c>
    </row>
    <row r="721" spans="1:24" ht="14.25" customHeight="1" x14ac:dyDescent="0.2">
      <c r="A721" s="5" t="s">
        <v>2085</v>
      </c>
      <c r="B721" s="3" t="s">
        <v>68</v>
      </c>
      <c r="C721" s="3" t="s">
        <v>35</v>
      </c>
      <c r="D721" s="3" t="s">
        <v>2349</v>
      </c>
      <c r="E721" s="3" t="s">
        <v>2350</v>
      </c>
      <c r="F721" s="3" t="s">
        <v>485</v>
      </c>
      <c r="G721" s="3" t="s">
        <v>64</v>
      </c>
      <c r="H721" s="3" t="s">
        <v>19</v>
      </c>
      <c r="I721" s="3">
        <v>11734</v>
      </c>
      <c r="J721" s="3">
        <v>0</v>
      </c>
      <c r="K721" s="3">
        <v>8741</v>
      </c>
      <c r="L721" s="3">
        <v>10606</v>
      </c>
      <c r="M721" s="3">
        <v>1</v>
      </c>
      <c r="N721" s="14">
        <v>6439.2834979999998</v>
      </c>
      <c r="O721" s="7">
        <f t="shared" si="99"/>
        <v>0</v>
      </c>
      <c r="P721" s="14">
        <f t="shared" si="100"/>
        <v>0</v>
      </c>
      <c r="Q721" s="14">
        <f t="shared" si="101"/>
        <v>6439.2834979999998</v>
      </c>
      <c r="R721" s="4">
        <f t="shared" si="102"/>
        <v>0</v>
      </c>
      <c r="S721" s="14">
        <f t="shared" si="103"/>
        <v>607.13591344521967</v>
      </c>
      <c r="T721" s="4">
        <f t="shared" si="104"/>
        <v>74.492926538264868</v>
      </c>
      <c r="U721" s="3">
        <f>LEN(A721) - LEN(SUBSTITUTE(A721,"&gt;","")) +1</f>
        <v>5</v>
      </c>
      <c r="V721" s="8">
        <f t="shared" si="105"/>
        <v>0</v>
      </c>
      <c r="W721" s="14">
        <f t="shared" si="106"/>
        <v>1287.8566996</v>
      </c>
      <c r="X721" s="4">
        <f t="shared" si="107"/>
        <v>0</v>
      </c>
    </row>
    <row r="722" spans="1:24" ht="14.25" customHeight="1" x14ac:dyDescent="0.2">
      <c r="A722" s="5" t="s">
        <v>2086</v>
      </c>
      <c r="B722" s="3" t="s">
        <v>24</v>
      </c>
      <c r="C722" s="3" t="s">
        <v>15</v>
      </c>
      <c r="D722" s="3" t="s">
        <v>2363</v>
      </c>
      <c r="E722" s="3" t="s">
        <v>2358</v>
      </c>
      <c r="F722" s="3" t="s">
        <v>1068</v>
      </c>
      <c r="G722" s="3" t="s">
        <v>76</v>
      </c>
      <c r="H722" s="3" t="s">
        <v>114</v>
      </c>
      <c r="I722" s="3">
        <v>2586</v>
      </c>
      <c r="J722" s="3">
        <v>0</v>
      </c>
      <c r="K722" s="3">
        <v>1206</v>
      </c>
      <c r="L722" s="3">
        <v>2385</v>
      </c>
      <c r="M722" s="3">
        <v>11</v>
      </c>
      <c r="N722" s="14">
        <v>6438.1899050000002</v>
      </c>
      <c r="O722" s="7">
        <f t="shared" si="99"/>
        <v>0</v>
      </c>
      <c r="P722" s="14">
        <f t="shared" si="100"/>
        <v>0</v>
      </c>
      <c r="Q722" s="14">
        <f t="shared" si="101"/>
        <v>585.28999136363643</v>
      </c>
      <c r="R722" s="4">
        <f t="shared" si="102"/>
        <v>0</v>
      </c>
      <c r="S722" s="14">
        <f t="shared" si="103"/>
        <v>2699.4506939203357</v>
      </c>
      <c r="T722" s="4">
        <f t="shared" si="104"/>
        <v>46.635730858468676</v>
      </c>
      <c r="U722" s="3">
        <f>LEN(A722) - LEN(SUBSTITUTE(A722,"&gt;","")) +1</f>
        <v>5</v>
      </c>
      <c r="V722" s="8">
        <f t="shared" si="105"/>
        <v>0</v>
      </c>
      <c r="W722" s="14">
        <f t="shared" si="106"/>
        <v>1287.6379810000001</v>
      </c>
      <c r="X722" s="4">
        <f t="shared" si="107"/>
        <v>0</v>
      </c>
    </row>
    <row r="723" spans="1:24" ht="14.25" customHeight="1" x14ac:dyDescent="0.2">
      <c r="A723" s="5" t="s">
        <v>2087</v>
      </c>
      <c r="B723" s="3" t="s">
        <v>24</v>
      </c>
      <c r="C723" s="3" t="s">
        <v>29</v>
      </c>
      <c r="D723" s="3" t="s">
        <v>2357</v>
      </c>
      <c r="E723" s="3" t="s">
        <v>2358</v>
      </c>
      <c r="F723" s="3" t="s">
        <v>895</v>
      </c>
      <c r="G723" s="3" t="s">
        <v>27</v>
      </c>
      <c r="H723" s="3" t="s">
        <v>163</v>
      </c>
      <c r="I723" s="3">
        <v>39725</v>
      </c>
      <c r="J723" s="3">
        <v>0</v>
      </c>
      <c r="K723" s="3">
        <v>5402</v>
      </c>
      <c r="L723" s="3">
        <v>36080</v>
      </c>
      <c r="M723" s="3">
        <v>11</v>
      </c>
      <c r="N723" s="14">
        <v>6431.5551519999999</v>
      </c>
      <c r="O723" s="7">
        <f t="shared" si="99"/>
        <v>0</v>
      </c>
      <c r="P723" s="14">
        <f t="shared" si="100"/>
        <v>0</v>
      </c>
      <c r="Q723" s="14">
        <f t="shared" si="101"/>
        <v>584.68683199999998</v>
      </c>
      <c r="R723" s="4">
        <f t="shared" si="102"/>
        <v>0</v>
      </c>
      <c r="S723" s="14">
        <f t="shared" si="103"/>
        <v>178.25818048780488</v>
      </c>
      <c r="T723" s="4">
        <f t="shared" si="104"/>
        <v>13.598489616110761</v>
      </c>
      <c r="U723" s="3">
        <f>LEN(A723) - LEN(SUBSTITUTE(A723,"&gt;","")) +1</f>
        <v>5</v>
      </c>
      <c r="V723" s="8">
        <f t="shared" si="105"/>
        <v>0</v>
      </c>
      <c r="W723" s="14">
        <f t="shared" si="106"/>
        <v>1286.3110303999999</v>
      </c>
      <c r="X723" s="4">
        <f t="shared" si="107"/>
        <v>0</v>
      </c>
    </row>
    <row r="724" spans="1:24" ht="14.25" customHeight="1" x14ac:dyDescent="0.2">
      <c r="A724" s="5" t="s">
        <v>2088</v>
      </c>
      <c r="B724" s="3" t="s">
        <v>68</v>
      </c>
      <c r="C724" s="3" t="s">
        <v>15</v>
      </c>
      <c r="D724" s="3" t="s">
        <v>2363</v>
      </c>
      <c r="E724" s="3" t="s">
        <v>2358</v>
      </c>
      <c r="F724" s="3" t="s">
        <v>1071</v>
      </c>
      <c r="G724" s="3" t="s">
        <v>64</v>
      </c>
      <c r="H724" s="3" t="s">
        <v>19</v>
      </c>
      <c r="I724" s="3">
        <v>9560</v>
      </c>
      <c r="J724" s="3">
        <v>0</v>
      </c>
      <c r="K724" s="3">
        <v>3076</v>
      </c>
      <c r="L724" s="3">
        <v>6252</v>
      </c>
      <c r="M724" s="3">
        <v>17</v>
      </c>
      <c r="N724" s="14">
        <v>6420.2181229999997</v>
      </c>
      <c r="O724" s="7">
        <f t="shared" si="99"/>
        <v>0</v>
      </c>
      <c r="P724" s="14">
        <f t="shared" si="100"/>
        <v>0</v>
      </c>
      <c r="Q724" s="14">
        <f t="shared" si="101"/>
        <v>377.65988958823527</v>
      </c>
      <c r="R724" s="4">
        <f t="shared" si="102"/>
        <v>0</v>
      </c>
      <c r="S724" s="14">
        <f t="shared" si="103"/>
        <v>1026.9062896673065</v>
      </c>
      <c r="T724" s="4">
        <f t="shared" si="104"/>
        <v>32.17573221757322</v>
      </c>
      <c r="U724" s="3">
        <f>LEN(A724) - LEN(SUBSTITUTE(A724,"&gt;","")) +1</f>
        <v>5</v>
      </c>
      <c r="V724" s="8">
        <f t="shared" si="105"/>
        <v>0</v>
      </c>
      <c r="W724" s="14">
        <f t="shared" si="106"/>
        <v>1284.0436245999999</v>
      </c>
      <c r="X724" s="4">
        <f t="shared" si="107"/>
        <v>0</v>
      </c>
    </row>
    <row r="725" spans="1:24" ht="14.25" customHeight="1" x14ac:dyDescent="0.2">
      <c r="A725" s="5" t="s">
        <v>2089</v>
      </c>
      <c r="B725" s="3" t="s">
        <v>14</v>
      </c>
      <c r="C725" s="3" t="s">
        <v>29</v>
      </c>
      <c r="D725" s="3" t="s">
        <v>2397</v>
      </c>
      <c r="E725" s="3" t="s">
        <v>2360</v>
      </c>
      <c r="F725" s="3" t="s">
        <v>1073</v>
      </c>
      <c r="G725" s="3" t="s">
        <v>33</v>
      </c>
      <c r="H725" s="3" t="s">
        <v>19</v>
      </c>
      <c r="I725" s="3">
        <v>8233</v>
      </c>
      <c r="J725" s="3">
        <v>0</v>
      </c>
      <c r="K725" s="3">
        <v>5361</v>
      </c>
      <c r="L725" s="3">
        <v>7643</v>
      </c>
      <c r="M725" s="3">
        <v>1</v>
      </c>
      <c r="N725" s="14">
        <v>6381.0065759999998</v>
      </c>
      <c r="O725" s="7">
        <f t="shared" si="99"/>
        <v>0</v>
      </c>
      <c r="P725" s="14">
        <f t="shared" si="100"/>
        <v>0</v>
      </c>
      <c r="Q725" s="14">
        <f t="shared" si="101"/>
        <v>6381.0065759999998</v>
      </c>
      <c r="R725" s="4">
        <f t="shared" si="102"/>
        <v>0</v>
      </c>
      <c r="S725" s="14">
        <f t="shared" si="103"/>
        <v>834.88245139343189</v>
      </c>
      <c r="T725" s="4">
        <f t="shared" si="104"/>
        <v>65.115996599052593</v>
      </c>
      <c r="U725" s="3">
        <f>LEN(A725) - LEN(SUBSTITUTE(A725,"&gt;","")) +1</f>
        <v>5</v>
      </c>
      <c r="V725" s="8">
        <f t="shared" si="105"/>
        <v>0</v>
      </c>
      <c r="W725" s="14">
        <f t="shared" si="106"/>
        <v>1276.2013152</v>
      </c>
      <c r="X725" s="4">
        <f t="shared" si="107"/>
        <v>0</v>
      </c>
    </row>
    <row r="726" spans="1:24" ht="14.25" customHeight="1" x14ac:dyDescent="0.2">
      <c r="A726" s="5" t="s">
        <v>2090</v>
      </c>
      <c r="B726" s="3" t="s">
        <v>14</v>
      </c>
      <c r="C726" s="3" t="s">
        <v>35</v>
      </c>
      <c r="D726" s="3" t="s">
        <v>2384</v>
      </c>
      <c r="E726" s="3" t="s">
        <v>2385</v>
      </c>
      <c r="F726" s="3" t="s">
        <v>79</v>
      </c>
      <c r="G726" s="3" t="s">
        <v>41</v>
      </c>
      <c r="H726" s="3" t="s">
        <v>19</v>
      </c>
      <c r="I726" s="3">
        <v>42884</v>
      </c>
      <c r="J726" s="3">
        <v>0</v>
      </c>
      <c r="K726" s="3">
        <v>4345</v>
      </c>
      <c r="L726" s="3">
        <v>25153</v>
      </c>
      <c r="M726" s="3">
        <v>1</v>
      </c>
      <c r="N726" s="14">
        <v>6322.1526549999999</v>
      </c>
      <c r="O726" s="7">
        <f t="shared" si="99"/>
        <v>0</v>
      </c>
      <c r="P726" s="14">
        <f t="shared" si="100"/>
        <v>0</v>
      </c>
      <c r="Q726" s="14">
        <f t="shared" si="101"/>
        <v>6322.1526549999999</v>
      </c>
      <c r="R726" s="4">
        <f t="shared" si="102"/>
        <v>0</v>
      </c>
      <c r="S726" s="14">
        <f t="shared" si="103"/>
        <v>251.34785731324294</v>
      </c>
      <c r="T726" s="4">
        <f t="shared" si="104"/>
        <v>10.131983956720456</v>
      </c>
      <c r="U726" s="3">
        <f>LEN(A726) - LEN(SUBSTITUTE(A726,"&gt;","")) +1</f>
        <v>6</v>
      </c>
      <c r="V726" s="8">
        <f t="shared" si="105"/>
        <v>0</v>
      </c>
      <c r="W726" s="14">
        <f t="shared" si="106"/>
        <v>1053.6921091666666</v>
      </c>
      <c r="X726" s="4">
        <f t="shared" si="107"/>
        <v>0</v>
      </c>
    </row>
    <row r="727" spans="1:24" ht="14.25" customHeight="1" x14ac:dyDescent="0.2">
      <c r="A727" s="5" t="s">
        <v>2091</v>
      </c>
      <c r="B727" s="3" t="s">
        <v>24</v>
      </c>
      <c r="C727" s="3" t="s">
        <v>15</v>
      </c>
      <c r="D727" s="3" t="s">
        <v>2353</v>
      </c>
      <c r="E727" s="3" t="s">
        <v>2354</v>
      </c>
      <c r="F727" s="3" t="s">
        <v>1076</v>
      </c>
      <c r="G727" s="3" t="s">
        <v>38</v>
      </c>
      <c r="H727" s="3" t="s">
        <v>114</v>
      </c>
      <c r="I727" s="3">
        <v>2560</v>
      </c>
      <c r="J727" s="3">
        <v>0</v>
      </c>
      <c r="K727" s="3">
        <v>1397</v>
      </c>
      <c r="L727" s="3">
        <v>2433</v>
      </c>
      <c r="M727" s="3">
        <v>10</v>
      </c>
      <c r="N727" s="14">
        <v>6320.497214</v>
      </c>
      <c r="O727" s="7">
        <f t="shared" si="99"/>
        <v>0</v>
      </c>
      <c r="P727" s="14">
        <f t="shared" si="100"/>
        <v>0</v>
      </c>
      <c r="Q727" s="14">
        <f t="shared" si="101"/>
        <v>632.04972139999995</v>
      </c>
      <c r="R727" s="4">
        <f t="shared" si="102"/>
        <v>0</v>
      </c>
      <c r="S727" s="14">
        <f t="shared" si="103"/>
        <v>2597.8204743115498</v>
      </c>
      <c r="T727" s="4">
        <f t="shared" si="104"/>
        <v>54.570312499999993</v>
      </c>
      <c r="U727" s="3">
        <f>LEN(A727) - LEN(SUBSTITUTE(A727,"&gt;","")) +1</f>
        <v>5</v>
      </c>
      <c r="V727" s="8">
        <f t="shared" si="105"/>
        <v>0</v>
      </c>
      <c r="W727" s="14">
        <f t="shared" si="106"/>
        <v>1264.0994427999999</v>
      </c>
      <c r="X727" s="4">
        <f t="shared" si="107"/>
        <v>0</v>
      </c>
    </row>
    <row r="728" spans="1:24" ht="14.25" customHeight="1" x14ac:dyDescent="0.2">
      <c r="A728" s="5" t="s">
        <v>2092</v>
      </c>
      <c r="B728" s="3" t="s">
        <v>14</v>
      </c>
      <c r="C728" s="3" t="s">
        <v>32</v>
      </c>
      <c r="D728" s="3" t="s">
        <v>2369</v>
      </c>
      <c r="E728" s="3" t="s">
        <v>2365</v>
      </c>
      <c r="F728" s="3" t="s">
        <v>1078</v>
      </c>
      <c r="G728" s="3" t="s">
        <v>27</v>
      </c>
      <c r="H728" s="3" t="s">
        <v>19</v>
      </c>
      <c r="I728" s="3">
        <v>325</v>
      </c>
      <c r="J728" s="3">
        <v>0</v>
      </c>
      <c r="K728" s="3">
        <v>199</v>
      </c>
      <c r="L728" s="3">
        <v>280</v>
      </c>
      <c r="M728" s="3">
        <v>2</v>
      </c>
      <c r="N728" s="14">
        <v>6296.348704</v>
      </c>
      <c r="O728" s="7">
        <f t="shared" si="99"/>
        <v>0</v>
      </c>
      <c r="P728" s="14">
        <f t="shared" si="100"/>
        <v>0</v>
      </c>
      <c r="Q728" s="14">
        <f t="shared" si="101"/>
        <v>3148.174352</v>
      </c>
      <c r="R728" s="4">
        <f t="shared" si="102"/>
        <v>0</v>
      </c>
      <c r="S728" s="14">
        <f t="shared" si="103"/>
        <v>22486.959657142859</v>
      </c>
      <c r="T728" s="4">
        <f t="shared" si="104"/>
        <v>61.230769230769234</v>
      </c>
      <c r="U728" s="3">
        <f>LEN(A728) - LEN(SUBSTITUTE(A728,"&gt;","")) +1</f>
        <v>5</v>
      </c>
      <c r="V728" s="8">
        <f t="shared" si="105"/>
        <v>0</v>
      </c>
      <c r="W728" s="14">
        <f t="shared" si="106"/>
        <v>1259.2697407999999</v>
      </c>
      <c r="X728" s="4">
        <f t="shared" si="107"/>
        <v>0</v>
      </c>
    </row>
    <row r="729" spans="1:24" ht="14.25" customHeight="1" x14ac:dyDescent="0.2">
      <c r="A729" s="5" t="s">
        <v>2093</v>
      </c>
      <c r="B729" s="3" t="s">
        <v>68</v>
      </c>
      <c r="C729" s="3" t="s">
        <v>15</v>
      </c>
      <c r="D729" s="3" t="s">
        <v>2357</v>
      </c>
      <c r="E729" s="3" t="s">
        <v>2358</v>
      </c>
      <c r="F729" s="3" t="s">
        <v>1080</v>
      </c>
      <c r="G729" s="3" t="s">
        <v>41</v>
      </c>
      <c r="H729" s="3" t="s">
        <v>19</v>
      </c>
      <c r="I729" s="3">
        <v>10565</v>
      </c>
      <c r="J729" s="3">
        <v>0</v>
      </c>
      <c r="K729" s="3">
        <v>6248</v>
      </c>
      <c r="L729" s="3">
        <v>10141</v>
      </c>
      <c r="M729" s="3">
        <v>9</v>
      </c>
      <c r="N729" s="14">
        <v>6236.1130940000003</v>
      </c>
      <c r="O729" s="7">
        <f t="shared" si="99"/>
        <v>0</v>
      </c>
      <c r="P729" s="14">
        <f t="shared" si="100"/>
        <v>0</v>
      </c>
      <c r="Q729" s="14">
        <f t="shared" si="101"/>
        <v>692.90145488888891</v>
      </c>
      <c r="R729" s="4">
        <f t="shared" si="102"/>
        <v>0</v>
      </c>
      <c r="S729" s="14">
        <f t="shared" si="103"/>
        <v>614.9406462873485</v>
      </c>
      <c r="T729" s="4">
        <f t="shared" si="104"/>
        <v>59.138665404637955</v>
      </c>
      <c r="U729" s="3">
        <f>LEN(A729) - LEN(SUBSTITUTE(A729,"&gt;","")) +1</f>
        <v>5</v>
      </c>
      <c r="V729" s="8">
        <f t="shared" si="105"/>
        <v>0</v>
      </c>
      <c r="W729" s="14">
        <f t="shared" si="106"/>
        <v>1247.2226188</v>
      </c>
      <c r="X729" s="4">
        <f t="shared" si="107"/>
        <v>0</v>
      </c>
    </row>
    <row r="730" spans="1:24" ht="14.25" customHeight="1" x14ac:dyDescent="0.2">
      <c r="A730" s="5" t="s">
        <v>2094</v>
      </c>
      <c r="B730" s="3" t="s">
        <v>14</v>
      </c>
      <c r="C730" s="3" t="s">
        <v>29</v>
      </c>
      <c r="D730" s="3" t="s">
        <v>2357</v>
      </c>
      <c r="E730" s="3" t="s">
        <v>2358</v>
      </c>
      <c r="F730" s="3" t="s">
        <v>772</v>
      </c>
      <c r="G730" s="3" t="s">
        <v>58</v>
      </c>
      <c r="H730" s="3" t="s">
        <v>19</v>
      </c>
      <c r="I730" s="3">
        <v>15252</v>
      </c>
      <c r="J730" s="3">
        <v>0</v>
      </c>
      <c r="K730" s="3">
        <v>2152</v>
      </c>
      <c r="L730" s="3">
        <v>3482</v>
      </c>
      <c r="M730" s="3">
        <v>7</v>
      </c>
      <c r="N730" s="14">
        <v>6211.2001469999996</v>
      </c>
      <c r="O730" s="7">
        <f t="shared" si="99"/>
        <v>0</v>
      </c>
      <c r="P730" s="14">
        <f t="shared" si="100"/>
        <v>0</v>
      </c>
      <c r="Q730" s="14">
        <f t="shared" si="101"/>
        <v>887.31430671428564</v>
      </c>
      <c r="R730" s="4">
        <f t="shared" si="102"/>
        <v>0</v>
      </c>
      <c r="S730" s="14">
        <f t="shared" si="103"/>
        <v>1783.8024546237793</v>
      </c>
      <c r="T730" s="4">
        <f t="shared" si="104"/>
        <v>14.109624967217412</v>
      </c>
      <c r="U730" s="3">
        <f>LEN(A730) - LEN(SUBSTITUTE(A730,"&gt;","")) +1</f>
        <v>6</v>
      </c>
      <c r="V730" s="8">
        <f t="shared" si="105"/>
        <v>0</v>
      </c>
      <c r="W730" s="14">
        <f t="shared" si="106"/>
        <v>1035.2000244999999</v>
      </c>
      <c r="X730" s="4">
        <f t="shared" si="107"/>
        <v>0</v>
      </c>
    </row>
    <row r="731" spans="1:24" ht="14.25" customHeight="1" x14ac:dyDescent="0.2">
      <c r="A731" s="5" t="s">
        <v>2095</v>
      </c>
      <c r="B731" s="3" t="s">
        <v>24</v>
      </c>
      <c r="C731" s="3" t="s">
        <v>29</v>
      </c>
      <c r="D731" s="3" t="s">
        <v>2353</v>
      </c>
      <c r="E731" s="3" t="s">
        <v>2354</v>
      </c>
      <c r="F731" s="3" t="s">
        <v>1083</v>
      </c>
      <c r="G731" s="3" t="s">
        <v>38</v>
      </c>
      <c r="H731" s="3" t="s">
        <v>19</v>
      </c>
      <c r="I731" s="3">
        <v>11417</v>
      </c>
      <c r="J731" s="3">
        <v>0</v>
      </c>
      <c r="K731" s="3">
        <v>1387</v>
      </c>
      <c r="L731" s="3">
        <v>9924</v>
      </c>
      <c r="M731" s="3">
        <v>1</v>
      </c>
      <c r="N731" s="14">
        <v>6206.6371079999999</v>
      </c>
      <c r="O731" s="7">
        <f t="shared" si="99"/>
        <v>0</v>
      </c>
      <c r="P731" s="14">
        <f t="shared" si="100"/>
        <v>0</v>
      </c>
      <c r="Q731" s="14">
        <f t="shared" si="101"/>
        <v>6206.6371079999999</v>
      </c>
      <c r="R731" s="4">
        <f t="shared" si="102"/>
        <v>0</v>
      </c>
      <c r="S731" s="14">
        <f t="shared" si="103"/>
        <v>625.41687908101574</v>
      </c>
      <c r="T731" s="4">
        <f t="shared" si="104"/>
        <v>12.148550407287379</v>
      </c>
      <c r="U731" s="3">
        <f>LEN(A731) - LEN(SUBSTITUTE(A731,"&gt;","")) +1</f>
        <v>5</v>
      </c>
      <c r="V731" s="8">
        <f t="shared" si="105"/>
        <v>0</v>
      </c>
      <c r="W731" s="14">
        <f t="shared" si="106"/>
        <v>1241.3274216</v>
      </c>
      <c r="X731" s="4">
        <f t="shared" si="107"/>
        <v>0</v>
      </c>
    </row>
    <row r="732" spans="1:24" ht="14.25" customHeight="1" x14ac:dyDescent="0.2">
      <c r="A732" s="5" t="s">
        <v>2096</v>
      </c>
      <c r="B732" s="3" t="s">
        <v>24</v>
      </c>
      <c r="C732" s="3" t="s">
        <v>29</v>
      </c>
      <c r="D732" s="3" t="s">
        <v>2353</v>
      </c>
      <c r="E732" s="3" t="s">
        <v>2354</v>
      </c>
      <c r="F732" s="3" t="s">
        <v>1085</v>
      </c>
      <c r="G732" s="3" t="s">
        <v>27</v>
      </c>
      <c r="H732" s="3" t="s">
        <v>114</v>
      </c>
      <c r="I732" s="3">
        <v>2502</v>
      </c>
      <c r="J732" s="3">
        <v>0</v>
      </c>
      <c r="K732" s="3">
        <v>701</v>
      </c>
      <c r="L732" s="3">
        <v>2349</v>
      </c>
      <c r="M732" s="3">
        <v>24</v>
      </c>
      <c r="N732" s="14">
        <v>6206.6337309999999</v>
      </c>
      <c r="O732" s="7">
        <f t="shared" si="99"/>
        <v>0</v>
      </c>
      <c r="P732" s="14">
        <f t="shared" si="100"/>
        <v>0</v>
      </c>
      <c r="Q732" s="14">
        <f t="shared" si="101"/>
        <v>258.60973879166664</v>
      </c>
      <c r="R732" s="4">
        <f t="shared" si="102"/>
        <v>0</v>
      </c>
      <c r="S732" s="14">
        <f t="shared" si="103"/>
        <v>2642.2450962111539</v>
      </c>
      <c r="T732" s="4">
        <f t="shared" si="104"/>
        <v>28.017585931254995</v>
      </c>
      <c r="U732" s="3">
        <f>LEN(A732) - LEN(SUBSTITUTE(A732,"&gt;","")) +1</f>
        <v>6</v>
      </c>
      <c r="V732" s="8">
        <f t="shared" si="105"/>
        <v>0</v>
      </c>
      <c r="W732" s="14">
        <f t="shared" si="106"/>
        <v>1034.4389551666666</v>
      </c>
      <c r="X732" s="4">
        <f t="shared" si="107"/>
        <v>0</v>
      </c>
    </row>
    <row r="733" spans="1:24" ht="14.25" customHeight="1" x14ac:dyDescent="0.2">
      <c r="A733" s="5" t="s">
        <v>2097</v>
      </c>
      <c r="B733" s="3" t="s">
        <v>14</v>
      </c>
      <c r="C733" s="3" t="s">
        <v>29</v>
      </c>
      <c r="D733" s="3" t="s">
        <v>2400</v>
      </c>
      <c r="E733" s="3" t="s">
        <v>2354</v>
      </c>
      <c r="F733" s="3" t="s">
        <v>406</v>
      </c>
      <c r="G733" s="3" t="s">
        <v>41</v>
      </c>
      <c r="H733" s="3" t="s">
        <v>19</v>
      </c>
      <c r="I733" s="3">
        <v>90463</v>
      </c>
      <c r="J733" s="3">
        <v>0</v>
      </c>
      <c r="K733" s="3">
        <v>803</v>
      </c>
      <c r="L733" s="3">
        <v>2465</v>
      </c>
      <c r="M733" s="3">
        <v>2</v>
      </c>
      <c r="N733" s="14">
        <v>6120.6025140000002</v>
      </c>
      <c r="O733" s="7">
        <f t="shared" si="99"/>
        <v>0</v>
      </c>
      <c r="P733" s="14">
        <f t="shared" si="100"/>
        <v>0</v>
      </c>
      <c r="Q733" s="14">
        <f t="shared" si="101"/>
        <v>3060.3012570000001</v>
      </c>
      <c r="R733" s="4">
        <f t="shared" si="102"/>
        <v>0</v>
      </c>
      <c r="S733" s="14">
        <f t="shared" si="103"/>
        <v>2483.0030482758621</v>
      </c>
      <c r="T733" s="4">
        <f t="shared" si="104"/>
        <v>0.88765572665067494</v>
      </c>
      <c r="U733" s="3">
        <f>LEN(A733) - LEN(SUBSTITUTE(A733,"&gt;","")) +1</f>
        <v>5</v>
      </c>
      <c r="V733" s="8">
        <f t="shared" si="105"/>
        <v>0</v>
      </c>
      <c r="W733" s="14">
        <f t="shared" si="106"/>
        <v>1224.1205027999999</v>
      </c>
      <c r="X733" s="4">
        <f t="shared" si="107"/>
        <v>0</v>
      </c>
    </row>
    <row r="734" spans="1:24" ht="14.25" customHeight="1" x14ac:dyDescent="0.2">
      <c r="A734" s="5" t="s">
        <v>2098</v>
      </c>
      <c r="B734" s="3" t="s">
        <v>14</v>
      </c>
      <c r="C734" s="3" t="s">
        <v>15</v>
      </c>
      <c r="D734" s="3" t="s">
        <v>2353</v>
      </c>
      <c r="E734" s="3" t="s">
        <v>2354</v>
      </c>
      <c r="F734" s="3" t="s">
        <v>1088</v>
      </c>
      <c r="G734" s="3" t="s">
        <v>22</v>
      </c>
      <c r="H734" s="3" t="s">
        <v>19</v>
      </c>
      <c r="I734" s="3">
        <v>233</v>
      </c>
      <c r="J734" s="3">
        <v>0</v>
      </c>
      <c r="K734" s="3">
        <v>92</v>
      </c>
      <c r="L734" s="3">
        <v>164</v>
      </c>
      <c r="M734" s="3">
        <v>1</v>
      </c>
      <c r="N734" s="14">
        <v>6117.5142759999999</v>
      </c>
      <c r="O734" s="7">
        <f t="shared" si="99"/>
        <v>0</v>
      </c>
      <c r="P734" s="14">
        <f t="shared" si="100"/>
        <v>0</v>
      </c>
      <c r="Q734" s="14">
        <f t="shared" si="101"/>
        <v>6117.5142759999999</v>
      </c>
      <c r="R734" s="4">
        <f t="shared" si="102"/>
        <v>0</v>
      </c>
      <c r="S734" s="14">
        <f t="shared" si="103"/>
        <v>37301.91631707317</v>
      </c>
      <c r="T734" s="4">
        <f t="shared" si="104"/>
        <v>39.484978540772531</v>
      </c>
      <c r="U734" s="3">
        <f>LEN(A734) - LEN(SUBSTITUTE(A734,"&gt;","")) +1</f>
        <v>5</v>
      </c>
      <c r="V734" s="8">
        <f t="shared" si="105"/>
        <v>0</v>
      </c>
      <c r="W734" s="14">
        <f t="shared" si="106"/>
        <v>1223.5028551999999</v>
      </c>
      <c r="X734" s="4">
        <f t="shared" si="107"/>
        <v>0</v>
      </c>
    </row>
    <row r="735" spans="1:24" ht="14.25" customHeight="1" x14ac:dyDescent="0.2">
      <c r="A735" s="5" t="s">
        <v>2099</v>
      </c>
      <c r="B735" s="3" t="s">
        <v>68</v>
      </c>
      <c r="C735" s="3" t="s">
        <v>35</v>
      </c>
      <c r="D735" s="3" t="s">
        <v>2357</v>
      </c>
      <c r="E735" s="3" t="s">
        <v>2358</v>
      </c>
      <c r="F735" s="3" t="s">
        <v>1090</v>
      </c>
      <c r="G735" s="3" t="s">
        <v>22</v>
      </c>
      <c r="H735" s="3" t="s">
        <v>19</v>
      </c>
      <c r="I735" s="3">
        <v>2453</v>
      </c>
      <c r="J735" s="3">
        <v>0</v>
      </c>
      <c r="K735" s="3">
        <v>1682</v>
      </c>
      <c r="L735" s="3">
        <v>2335</v>
      </c>
      <c r="M735" s="3">
        <v>9</v>
      </c>
      <c r="N735" s="14">
        <v>6114.660637</v>
      </c>
      <c r="O735" s="7">
        <f t="shared" si="99"/>
        <v>0</v>
      </c>
      <c r="P735" s="14">
        <f t="shared" si="100"/>
        <v>0</v>
      </c>
      <c r="Q735" s="14">
        <f t="shared" si="101"/>
        <v>679.40673744444439</v>
      </c>
      <c r="R735" s="4">
        <f t="shared" si="102"/>
        <v>0</v>
      </c>
      <c r="S735" s="14">
        <f t="shared" si="103"/>
        <v>2618.6983456102785</v>
      </c>
      <c r="T735" s="4">
        <f t="shared" si="104"/>
        <v>68.569099062372601</v>
      </c>
      <c r="U735" s="3">
        <f>LEN(A735) - LEN(SUBSTITUTE(A735,"&gt;","")) +1</f>
        <v>6</v>
      </c>
      <c r="V735" s="8">
        <f t="shared" si="105"/>
        <v>0</v>
      </c>
      <c r="W735" s="14">
        <f t="shared" si="106"/>
        <v>1019.1101061666667</v>
      </c>
      <c r="X735" s="4">
        <f t="shared" si="107"/>
        <v>0</v>
      </c>
    </row>
    <row r="736" spans="1:24" ht="14.25" customHeight="1" x14ac:dyDescent="0.2">
      <c r="A736" s="5" t="s">
        <v>2100</v>
      </c>
      <c r="B736" s="3" t="s">
        <v>24</v>
      </c>
      <c r="C736" s="3" t="s">
        <v>29</v>
      </c>
      <c r="D736" s="3" t="s">
        <v>2362</v>
      </c>
      <c r="E736" s="3" t="s">
        <v>2352</v>
      </c>
      <c r="F736" s="3" t="s">
        <v>1092</v>
      </c>
      <c r="G736" s="3" t="s">
        <v>27</v>
      </c>
      <c r="H736" s="3" t="s">
        <v>114</v>
      </c>
      <c r="I736" s="3">
        <v>323</v>
      </c>
      <c r="J736" s="3">
        <v>0</v>
      </c>
      <c r="K736" s="3">
        <v>212</v>
      </c>
      <c r="L736" s="3">
        <v>313</v>
      </c>
      <c r="M736" s="3">
        <v>13</v>
      </c>
      <c r="N736" s="14">
        <v>6102.2813829999996</v>
      </c>
      <c r="O736" s="7">
        <f t="shared" si="99"/>
        <v>0</v>
      </c>
      <c r="P736" s="14">
        <f t="shared" si="100"/>
        <v>0</v>
      </c>
      <c r="Q736" s="14">
        <f t="shared" si="101"/>
        <v>469.40626023076919</v>
      </c>
      <c r="R736" s="4">
        <f t="shared" si="102"/>
        <v>0</v>
      </c>
      <c r="S736" s="14">
        <f t="shared" si="103"/>
        <v>19496.106654952076</v>
      </c>
      <c r="T736" s="4">
        <f t="shared" si="104"/>
        <v>65.634674922600624</v>
      </c>
      <c r="U736" s="3">
        <f>LEN(A736) - LEN(SUBSTITUTE(A736,"&gt;","")) +1</f>
        <v>6</v>
      </c>
      <c r="V736" s="8">
        <f t="shared" si="105"/>
        <v>0</v>
      </c>
      <c r="W736" s="14">
        <f t="shared" si="106"/>
        <v>1017.0468971666666</v>
      </c>
      <c r="X736" s="4">
        <f t="shared" si="107"/>
        <v>0</v>
      </c>
    </row>
    <row r="737" spans="1:24" ht="14.25" customHeight="1" x14ac:dyDescent="0.2">
      <c r="A737" s="5" t="s">
        <v>1093</v>
      </c>
      <c r="B737" s="3" t="s">
        <v>24</v>
      </c>
      <c r="C737" s="3" t="s">
        <v>35</v>
      </c>
      <c r="D737" s="3" t="s">
        <v>2368</v>
      </c>
      <c r="E737" s="3" t="s">
        <v>2352</v>
      </c>
      <c r="F737" s="3" t="s">
        <v>96</v>
      </c>
      <c r="G737" s="3" t="s">
        <v>64</v>
      </c>
      <c r="H737" s="3" t="s">
        <v>19</v>
      </c>
      <c r="I737" s="3">
        <v>1833</v>
      </c>
      <c r="J737" s="3">
        <v>0</v>
      </c>
      <c r="K737" s="3">
        <v>268</v>
      </c>
      <c r="L737" s="3">
        <v>1259</v>
      </c>
      <c r="M737" s="3">
        <v>13</v>
      </c>
      <c r="N737" s="14">
        <v>6059.7917299999999</v>
      </c>
      <c r="O737" s="7">
        <f t="shared" si="99"/>
        <v>0</v>
      </c>
      <c r="P737" s="14">
        <f t="shared" si="100"/>
        <v>0</v>
      </c>
      <c r="Q737" s="14">
        <f t="shared" si="101"/>
        <v>466.13782538461538</v>
      </c>
      <c r="R737" s="4">
        <f t="shared" si="102"/>
        <v>0</v>
      </c>
      <c r="S737" s="14">
        <f t="shared" si="103"/>
        <v>4813.1784988085783</v>
      </c>
      <c r="T737" s="4">
        <f t="shared" si="104"/>
        <v>14.620840152755047</v>
      </c>
      <c r="U737" s="3">
        <f>LEN(A737) - LEN(SUBSTITUTE(A737,"&gt;","")) +1</f>
        <v>4</v>
      </c>
      <c r="V737" s="8">
        <f t="shared" si="105"/>
        <v>0</v>
      </c>
      <c r="W737" s="14">
        <f t="shared" si="106"/>
        <v>1514.9479325</v>
      </c>
      <c r="X737" s="4">
        <f t="shared" si="107"/>
        <v>0</v>
      </c>
    </row>
    <row r="738" spans="1:24" ht="14.25" customHeight="1" x14ac:dyDescent="0.2">
      <c r="A738" s="5" t="s">
        <v>2101</v>
      </c>
      <c r="B738" s="3" t="s">
        <v>14</v>
      </c>
      <c r="C738" s="3" t="s">
        <v>15</v>
      </c>
      <c r="D738" s="3" t="s">
        <v>2362</v>
      </c>
      <c r="E738" s="3" t="s">
        <v>2352</v>
      </c>
      <c r="F738" s="3" t="s">
        <v>1095</v>
      </c>
      <c r="G738" s="3" t="s">
        <v>22</v>
      </c>
      <c r="H738" s="3" t="s">
        <v>19</v>
      </c>
      <c r="I738" s="3">
        <v>202</v>
      </c>
      <c r="J738" s="3">
        <v>0</v>
      </c>
      <c r="K738" s="3">
        <v>132</v>
      </c>
      <c r="L738" s="3">
        <v>186</v>
      </c>
      <c r="M738" s="3">
        <v>1</v>
      </c>
      <c r="N738" s="14">
        <v>5970.9530000000004</v>
      </c>
      <c r="O738" s="7">
        <f t="shared" si="99"/>
        <v>0</v>
      </c>
      <c r="P738" s="14">
        <f t="shared" si="100"/>
        <v>0</v>
      </c>
      <c r="Q738" s="14">
        <f t="shared" si="101"/>
        <v>5970.9530000000004</v>
      </c>
      <c r="R738" s="4">
        <f t="shared" si="102"/>
        <v>0</v>
      </c>
      <c r="S738" s="14">
        <f t="shared" si="103"/>
        <v>32101.89784946237</v>
      </c>
      <c r="T738" s="4">
        <f t="shared" si="104"/>
        <v>65.346534653465355</v>
      </c>
      <c r="U738" s="3">
        <f>LEN(A738) - LEN(SUBSTITUTE(A738,"&gt;","")) +1</f>
        <v>5</v>
      </c>
      <c r="V738" s="8">
        <f t="shared" si="105"/>
        <v>0</v>
      </c>
      <c r="W738" s="14">
        <f t="shared" si="106"/>
        <v>1194.1906000000001</v>
      </c>
      <c r="X738" s="4">
        <f t="shared" si="107"/>
        <v>0</v>
      </c>
    </row>
    <row r="739" spans="1:24" ht="14.25" customHeight="1" x14ac:dyDescent="0.2">
      <c r="A739" s="5" t="s">
        <v>2102</v>
      </c>
      <c r="B739" s="3" t="s">
        <v>68</v>
      </c>
      <c r="C739" s="3" t="s">
        <v>35</v>
      </c>
      <c r="D739" s="3" t="s">
        <v>2359</v>
      </c>
      <c r="E739" s="3" t="s">
        <v>2360</v>
      </c>
      <c r="F739" s="3" t="s">
        <v>938</v>
      </c>
      <c r="G739" s="3" t="s">
        <v>64</v>
      </c>
      <c r="H739" s="3" t="s">
        <v>19</v>
      </c>
      <c r="I739" s="3">
        <v>2120</v>
      </c>
      <c r="J739" s="3">
        <v>0</v>
      </c>
      <c r="K739" s="3">
        <v>1079</v>
      </c>
      <c r="L739" s="3">
        <v>1988</v>
      </c>
      <c r="M739" s="3">
        <v>3</v>
      </c>
      <c r="N739" s="14">
        <v>5935.4378559999996</v>
      </c>
      <c r="O739" s="7">
        <f t="shared" si="99"/>
        <v>0</v>
      </c>
      <c r="P739" s="14">
        <f t="shared" si="100"/>
        <v>0</v>
      </c>
      <c r="Q739" s="14">
        <f t="shared" si="101"/>
        <v>1978.4792853333331</v>
      </c>
      <c r="R739" s="4">
        <f t="shared" si="102"/>
        <v>0</v>
      </c>
      <c r="S739" s="14">
        <f t="shared" si="103"/>
        <v>2985.6327243460764</v>
      </c>
      <c r="T739" s="4">
        <f t="shared" si="104"/>
        <v>50.89622641509434</v>
      </c>
      <c r="U739" s="3">
        <f>LEN(A739) - LEN(SUBSTITUTE(A739,"&gt;","")) +1</f>
        <v>5</v>
      </c>
      <c r="V739" s="8">
        <f t="shared" si="105"/>
        <v>0</v>
      </c>
      <c r="W739" s="14">
        <f t="shared" si="106"/>
        <v>1187.0875712</v>
      </c>
      <c r="X739" s="4">
        <f t="shared" si="107"/>
        <v>0</v>
      </c>
    </row>
    <row r="740" spans="1:24" ht="14.25" customHeight="1" x14ac:dyDescent="0.2">
      <c r="A740" s="5" t="s">
        <v>2103</v>
      </c>
      <c r="B740" s="3" t="s">
        <v>24</v>
      </c>
      <c r="C740" s="3" t="s">
        <v>35</v>
      </c>
      <c r="D740" s="3" t="s">
        <v>2353</v>
      </c>
      <c r="E740" s="3" t="s">
        <v>2354</v>
      </c>
      <c r="F740" s="3" t="s">
        <v>1098</v>
      </c>
      <c r="G740" s="3" t="s">
        <v>22</v>
      </c>
      <c r="H740" s="3" t="s">
        <v>19</v>
      </c>
      <c r="I740" s="3">
        <v>7691</v>
      </c>
      <c r="J740" s="3">
        <v>0</v>
      </c>
      <c r="K740" s="3">
        <v>3890</v>
      </c>
      <c r="L740" s="3">
        <v>5905</v>
      </c>
      <c r="M740" s="3">
        <v>1</v>
      </c>
      <c r="N740" s="14">
        <v>5927.8067879999999</v>
      </c>
      <c r="O740" s="7">
        <f t="shared" si="99"/>
        <v>0</v>
      </c>
      <c r="P740" s="14">
        <f t="shared" si="100"/>
        <v>0</v>
      </c>
      <c r="Q740" s="14">
        <f t="shared" si="101"/>
        <v>5927.8067879999999</v>
      </c>
      <c r="R740" s="4">
        <f t="shared" si="102"/>
        <v>0</v>
      </c>
      <c r="S740" s="14">
        <f t="shared" si="103"/>
        <v>1003.862284165961</v>
      </c>
      <c r="T740" s="4">
        <f t="shared" si="104"/>
        <v>50.578598361721497</v>
      </c>
      <c r="U740" s="3">
        <f>LEN(A740) - LEN(SUBSTITUTE(A740,"&gt;","")) +1</f>
        <v>5</v>
      </c>
      <c r="V740" s="8">
        <f t="shared" si="105"/>
        <v>0</v>
      </c>
      <c r="W740" s="14">
        <f t="shared" si="106"/>
        <v>1185.5613576000001</v>
      </c>
      <c r="X740" s="4">
        <f t="shared" si="107"/>
        <v>0</v>
      </c>
    </row>
    <row r="741" spans="1:24" ht="14.25" customHeight="1" x14ac:dyDescent="0.2">
      <c r="A741" s="5" t="s">
        <v>2104</v>
      </c>
      <c r="B741" s="3" t="s">
        <v>14</v>
      </c>
      <c r="C741" s="3" t="s">
        <v>32</v>
      </c>
      <c r="D741" s="3" t="s">
        <v>2353</v>
      </c>
      <c r="E741" s="3" t="s">
        <v>2354</v>
      </c>
      <c r="F741" s="3" t="s">
        <v>425</v>
      </c>
      <c r="G741" s="3" t="s">
        <v>64</v>
      </c>
      <c r="H741" s="3" t="s">
        <v>19</v>
      </c>
      <c r="I741" s="3">
        <v>488</v>
      </c>
      <c r="J741" s="3">
        <v>0</v>
      </c>
      <c r="K741" s="3">
        <v>254</v>
      </c>
      <c r="L741" s="3">
        <v>437</v>
      </c>
      <c r="M741" s="3">
        <v>13</v>
      </c>
      <c r="N741" s="14">
        <v>5924.6139830000002</v>
      </c>
      <c r="O741" s="7">
        <f t="shared" si="99"/>
        <v>0</v>
      </c>
      <c r="P741" s="14">
        <f t="shared" si="100"/>
        <v>0</v>
      </c>
      <c r="Q741" s="14">
        <f t="shared" si="101"/>
        <v>455.73953715384619</v>
      </c>
      <c r="R741" s="4">
        <f t="shared" si="102"/>
        <v>0</v>
      </c>
      <c r="S741" s="14">
        <f t="shared" si="103"/>
        <v>13557.469068649887</v>
      </c>
      <c r="T741" s="4">
        <f t="shared" si="104"/>
        <v>52.049180327868847</v>
      </c>
      <c r="U741" s="3">
        <f>LEN(A741) - LEN(SUBSTITUTE(A741,"&gt;","")) +1</f>
        <v>5</v>
      </c>
      <c r="V741" s="8">
        <f t="shared" si="105"/>
        <v>0</v>
      </c>
      <c r="W741" s="14">
        <f t="shared" si="106"/>
        <v>1184.9227966000001</v>
      </c>
      <c r="X741" s="4">
        <f t="shared" si="107"/>
        <v>0</v>
      </c>
    </row>
    <row r="742" spans="1:24" ht="14.25" customHeight="1" x14ac:dyDescent="0.2">
      <c r="A742" s="5" t="s">
        <v>2105</v>
      </c>
      <c r="B742" s="3" t="s">
        <v>24</v>
      </c>
      <c r="C742" s="3" t="s">
        <v>29</v>
      </c>
      <c r="D742" s="3" t="s">
        <v>2353</v>
      </c>
      <c r="E742" s="3" t="s">
        <v>2354</v>
      </c>
      <c r="F742" s="3" t="s">
        <v>191</v>
      </c>
      <c r="G742" s="3" t="s">
        <v>27</v>
      </c>
      <c r="H742" s="3" t="s">
        <v>19</v>
      </c>
      <c r="I742" s="3">
        <v>3587</v>
      </c>
      <c r="J742" s="3">
        <v>0</v>
      </c>
      <c r="K742" s="3">
        <v>1771</v>
      </c>
      <c r="L742" s="3">
        <v>2989</v>
      </c>
      <c r="M742" s="3">
        <v>3</v>
      </c>
      <c r="N742" s="14">
        <v>5838.2390160000004</v>
      </c>
      <c r="O742" s="7">
        <f t="shared" si="99"/>
        <v>0</v>
      </c>
      <c r="P742" s="14">
        <f t="shared" si="100"/>
        <v>0</v>
      </c>
      <c r="Q742" s="14">
        <f t="shared" si="101"/>
        <v>1946.0796720000001</v>
      </c>
      <c r="R742" s="4">
        <f t="shared" si="102"/>
        <v>0</v>
      </c>
      <c r="S742" s="14">
        <f t="shared" si="103"/>
        <v>1953.2415577116094</v>
      </c>
      <c r="T742" s="4">
        <f t="shared" si="104"/>
        <v>49.3727348759409</v>
      </c>
      <c r="U742" s="3">
        <f>LEN(A742) - LEN(SUBSTITUTE(A742,"&gt;","")) +1</f>
        <v>5</v>
      </c>
      <c r="V742" s="8">
        <f t="shared" si="105"/>
        <v>0</v>
      </c>
      <c r="W742" s="14">
        <f t="shared" si="106"/>
        <v>1167.6478032</v>
      </c>
      <c r="X742" s="4">
        <f t="shared" si="107"/>
        <v>0</v>
      </c>
    </row>
    <row r="743" spans="1:24" ht="14.25" customHeight="1" x14ac:dyDescent="0.2">
      <c r="A743" s="5" t="s">
        <v>2106</v>
      </c>
      <c r="B743" s="3" t="s">
        <v>24</v>
      </c>
      <c r="C743" s="3" t="s">
        <v>15</v>
      </c>
      <c r="D743" s="3" t="s">
        <v>2378</v>
      </c>
      <c r="E743" s="3" t="s">
        <v>2352</v>
      </c>
      <c r="F743" s="3" t="s">
        <v>1102</v>
      </c>
      <c r="G743" s="3" t="s">
        <v>27</v>
      </c>
      <c r="H743" s="3" t="s">
        <v>114</v>
      </c>
      <c r="I743" s="3">
        <v>240</v>
      </c>
      <c r="J743" s="3">
        <v>0</v>
      </c>
      <c r="K743" s="3">
        <v>151</v>
      </c>
      <c r="L743" s="3">
        <v>220</v>
      </c>
      <c r="M743" s="3">
        <v>24</v>
      </c>
      <c r="N743" s="14">
        <v>5829.9005200000001</v>
      </c>
      <c r="O743" s="7">
        <f t="shared" si="99"/>
        <v>0</v>
      </c>
      <c r="P743" s="14">
        <f t="shared" si="100"/>
        <v>0</v>
      </c>
      <c r="Q743" s="14">
        <f t="shared" si="101"/>
        <v>242.91252166666666</v>
      </c>
      <c r="R743" s="4">
        <f t="shared" si="102"/>
        <v>0</v>
      </c>
      <c r="S743" s="14">
        <f t="shared" si="103"/>
        <v>26499.547818181818</v>
      </c>
      <c r="T743" s="4">
        <f t="shared" si="104"/>
        <v>62.916666666666664</v>
      </c>
      <c r="U743" s="3">
        <f>LEN(A743) - LEN(SUBSTITUTE(A743,"&gt;","")) +1</f>
        <v>5</v>
      </c>
      <c r="V743" s="8">
        <f t="shared" si="105"/>
        <v>0</v>
      </c>
      <c r="W743" s="14">
        <f t="shared" si="106"/>
        <v>1165.980104</v>
      </c>
      <c r="X743" s="4">
        <f t="shared" si="107"/>
        <v>0</v>
      </c>
    </row>
    <row r="744" spans="1:24" ht="14.25" customHeight="1" x14ac:dyDescent="0.2">
      <c r="A744" s="5" t="s">
        <v>2107</v>
      </c>
      <c r="B744" s="3" t="s">
        <v>14</v>
      </c>
      <c r="C744" s="3" t="s">
        <v>32</v>
      </c>
      <c r="D744" s="3" t="s">
        <v>2353</v>
      </c>
      <c r="E744" s="3" t="s">
        <v>2354</v>
      </c>
      <c r="F744" s="3" t="s">
        <v>1104</v>
      </c>
      <c r="G744" s="3" t="s">
        <v>41</v>
      </c>
      <c r="H744" s="3" t="s">
        <v>19</v>
      </c>
      <c r="I744" s="3">
        <v>2005</v>
      </c>
      <c r="J744" s="3">
        <v>0</v>
      </c>
      <c r="K744" s="3">
        <v>802</v>
      </c>
      <c r="L744" s="3">
        <v>1927</v>
      </c>
      <c r="M744" s="3">
        <v>15</v>
      </c>
      <c r="N744" s="14">
        <v>5810.6545260000003</v>
      </c>
      <c r="O744" s="7">
        <f t="shared" si="99"/>
        <v>0</v>
      </c>
      <c r="P744" s="14">
        <f t="shared" si="100"/>
        <v>0</v>
      </c>
      <c r="Q744" s="14">
        <f t="shared" si="101"/>
        <v>387.37696840000001</v>
      </c>
      <c r="R744" s="4">
        <f t="shared" si="102"/>
        <v>0</v>
      </c>
      <c r="S744" s="14">
        <f t="shared" si="103"/>
        <v>3015.3889600415155</v>
      </c>
      <c r="T744" s="4">
        <f t="shared" si="104"/>
        <v>40</v>
      </c>
      <c r="U744" s="3">
        <f>LEN(A744) - LEN(SUBSTITUTE(A744,"&gt;","")) +1</f>
        <v>5</v>
      </c>
      <c r="V744" s="8">
        <f t="shared" si="105"/>
        <v>0</v>
      </c>
      <c r="W744" s="14">
        <f t="shared" si="106"/>
        <v>1162.1309052000001</v>
      </c>
      <c r="X744" s="4">
        <f t="shared" si="107"/>
        <v>0</v>
      </c>
    </row>
    <row r="745" spans="1:24" ht="14.25" customHeight="1" x14ac:dyDescent="0.2">
      <c r="A745" s="5" t="s">
        <v>1105</v>
      </c>
      <c r="B745" s="3" t="s">
        <v>68</v>
      </c>
      <c r="C745" s="3" t="s">
        <v>32</v>
      </c>
      <c r="D745" s="3" t="s">
        <v>2362</v>
      </c>
      <c r="E745" s="3" t="s">
        <v>2352</v>
      </c>
      <c r="F745" s="3" t="s">
        <v>1106</v>
      </c>
      <c r="G745" s="3" t="s">
        <v>27</v>
      </c>
      <c r="H745" s="3" t="s">
        <v>19</v>
      </c>
      <c r="I745" s="3">
        <v>2945</v>
      </c>
      <c r="J745" s="3">
        <v>0</v>
      </c>
      <c r="K745" s="3">
        <v>1499</v>
      </c>
      <c r="L745" s="3">
        <v>2675</v>
      </c>
      <c r="M745" s="3">
        <v>2</v>
      </c>
      <c r="N745" s="14">
        <v>5753.0671400000001</v>
      </c>
      <c r="O745" s="7">
        <f t="shared" si="99"/>
        <v>0</v>
      </c>
      <c r="P745" s="14">
        <f t="shared" si="100"/>
        <v>0</v>
      </c>
      <c r="Q745" s="14">
        <f t="shared" si="101"/>
        <v>2876.5335700000001</v>
      </c>
      <c r="R745" s="4">
        <f t="shared" si="102"/>
        <v>0</v>
      </c>
      <c r="S745" s="14">
        <f t="shared" si="103"/>
        <v>2150.6793046728972</v>
      </c>
      <c r="T745" s="4">
        <f t="shared" si="104"/>
        <v>50.899830220713071</v>
      </c>
      <c r="U745" s="3">
        <f>LEN(A745) - LEN(SUBSTITUTE(A745,"&gt;","")) +1</f>
        <v>4</v>
      </c>
      <c r="V745" s="8">
        <f t="shared" si="105"/>
        <v>0</v>
      </c>
      <c r="W745" s="14">
        <f t="shared" si="106"/>
        <v>1438.266785</v>
      </c>
      <c r="X745" s="4">
        <f t="shared" si="107"/>
        <v>0</v>
      </c>
    </row>
    <row r="746" spans="1:24" ht="14.25" customHeight="1" x14ac:dyDescent="0.2">
      <c r="A746" s="5" t="s">
        <v>2108</v>
      </c>
      <c r="B746" s="3" t="s">
        <v>14</v>
      </c>
      <c r="C746" s="3" t="s">
        <v>32</v>
      </c>
      <c r="D746" s="3" t="s">
        <v>2353</v>
      </c>
      <c r="E746" s="3" t="s">
        <v>2354</v>
      </c>
      <c r="F746" s="3" t="s">
        <v>618</v>
      </c>
      <c r="G746" s="3" t="s">
        <v>27</v>
      </c>
      <c r="H746" s="3" t="s">
        <v>19</v>
      </c>
      <c r="I746" s="3">
        <v>38396</v>
      </c>
      <c r="J746" s="3">
        <v>0</v>
      </c>
      <c r="K746" s="3">
        <v>6305</v>
      </c>
      <c r="L746" s="3">
        <v>35118</v>
      </c>
      <c r="M746" s="3">
        <v>1</v>
      </c>
      <c r="N746" s="14">
        <v>5740.164546</v>
      </c>
      <c r="O746" s="7">
        <f t="shared" si="99"/>
        <v>0</v>
      </c>
      <c r="P746" s="14">
        <f t="shared" si="100"/>
        <v>0</v>
      </c>
      <c r="Q746" s="14">
        <f t="shared" si="101"/>
        <v>5740.164546</v>
      </c>
      <c r="R746" s="4">
        <f t="shared" si="102"/>
        <v>0</v>
      </c>
      <c r="S746" s="14">
        <f t="shared" si="103"/>
        <v>163.45362907910473</v>
      </c>
      <c r="T746" s="4">
        <f t="shared" si="104"/>
        <v>16.420981352224189</v>
      </c>
      <c r="U746" s="3">
        <f>LEN(A746) - LEN(SUBSTITUTE(A746,"&gt;","")) +1</f>
        <v>5</v>
      </c>
      <c r="V746" s="8">
        <f t="shared" si="105"/>
        <v>0</v>
      </c>
      <c r="W746" s="14">
        <f t="shared" si="106"/>
        <v>1148.0329091999999</v>
      </c>
      <c r="X746" s="4">
        <f t="shared" si="107"/>
        <v>0</v>
      </c>
    </row>
    <row r="747" spans="1:24" ht="14.25" customHeight="1" x14ac:dyDescent="0.2">
      <c r="A747" s="5" t="s">
        <v>2109</v>
      </c>
      <c r="B747" s="3" t="s">
        <v>14</v>
      </c>
      <c r="C747" s="3" t="s">
        <v>35</v>
      </c>
      <c r="D747" s="3" t="s">
        <v>2386</v>
      </c>
      <c r="E747" s="3" t="s">
        <v>2387</v>
      </c>
      <c r="F747" s="3" t="s">
        <v>684</v>
      </c>
      <c r="G747" s="3" t="s">
        <v>22</v>
      </c>
      <c r="H747" s="3" t="s">
        <v>19</v>
      </c>
      <c r="I747" s="3">
        <v>14047</v>
      </c>
      <c r="J747" s="3">
        <v>0</v>
      </c>
      <c r="K747" s="3">
        <v>9934</v>
      </c>
      <c r="L747" s="3">
        <v>13377</v>
      </c>
      <c r="M747" s="3">
        <v>1</v>
      </c>
      <c r="N747" s="14">
        <v>5729.6507549999997</v>
      </c>
      <c r="O747" s="7">
        <f t="shared" si="99"/>
        <v>0</v>
      </c>
      <c r="P747" s="14">
        <f t="shared" si="100"/>
        <v>0</v>
      </c>
      <c r="Q747" s="14">
        <f t="shared" si="101"/>
        <v>5729.6507549999997</v>
      </c>
      <c r="R747" s="4">
        <f t="shared" si="102"/>
        <v>0</v>
      </c>
      <c r="S747" s="14">
        <f t="shared" si="103"/>
        <v>428.32105516932046</v>
      </c>
      <c r="T747" s="4">
        <f t="shared" si="104"/>
        <v>70.719726632021079</v>
      </c>
      <c r="U747" s="3">
        <f>LEN(A747) - LEN(SUBSTITUTE(A747,"&gt;","")) +1</f>
        <v>5</v>
      </c>
      <c r="V747" s="8">
        <f t="shared" si="105"/>
        <v>0</v>
      </c>
      <c r="W747" s="14">
        <f t="shared" si="106"/>
        <v>1145.930151</v>
      </c>
      <c r="X747" s="4">
        <f t="shared" si="107"/>
        <v>0</v>
      </c>
    </row>
    <row r="748" spans="1:24" ht="14.25" customHeight="1" x14ac:dyDescent="0.2">
      <c r="A748" s="5" t="s">
        <v>2110</v>
      </c>
      <c r="B748" s="3" t="s">
        <v>14</v>
      </c>
      <c r="C748" s="3" t="s">
        <v>29</v>
      </c>
      <c r="D748" s="3" t="s">
        <v>2401</v>
      </c>
      <c r="E748" s="3" t="s">
        <v>2375</v>
      </c>
      <c r="F748" s="3" t="s">
        <v>1044</v>
      </c>
      <c r="G748" s="3" t="s">
        <v>27</v>
      </c>
      <c r="H748" s="3" t="s">
        <v>19</v>
      </c>
      <c r="I748" s="3">
        <v>3913</v>
      </c>
      <c r="J748" s="3">
        <v>0</v>
      </c>
      <c r="K748" s="3">
        <v>2727</v>
      </c>
      <c r="L748" s="3">
        <v>3667</v>
      </c>
      <c r="M748" s="3">
        <v>3</v>
      </c>
      <c r="N748" s="14">
        <v>5727.0978150000001</v>
      </c>
      <c r="O748" s="7">
        <f t="shared" si="99"/>
        <v>0</v>
      </c>
      <c r="P748" s="14">
        <f t="shared" si="100"/>
        <v>0</v>
      </c>
      <c r="Q748" s="14">
        <f t="shared" si="101"/>
        <v>1909.0326050000001</v>
      </c>
      <c r="R748" s="4">
        <f t="shared" si="102"/>
        <v>0</v>
      </c>
      <c r="S748" s="14">
        <f t="shared" si="103"/>
        <v>1561.7937864739567</v>
      </c>
      <c r="T748" s="4">
        <f t="shared" si="104"/>
        <v>69.690774341937129</v>
      </c>
      <c r="U748" s="3">
        <f>LEN(A748) - LEN(SUBSTITUTE(A748,"&gt;","")) +1</f>
        <v>5</v>
      </c>
      <c r="V748" s="8">
        <f t="shared" si="105"/>
        <v>0</v>
      </c>
      <c r="W748" s="14">
        <f t="shared" si="106"/>
        <v>1145.4195629999999</v>
      </c>
      <c r="X748" s="4">
        <f t="shared" si="107"/>
        <v>0</v>
      </c>
    </row>
    <row r="749" spans="1:24" ht="14.25" customHeight="1" x14ac:dyDescent="0.2">
      <c r="A749" s="5" t="s">
        <v>2111</v>
      </c>
      <c r="B749" s="2" t="s">
        <v>14</v>
      </c>
      <c r="C749" s="3" t="s">
        <v>32</v>
      </c>
      <c r="D749" s="2" t="s">
        <v>2368</v>
      </c>
      <c r="E749" s="2" t="s">
        <v>2352</v>
      </c>
      <c r="F749" s="2" t="s">
        <v>437</v>
      </c>
      <c r="G749" s="2" t="s">
        <v>27</v>
      </c>
      <c r="H749" s="3" t="s">
        <v>19</v>
      </c>
      <c r="I749" s="2">
        <v>6899</v>
      </c>
      <c r="J749" s="2">
        <v>0</v>
      </c>
      <c r="K749" s="2">
        <v>5552</v>
      </c>
      <c r="L749" s="2">
        <v>6680</v>
      </c>
      <c r="M749" s="2">
        <v>1</v>
      </c>
      <c r="N749" s="15">
        <v>5693.369224</v>
      </c>
      <c r="O749" s="7">
        <f t="shared" si="99"/>
        <v>0</v>
      </c>
      <c r="P749" s="14">
        <f t="shared" si="100"/>
        <v>0</v>
      </c>
      <c r="Q749" s="14">
        <f t="shared" si="101"/>
        <v>5693.369224</v>
      </c>
      <c r="R749" s="4">
        <f t="shared" si="102"/>
        <v>0</v>
      </c>
      <c r="S749" s="14">
        <f t="shared" si="103"/>
        <v>852.30078203592814</v>
      </c>
      <c r="T749" s="4">
        <f t="shared" si="104"/>
        <v>80.47543122191621</v>
      </c>
      <c r="U749" s="3">
        <f>LEN(A749) - LEN(SUBSTITUTE(A749,"&gt;","")) +1</f>
        <v>5</v>
      </c>
      <c r="V749" s="8">
        <f t="shared" si="105"/>
        <v>0</v>
      </c>
      <c r="W749" s="14">
        <f t="shared" si="106"/>
        <v>1138.6738448000001</v>
      </c>
      <c r="X749" s="4">
        <f t="shared" si="107"/>
        <v>0</v>
      </c>
    </row>
    <row r="750" spans="1:24" ht="14.25" customHeight="1" x14ac:dyDescent="0.2">
      <c r="A750" s="5" t="s">
        <v>2112</v>
      </c>
      <c r="B750" s="3" t="s">
        <v>14</v>
      </c>
      <c r="C750" s="3" t="s">
        <v>32</v>
      </c>
      <c r="D750" s="3" t="s">
        <v>2353</v>
      </c>
      <c r="E750" s="3" t="s">
        <v>2354</v>
      </c>
      <c r="F750" s="3" t="s">
        <v>1112</v>
      </c>
      <c r="G750" s="3" t="s">
        <v>27</v>
      </c>
      <c r="H750" s="3" t="s">
        <v>19</v>
      </c>
      <c r="I750" s="3">
        <v>1313</v>
      </c>
      <c r="J750" s="3">
        <v>0</v>
      </c>
      <c r="K750" s="3">
        <v>631</v>
      </c>
      <c r="L750" s="3">
        <v>1203</v>
      </c>
      <c r="M750" s="3">
        <v>3</v>
      </c>
      <c r="N750" s="14">
        <v>5628.4334760000002</v>
      </c>
      <c r="O750" s="7">
        <f t="shared" si="99"/>
        <v>0</v>
      </c>
      <c r="P750" s="14">
        <f t="shared" si="100"/>
        <v>0</v>
      </c>
      <c r="Q750" s="14">
        <f t="shared" si="101"/>
        <v>1876.1444920000001</v>
      </c>
      <c r="R750" s="4">
        <f t="shared" si="102"/>
        <v>0</v>
      </c>
      <c r="S750" s="14">
        <f t="shared" si="103"/>
        <v>4678.6645685785534</v>
      </c>
      <c r="T750" s="4">
        <f t="shared" si="104"/>
        <v>48.057882711348057</v>
      </c>
      <c r="U750" s="3">
        <f>LEN(A750) - LEN(SUBSTITUTE(A750,"&gt;","")) +1</f>
        <v>5</v>
      </c>
      <c r="V750" s="8">
        <f t="shared" si="105"/>
        <v>0</v>
      </c>
      <c r="W750" s="14">
        <f t="shared" si="106"/>
        <v>1125.6866952</v>
      </c>
      <c r="X750" s="4">
        <f t="shared" si="107"/>
        <v>0</v>
      </c>
    </row>
    <row r="751" spans="1:24" ht="14.25" customHeight="1" x14ac:dyDescent="0.2">
      <c r="A751" s="5" t="s">
        <v>2113</v>
      </c>
      <c r="B751" s="3" t="s">
        <v>24</v>
      </c>
      <c r="C751" s="3" t="s">
        <v>35</v>
      </c>
      <c r="D751" s="3" t="s">
        <v>2353</v>
      </c>
      <c r="E751" s="3" t="s">
        <v>2354</v>
      </c>
      <c r="F751" s="3" t="s">
        <v>1114</v>
      </c>
      <c r="G751" s="3" t="s">
        <v>27</v>
      </c>
      <c r="H751" s="3" t="s">
        <v>19</v>
      </c>
      <c r="I751" s="3">
        <v>751</v>
      </c>
      <c r="J751" s="3">
        <v>0</v>
      </c>
      <c r="K751" s="3">
        <v>455</v>
      </c>
      <c r="L751" s="3">
        <v>693</v>
      </c>
      <c r="M751" s="3">
        <v>11</v>
      </c>
      <c r="N751" s="14">
        <v>5586.0837849999998</v>
      </c>
      <c r="O751" s="7">
        <f t="shared" si="99"/>
        <v>0</v>
      </c>
      <c r="P751" s="14">
        <f t="shared" si="100"/>
        <v>0</v>
      </c>
      <c r="Q751" s="14">
        <f t="shared" si="101"/>
        <v>507.82579863636363</v>
      </c>
      <c r="R751" s="4">
        <f t="shared" si="102"/>
        <v>0</v>
      </c>
      <c r="S751" s="14">
        <f t="shared" si="103"/>
        <v>8060.7269624819619</v>
      </c>
      <c r="T751" s="4">
        <f t="shared" si="104"/>
        <v>60.58588548601864</v>
      </c>
      <c r="U751" s="3">
        <f>LEN(A751) - LEN(SUBSTITUTE(A751,"&gt;","")) +1</f>
        <v>5</v>
      </c>
      <c r="V751" s="8">
        <f t="shared" si="105"/>
        <v>0</v>
      </c>
      <c r="W751" s="14">
        <f t="shared" si="106"/>
        <v>1117.2167569999999</v>
      </c>
      <c r="X751" s="4">
        <f t="shared" si="107"/>
        <v>0</v>
      </c>
    </row>
    <row r="752" spans="1:24" ht="14.25" customHeight="1" x14ac:dyDescent="0.2">
      <c r="A752" s="5" t="s">
        <v>1115</v>
      </c>
      <c r="B752" s="3" t="s">
        <v>24</v>
      </c>
      <c r="C752" s="3" t="s">
        <v>15</v>
      </c>
      <c r="D752" s="3" t="s">
        <v>2378</v>
      </c>
      <c r="E752" s="3" t="s">
        <v>2352</v>
      </c>
      <c r="F752" s="3" t="s">
        <v>1116</v>
      </c>
      <c r="G752" s="3" t="s">
        <v>27</v>
      </c>
      <c r="H752" s="3" t="s">
        <v>19</v>
      </c>
      <c r="I752" s="3">
        <v>532</v>
      </c>
      <c r="J752" s="3">
        <v>0</v>
      </c>
      <c r="K752" s="3">
        <v>60</v>
      </c>
      <c r="L752" s="3">
        <v>481</v>
      </c>
      <c r="M752" s="3">
        <v>5</v>
      </c>
      <c r="N752" s="14">
        <v>5500.683497</v>
      </c>
      <c r="O752" s="7">
        <f t="shared" si="99"/>
        <v>0</v>
      </c>
      <c r="P752" s="14">
        <f t="shared" si="100"/>
        <v>0</v>
      </c>
      <c r="Q752" s="14">
        <f t="shared" si="101"/>
        <v>1100.1366994</v>
      </c>
      <c r="R752" s="4">
        <f t="shared" si="102"/>
        <v>0</v>
      </c>
      <c r="S752" s="14">
        <f t="shared" si="103"/>
        <v>11435.932426195426</v>
      </c>
      <c r="T752" s="4">
        <f t="shared" si="104"/>
        <v>11.278195488721805</v>
      </c>
      <c r="U752" s="3">
        <f>LEN(A752) - LEN(SUBSTITUTE(A752,"&gt;","")) +1</f>
        <v>4</v>
      </c>
      <c r="V752" s="8">
        <f t="shared" si="105"/>
        <v>0</v>
      </c>
      <c r="W752" s="14">
        <f t="shared" si="106"/>
        <v>1375.17087425</v>
      </c>
      <c r="X752" s="4">
        <f t="shared" si="107"/>
        <v>0</v>
      </c>
    </row>
    <row r="753" spans="1:24" ht="14.25" customHeight="1" x14ac:dyDescent="0.2">
      <c r="A753" s="5" t="s">
        <v>1117</v>
      </c>
      <c r="B753" s="3" t="s">
        <v>68</v>
      </c>
      <c r="C753" s="3" t="s">
        <v>35</v>
      </c>
      <c r="D753" s="3" t="s">
        <v>2368</v>
      </c>
      <c r="E753" s="3" t="s">
        <v>2352</v>
      </c>
      <c r="F753" s="3" t="s">
        <v>635</v>
      </c>
      <c r="G753" s="3" t="s">
        <v>38</v>
      </c>
      <c r="H753" s="3" t="s">
        <v>19</v>
      </c>
      <c r="I753" s="3">
        <v>19408</v>
      </c>
      <c r="J753" s="3">
        <v>0</v>
      </c>
      <c r="K753" s="3">
        <v>6596</v>
      </c>
      <c r="L753" s="3">
        <v>13880</v>
      </c>
      <c r="M753" s="3">
        <v>2</v>
      </c>
      <c r="N753" s="14">
        <v>5492.8216480000001</v>
      </c>
      <c r="O753" s="7">
        <f t="shared" si="99"/>
        <v>0</v>
      </c>
      <c r="P753" s="14">
        <f t="shared" si="100"/>
        <v>0</v>
      </c>
      <c r="Q753" s="14">
        <f t="shared" si="101"/>
        <v>2746.410824</v>
      </c>
      <c r="R753" s="4">
        <f t="shared" si="102"/>
        <v>0</v>
      </c>
      <c r="S753" s="14">
        <f t="shared" si="103"/>
        <v>395.73642997118156</v>
      </c>
      <c r="T753" s="4">
        <f t="shared" si="104"/>
        <v>33.985985160758453</v>
      </c>
      <c r="U753" s="3">
        <f>LEN(A753) - LEN(SUBSTITUTE(A753,"&gt;","")) +1</f>
        <v>4</v>
      </c>
      <c r="V753" s="8">
        <f t="shared" si="105"/>
        <v>0</v>
      </c>
      <c r="W753" s="14">
        <f t="shared" si="106"/>
        <v>1373.205412</v>
      </c>
      <c r="X753" s="4">
        <f t="shared" si="107"/>
        <v>0</v>
      </c>
    </row>
    <row r="754" spans="1:24" ht="14.25" customHeight="1" x14ac:dyDescent="0.2">
      <c r="A754" s="5" t="s">
        <v>2114</v>
      </c>
      <c r="B754" s="3" t="s">
        <v>24</v>
      </c>
      <c r="C754" s="3" t="s">
        <v>29</v>
      </c>
      <c r="D754" s="3" t="s">
        <v>2401</v>
      </c>
      <c r="E754" s="3" t="s">
        <v>2375</v>
      </c>
      <c r="F754" s="3" t="s">
        <v>684</v>
      </c>
      <c r="G754" s="3" t="s">
        <v>41</v>
      </c>
      <c r="H754" s="3" t="s">
        <v>19</v>
      </c>
      <c r="I754" s="3">
        <v>7029</v>
      </c>
      <c r="J754" s="3">
        <v>0</v>
      </c>
      <c r="K754" s="3">
        <v>4183</v>
      </c>
      <c r="L754" s="3">
        <v>6635</v>
      </c>
      <c r="M754" s="3">
        <v>1</v>
      </c>
      <c r="N754" s="14">
        <v>5455.9945250000001</v>
      </c>
      <c r="O754" s="7">
        <f t="shared" si="99"/>
        <v>0</v>
      </c>
      <c r="P754" s="14">
        <f t="shared" si="100"/>
        <v>0</v>
      </c>
      <c r="Q754" s="14">
        <f t="shared" si="101"/>
        <v>5455.9945250000001</v>
      </c>
      <c r="R754" s="4">
        <f t="shared" si="102"/>
        <v>0</v>
      </c>
      <c r="S754" s="14">
        <f t="shared" si="103"/>
        <v>822.30512810851542</v>
      </c>
      <c r="T754" s="4">
        <f t="shared" si="104"/>
        <v>59.510598947218661</v>
      </c>
      <c r="U754" s="3">
        <f>LEN(A754) - LEN(SUBSTITUTE(A754,"&gt;","")) +1</f>
        <v>5</v>
      </c>
      <c r="V754" s="8">
        <f t="shared" si="105"/>
        <v>0</v>
      </c>
      <c r="W754" s="14">
        <f t="shared" si="106"/>
        <v>1091.198905</v>
      </c>
      <c r="X754" s="4">
        <f t="shared" si="107"/>
        <v>0</v>
      </c>
    </row>
    <row r="755" spans="1:24" ht="14.25" customHeight="1" x14ac:dyDescent="0.2">
      <c r="A755" s="5" t="s">
        <v>1119</v>
      </c>
      <c r="B755" s="3" t="s">
        <v>14</v>
      </c>
      <c r="C755" s="3" t="s">
        <v>15</v>
      </c>
      <c r="D755" s="3" t="s">
        <v>2369</v>
      </c>
      <c r="E755" s="3" t="s">
        <v>2365</v>
      </c>
      <c r="F755" s="3" t="s">
        <v>1120</v>
      </c>
      <c r="G755" s="3" t="s">
        <v>27</v>
      </c>
      <c r="H755" s="3" t="s">
        <v>19</v>
      </c>
      <c r="I755" s="3">
        <v>479</v>
      </c>
      <c r="J755" s="3">
        <v>0</v>
      </c>
      <c r="K755" s="3">
        <v>297</v>
      </c>
      <c r="L755" s="3">
        <v>444</v>
      </c>
      <c r="M755" s="3">
        <v>2</v>
      </c>
      <c r="N755" s="14">
        <v>5428.1842180000003</v>
      </c>
      <c r="O755" s="7">
        <f t="shared" si="99"/>
        <v>0</v>
      </c>
      <c r="P755" s="14">
        <f t="shared" si="100"/>
        <v>0</v>
      </c>
      <c r="Q755" s="14">
        <f t="shared" si="101"/>
        <v>2714.0921090000002</v>
      </c>
      <c r="R755" s="4">
        <f t="shared" si="102"/>
        <v>0</v>
      </c>
      <c r="S755" s="14">
        <f t="shared" si="103"/>
        <v>12225.640130630632</v>
      </c>
      <c r="T755" s="4">
        <f t="shared" si="104"/>
        <v>62.004175365344473</v>
      </c>
      <c r="U755" s="3">
        <f>LEN(A755) - LEN(SUBSTITUTE(A755,"&gt;","")) +1</f>
        <v>4</v>
      </c>
      <c r="V755" s="8">
        <f t="shared" si="105"/>
        <v>0</v>
      </c>
      <c r="W755" s="14">
        <f t="shared" si="106"/>
        <v>1357.0460545000001</v>
      </c>
      <c r="X755" s="4">
        <f t="shared" si="107"/>
        <v>0</v>
      </c>
    </row>
    <row r="756" spans="1:24" ht="14.25" customHeight="1" x14ac:dyDescent="0.2">
      <c r="A756" s="5" t="s">
        <v>2115</v>
      </c>
      <c r="B756" s="3" t="s">
        <v>14</v>
      </c>
      <c r="C756" s="3" t="s">
        <v>15</v>
      </c>
      <c r="D756" s="3" t="s">
        <v>2370</v>
      </c>
      <c r="E756" s="3" t="s">
        <v>2360</v>
      </c>
      <c r="F756" s="3" t="s">
        <v>79</v>
      </c>
      <c r="G756" s="3" t="s">
        <v>27</v>
      </c>
      <c r="H756" s="3" t="s">
        <v>19</v>
      </c>
      <c r="I756" s="3">
        <v>2471</v>
      </c>
      <c r="J756" s="3">
        <v>0</v>
      </c>
      <c r="K756" s="3">
        <v>1393</v>
      </c>
      <c r="L756" s="3">
        <v>1959</v>
      </c>
      <c r="M756" s="3">
        <v>2</v>
      </c>
      <c r="N756" s="14">
        <v>5401.0504650000003</v>
      </c>
      <c r="O756" s="7">
        <f t="shared" si="99"/>
        <v>0</v>
      </c>
      <c r="P756" s="14">
        <f t="shared" si="100"/>
        <v>0</v>
      </c>
      <c r="Q756" s="14">
        <f t="shared" si="101"/>
        <v>2700.5252325000001</v>
      </c>
      <c r="R756" s="4">
        <f t="shared" si="102"/>
        <v>0</v>
      </c>
      <c r="S756" s="14">
        <f t="shared" si="103"/>
        <v>2757.0446477794794</v>
      </c>
      <c r="T756" s="4">
        <f t="shared" si="104"/>
        <v>56.373937677053817</v>
      </c>
      <c r="U756" s="3">
        <f>LEN(A756) - LEN(SUBSTITUTE(A756,"&gt;","")) +1</f>
        <v>5</v>
      </c>
      <c r="V756" s="8">
        <f t="shared" si="105"/>
        <v>0</v>
      </c>
      <c r="W756" s="14">
        <f t="shared" si="106"/>
        <v>1080.2100930000001</v>
      </c>
      <c r="X756" s="4">
        <f t="shared" si="107"/>
        <v>0</v>
      </c>
    </row>
    <row r="757" spans="1:24" ht="14.25" customHeight="1" x14ac:dyDescent="0.2">
      <c r="A757" s="5" t="s">
        <v>2116</v>
      </c>
      <c r="B757" s="3" t="s">
        <v>14</v>
      </c>
      <c r="C757" s="3" t="s">
        <v>35</v>
      </c>
      <c r="D757" s="3" t="s">
        <v>2367</v>
      </c>
      <c r="E757" s="3" t="s">
        <v>2352</v>
      </c>
      <c r="F757" s="3" t="s">
        <v>107</v>
      </c>
      <c r="G757" s="3" t="s">
        <v>22</v>
      </c>
      <c r="H757" s="3" t="s">
        <v>19</v>
      </c>
      <c r="I757" s="3">
        <v>38408</v>
      </c>
      <c r="J757" s="3">
        <v>0</v>
      </c>
      <c r="K757" s="3">
        <v>23557</v>
      </c>
      <c r="L757" s="3">
        <v>35247</v>
      </c>
      <c r="M757" s="3">
        <v>1</v>
      </c>
      <c r="N757" s="14">
        <v>5343.4594310000002</v>
      </c>
      <c r="O757" s="7">
        <f t="shared" si="99"/>
        <v>0</v>
      </c>
      <c r="P757" s="14">
        <f t="shared" si="100"/>
        <v>0</v>
      </c>
      <c r="Q757" s="14">
        <f t="shared" si="101"/>
        <v>5343.4594310000002</v>
      </c>
      <c r="R757" s="4">
        <f t="shared" si="102"/>
        <v>0</v>
      </c>
      <c r="S757" s="14">
        <f t="shared" si="103"/>
        <v>151.60040375067382</v>
      </c>
      <c r="T757" s="4">
        <f t="shared" si="104"/>
        <v>61.333576338262866</v>
      </c>
      <c r="U757" s="3">
        <f>LEN(A757) - LEN(SUBSTITUTE(A757,"&gt;","")) +1</f>
        <v>5</v>
      </c>
      <c r="V757" s="8">
        <f t="shared" si="105"/>
        <v>0</v>
      </c>
      <c r="W757" s="14">
        <f t="shared" si="106"/>
        <v>1068.6918862</v>
      </c>
      <c r="X757" s="4">
        <f t="shared" si="107"/>
        <v>0</v>
      </c>
    </row>
    <row r="758" spans="1:24" ht="14.25" customHeight="1" x14ac:dyDescent="0.2">
      <c r="A758" s="5" t="s">
        <v>1123</v>
      </c>
      <c r="B758" s="3" t="s">
        <v>14</v>
      </c>
      <c r="C758" s="3" t="s">
        <v>35</v>
      </c>
      <c r="D758" s="3" t="s">
        <v>2363</v>
      </c>
      <c r="E758" s="3" t="s">
        <v>2358</v>
      </c>
      <c r="F758" s="3" t="s">
        <v>72</v>
      </c>
      <c r="G758" s="3" t="s">
        <v>64</v>
      </c>
      <c r="H758" s="3" t="s">
        <v>19</v>
      </c>
      <c r="I758" s="3">
        <v>39794</v>
      </c>
      <c r="J758" s="3">
        <v>0</v>
      </c>
      <c r="K758" s="3">
        <v>17539</v>
      </c>
      <c r="L758" s="3">
        <v>37664</v>
      </c>
      <c r="M758" s="3">
        <v>12</v>
      </c>
      <c r="N758" s="14">
        <v>5328.5245139999997</v>
      </c>
      <c r="O758" s="7">
        <f t="shared" si="99"/>
        <v>0</v>
      </c>
      <c r="P758" s="14">
        <f t="shared" si="100"/>
        <v>0</v>
      </c>
      <c r="Q758" s="14">
        <f t="shared" si="101"/>
        <v>444.04370949999998</v>
      </c>
      <c r="R758" s="4">
        <f t="shared" si="102"/>
        <v>0</v>
      </c>
      <c r="S758" s="14">
        <f t="shared" si="103"/>
        <v>141.47526853228544</v>
      </c>
      <c r="T758" s="4">
        <f t="shared" si="104"/>
        <v>44.074483590491035</v>
      </c>
      <c r="U758" s="3">
        <f>LEN(A758) - LEN(SUBSTITUTE(A758,"&gt;","")) +1</f>
        <v>4</v>
      </c>
      <c r="V758" s="8">
        <f t="shared" si="105"/>
        <v>0</v>
      </c>
      <c r="W758" s="14">
        <f t="shared" si="106"/>
        <v>1332.1311284999999</v>
      </c>
      <c r="X758" s="4">
        <f t="shared" si="107"/>
        <v>0</v>
      </c>
    </row>
    <row r="759" spans="1:24" ht="14.25" customHeight="1" x14ac:dyDescent="0.2">
      <c r="A759" s="5" t="s">
        <v>1124</v>
      </c>
      <c r="B759" s="3" t="s">
        <v>14</v>
      </c>
      <c r="C759" s="3" t="s">
        <v>15</v>
      </c>
      <c r="D759" s="3" t="s">
        <v>2362</v>
      </c>
      <c r="E759" s="3" t="s">
        <v>2352</v>
      </c>
      <c r="F759" s="3" t="s">
        <v>250</v>
      </c>
      <c r="G759" s="3" t="s">
        <v>38</v>
      </c>
      <c r="H759" s="3" t="s">
        <v>19</v>
      </c>
      <c r="I759" s="3">
        <v>14581</v>
      </c>
      <c r="J759" s="3">
        <v>0</v>
      </c>
      <c r="K759" s="3">
        <v>3821</v>
      </c>
      <c r="L759" s="3">
        <v>12741</v>
      </c>
      <c r="M759" s="3">
        <v>1</v>
      </c>
      <c r="N759" s="14">
        <v>5296.9700910000001</v>
      </c>
      <c r="O759" s="7">
        <f t="shared" si="99"/>
        <v>0</v>
      </c>
      <c r="P759" s="14">
        <f t="shared" si="100"/>
        <v>0</v>
      </c>
      <c r="Q759" s="14">
        <f t="shared" si="101"/>
        <v>5296.9700910000001</v>
      </c>
      <c r="R759" s="4">
        <f t="shared" si="102"/>
        <v>0</v>
      </c>
      <c r="S759" s="14">
        <f t="shared" si="103"/>
        <v>415.74209959971745</v>
      </c>
      <c r="T759" s="4">
        <f t="shared" si="104"/>
        <v>26.205335710856591</v>
      </c>
      <c r="U759" s="3">
        <f>LEN(A759) - LEN(SUBSTITUTE(A759,"&gt;","")) +1</f>
        <v>4</v>
      </c>
      <c r="V759" s="8">
        <f t="shared" si="105"/>
        <v>0</v>
      </c>
      <c r="W759" s="14">
        <f t="shared" si="106"/>
        <v>1324.24252275</v>
      </c>
      <c r="X759" s="4">
        <f t="shared" si="107"/>
        <v>0</v>
      </c>
    </row>
    <row r="760" spans="1:24" ht="14.25" customHeight="1" x14ac:dyDescent="0.2">
      <c r="A760" s="5" t="s">
        <v>1125</v>
      </c>
      <c r="B760" s="3" t="s">
        <v>24</v>
      </c>
      <c r="C760" s="3" t="s">
        <v>35</v>
      </c>
      <c r="D760" s="3" t="s">
        <v>2381</v>
      </c>
      <c r="E760" s="3" t="s">
        <v>2365</v>
      </c>
      <c r="F760" s="3" t="s">
        <v>48</v>
      </c>
      <c r="G760" s="3" t="s">
        <v>27</v>
      </c>
      <c r="H760" s="3" t="s">
        <v>19</v>
      </c>
      <c r="I760" s="3">
        <v>14730</v>
      </c>
      <c r="J760" s="3">
        <v>0</v>
      </c>
      <c r="K760" s="3">
        <v>6410</v>
      </c>
      <c r="L760" s="3">
        <v>10860</v>
      </c>
      <c r="M760" s="3">
        <v>1</v>
      </c>
      <c r="N760" s="14">
        <v>5287.5675279999996</v>
      </c>
      <c r="O760" s="7">
        <f t="shared" si="99"/>
        <v>0</v>
      </c>
      <c r="P760" s="14">
        <f t="shared" si="100"/>
        <v>0</v>
      </c>
      <c r="Q760" s="14">
        <f t="shared" si="101"/>
        <v>5287.5675279999996</v>
      </c>
      <c r="R760" s="4">
        <f t="shared" si="102"/>
        <v>0</v>
      </c>
      <c r="S760" s="14">
        <f t="shared" si="103"/>
        <v>486.88467108655612</v>
      </c>
      <c r="T760" s="4">
        <f t="shared" si="104"/>
        <v>43.516632722335366</v>
      </c>
      <c r="U760" s="3">
        <f>LEN(A760) - LEN(SUBSTITUTE(A760,"&gt;","")) +1</f>
        <v>4</v>
      </c>
      <c r="V760" s="8">
        <f t="shared" si="105"/>
        <v>0</v>
      </c>
      <c r="W760" s="14">
        <f t="shared" si="106"/>
        <v>1321.8918819999999</v>
      </c>
      <c r="X760" s="4">
        <f t="shared" si="107"/>
        <v>0</v>
      </c>
    </row>
    <row r="761" spans="1:24" ht="14.25" customHeight="1" x14ac:dyDescent="0.2">
      <c r="A761" s="5" t="s">
        <v>2117</v>
      </c>
      <c r="B761" s="3" t="s">
        <v>24</v>
      </c>
      <c r="C761" s="3" t="s">
        <v>15</v>
      </c>
      <c r="D761" s="3" t="s">
        <v>2349</v>
      </c>
      <c r="E761" s="3" t="s">
        <v>2350</v>
      </c>
      <c r="F761" s="3" t="s">
        <v>1127</v>
      </c>
      <c r="G761" s="3" t="s">
        <v>38</v>
      </c>
      <c r="H761" s="3" t="s">
        <v>19</v>
      </c>
      <c r="I761" s="3">
        <v>920</v>
      </c>
      <c r="J761" s="3">
        <v>0</v>
      </c>
      <c r="K761" s="3">
        <v>531</v>
      </c>
      <c r="L761" s="3">
        <v>766</v>
      </c>
      <c r="M761" s="3">
        <v>6</v>
      </c>
      <c r="N761" s="14">
        <v>5262.8049639999999</v>
      </c>
      <c r="O761" s="7">
        <f t="shared" si="99"/>
        <v>0</v>
      </c>
      <c r="P761" s="14">
        <f t="shared" si="100"/>
        <v>0</v>
      </c>
      <c r="Q761" s="14">
        <f t="shared" si="101"/>
        <v>877.13416066666662</v>
      </c>
      <c r="R761" s="4">
        <f t="shared" si="102"/>
        <v>0</v>
      </c>
      <c r="S761" s="14">
        <f t="shared" si="103"/>
        <v>6870.5025639686683</v>
      </c>
      <c r="T761" s="4">
        <f t="shared" si="104"/>
        <v>57.717391304347828</v>
      </c>
      <c r="U761" s="3">
        <f>LEN(A761) - LEN(SUBSTITUTE(A761,"&gt;","")) +1</f>
        <v>5</v>
      </c>
      <c r="V761" s="8">
        <f t="shared" si="105"/>
        <v>0</v>
      </c>
      <c r="W761" s="14">
        <f t="shared" si="106"/>
        <v>1052.5609927999999</v>
      </c>
      <c r="X761" s="4">
        <f t="shared" si="107"/>
        <v>0</v>
      </c>
    </row>
    <row r="762" spans="1:24" ht="14.25" customHeight="1" x14ac:dyDescent="0.2">
      <c r="A762" s="5" t="s">
        <v>1128</v>
      </c>
      <c r="B762" s="3" t="s">
        <v>24</v>
      </c>
      <c r="C762" s="3" t="s">
        <v>15</v>
      </c>
      <c r="D762" s="3" t="s">
        <v>2353</v>
      </c>
      <c r="E762" s="3" t="s">
        <v>2354</v>
      </c>
      <c r="F762" s="3" t="s">
        <v>805</v>
      </c>
      <c r="G762" s="3" t="s">
        <v>41</v>
      </c>
      <c r="H762" s="3" t="s">
        <v>19</v>
      </c>
      <c r="I762" s="3">
        <v>12136</v>
      </c>
      <c r="J762" s="3">
        <v>0</v>
      </c>
      <c r="K762" s="3">
        <v>2089</v>
      </c>
      <c r="L762" s="3">
        <v>11500</v>
      </c>
      <c r="M762" s="3">
        <v>1</v>
      </c>
      <c r="N762" s="14">
        <v>5224.9324630000001</v>
      </c>
      <c r="O762" s="7">
        <f t="shared" si="99"/>
        <v>0</v>
      </c>
      <c r="P762" s="14">
        <f t="shared" si="100"/>
        <v>0</v>
      </c>
      <c r="Q762" s="14">
        <f t="shared" si="101"/>
        <v>5224.9324630000001</v>
      </c>
      <c r="R762" s="4">
        <f t="shared" si="102"/>
        <v>0</v>
      </c>
      <c r="S762" s="14">
        <f t="shared" si="103"/>
        <v>454.34195330434784</v>
      </c>
      <c r="T762" s="4">
        <f t="shared" si="104"/>
        <v>17.213249835201054</v>
      </c>
      <c r="U762" s="3">
        <f>LEN(A762) - LEN(SUBSTITUTE(A762,"&gt;","")) +1</f>
        <v>4</v>
      </c>
      <c r="V762" s="8">
        <f t="shared" si="105"/>
        <v>0</v>
      </c>
      <c r="W762" s="14">
        <f t="shared" si="106"/>
        <v>1306.23311575</v>
      </c>
      <c r="X762" s="4">
        <f t="shared" si="107"/>
        <v>0</v>
      </c>
    </row>
    <row r="763" spans="1:24" ht="14.25" customHeight="1" x14ac:dyDescent="0.2">
      <c r="A763" s="5" t="s">
        <v>2118</v>
      </c>
      <c r="B763" s="3" t="s">
        <v>24</v>
      </c>
      <c r="C763" s="3" t="s">
        <v>32</v>
      </c>
      <c r="D763" s="3" t="s">
        <v>2369</v>
      </c>
      <c r="E763" s="3" t="s">
        <v>2365</v>
      </c>
      <c r="F763" s="3" t="s">
        <v>704</v>
      </c>
      <c r="G763" s="3" t="s">
        <v>27</v>
      </c>
      <c r="H763" s="3" t="s">
        <v>114</v>
      </c>
      <c r="I763" s="3">
        <v>511</v>
      </c>
      <c r="J763" s="3">
        <v>0</v>
      </c>
      <c r="K763" s="3">
        <v>232</v>
      </c>
      <c r="L763" s="3">
        <v>441</v>
      </c>
      <c r="M763" s="3">
        <v>2</v>
      </c>
      <c r="N763" s="14">
        <v>5209.6353879999997</v>
      </c>
      <c r="O763" s="7">
        <f t="shared" si="99"/>
        <v>0</v>
      </c>
      <c r="P763" s="14">
        <f t="shared" si="100"/>
        <v>0</v>
      </c>
      <c r="Q763" s="14">
        <f t="shared" si="101"/>
        <v>2604.8176939999998</v>
      </c>
      <c r="R763" s="4">
        <f t="shared" si="102"/>
        <v>0</v>
      </c>
      <c r="S763" s="14">
        <f t="shared" si="103"/>
        <v>11813.232172335602</v>
      </c>
      <c r="T763" s="4">
        <f t="shared" si="104"/>
        <v>45.401174168297452</v>
      </c>
      <c r="U763" s="3">
        <f>LEN(A763) - LEN(SUBSTITUTE(A763,"&gt;","")) +1</f>
        <v>5</v>
      </c>
      <c r="V763" s="8">
        <f t="shared" si="105"/>
        <v>0</v>
      </c>
      <c r="W763" s="14">
        <f t="shared" si="106"/>
        <v>1041.9270775999998</v>
      </c>
      <c r="X763" s="4">
        <f t="shared" si="107"/>
        <v>0</v>
      </c>
    </row>
    <row r="764" spans="1:24" ht="14.25" customHeight="1" x14ac:dyDescent="0.2">
      <c r="A764" s="5" t="s">
        <v>2119</v>
      </c>
      <c r="B764" s="3" t="s">
        <v>24</v>
      </c>
      <c r="C764" s="3" t="s">
        <v>32</v>
      </c>
      <c r="D764" s="3" t="s">
        <v>2353</v>
      </c>
      <c r="E764" s="3" t="s">
        <v>2354</v>
      </c>
      <c r="F764" s="3" t="s">
        <v>1131</v>
      </c>
      <c r="G764" s="3" t="s">
        <v>27</v>
      </c>
      <c r="H764" s="3" t="s">
        <v>114</v>
      </c>
      <c r="I764" s="3">
        <v>283</v>
      </c>
      <c r="J764" s="3">
        <v>0</v>
      </c>
      <c r="K764" s="3">
        <v>86</v>
      </c>
      <c r="L764" s="3">
        <v>248</v>
      </c>
      <c r="M764" s="3">
        <v>2</v>
      </c>
      <c r="N764" s="14">
        <v>5176.783273</v>
      </c>
      <c r="O764" s="7">
        <f t="shared" si="99"/>
        <v>0</v>
      </c>
      <c r="P764" s="14">
        <f t="shared" si="100"/>
        <v>0</v>
      </c>
      <c r="Q764" s="14">
        <f t="shared" si="101"/>
        <v>2588.3916365</v>
      </c>
      <c r="R764" s="4">
        <f t="shared" si="102"/>
        <v>0</v>
      </c>
      <c r="S764" s="14">
        <f t="shared" si="103"/>
        <v>20874.126100806454</v>
      </c>
      <c r="T764" s="4">
        <f t="shared" si="104"/>
        <v>30.3886925795053</v>
      </c>
      <c r="U764" s="3">
        <f>LEN(A764) - LEN(SUBSTITUTE(A764,"&gt;","")) +1</f>
        <v>5</v>
      </c>
      <c r="V764" s="8">
        <f t="shared" si="105"/>
        <v>0</v>
      </c>
      <c r="W764" s="14">
        <f t="shared" si="106"/>
        <v>1035.3566546</v>
      </c>
      <c r="X764" s="4">
        <f t="shared" si="107"/>
        <v>0</v>
      </c>
    </row>
    <row r="765" spans="1:24" ht="14.25" customHeight="1" x14ac:dyDescent="0.2">
      <c r="A765" s="5" t="s">
        <v>2120</v>
      </c>
      <c r="B765" s="3" t="s">
        <v>24</v>
      </c>
      <c r="C765" s="3" t="s">
        <v>35</v>
      </c>
      <c r="D765" s="3" t="s">
        <v>2349</v>
      </c>
      <c r="E765" s="3" t="s">
        <v>2350</v>
      </c>
      <c r="F765" s="3" t="s">
        <v>1133</v>
      </c>
      <c r="G765" s="3" t="s">
        <v>41</v>
      </c>
      <c r="H765" s="3" t="s">
        <v>114</v>
      </c>
      <c r="I765" s="3">
        <v>512</v>
      </c>
      <c r="J765" s="3">
        <v>0</v>
      </c>
      <c r="K765" s="3">
        <v>383</v>
      </c>
      <c r="L765" s="3">
        <v>488</v>
      </c>
      <c r="M765" s="3">
        <v>11</v>
      </c>
      <c r="N765" s="14">
        <v>5155.7567170000002</v>
      </c>
      <c r="O765" s="7">
        <f t="shared" si="99"/>
        <v>0</v>
      </c>
      <c r="P765" s="14">
        <f t="shared" si="100"/>
        <v>0</v>
      </c>
      <c r="Q765" s="14">
        <f t="shared" si="101"/>
        <v>468.7051560909091</v>
      </c>
      <c r="R765" s="4">
        <f t="shared" si="102"/>
        <v>0</v>
      </c>
      <c r="S765" s="14">
        <f t="shared" si="103"/>
        <v>10565.0752397541</v>
      </c>
      <c r="T765" s="4">
        <f t="shared" si="104"/>
        <v>74.8046875</v>
      </c>
      <c r="U765" s="3">
        <f>LEN(A765) - LEN(SUBSTITUTE(A765,"&gt;","")) +1</f>
        <v>5</v>
      </c>
      <c r="V765" s="8">
        <f t="shared" si="105"/>
        <v>0</v>
      </c>
      <c r="W765" s="14">
        <f t="shared" si="106"/>
        <v>1031.1513434000001</v>
      </c>
      <c r="X765" s="4">
        <f t="shared" si="107"/>
        <v>0</v>
      </c>
    </row>
    <row r="766" spans="1:24" ht="14.25" customHeight="1" x14ac:dyDescent="0.2">
      <c r="A766" s="5" t="s">
        <v>1134</v>
      </c>
      <c r="B766" s="3" t="s">
        <v>24</v>
      </c>
      <c r="C766" s="3" t="s">
        <v>15</v>
      </c>
      <c r="D766" s="3" t="s">
        <v>2362</v>
      </c>
      <c r="E766" s="3" t="s">
        <v>2352</v>
      </c>
      <c r="F766" s="3" t="s">
        <v>643</v>
      </c>
      <c r="G766" s="3" t="s">
        <v>76</v>
      </c>
      <c r="H766" s="3" t="s">
        <v>19</v>
      </c>
      <c r="I766" s="3">
        <v>14599</v>
      </c>
      <c r="J766" s="3">
        <v>0</v>
      </c>
      <c r="K766" s="3">
        <v>1779</v>
      </c>
      <c r="L766" s="3">
        <v>12458</v>
      </c>
      <c r="M766" s="3">
        <v>1</v>
      </c>
      <c r="N766" s="14">
        <v>5092.5592150000002</v>
      </c>
      <c r="O766" s="7">
        <f t="shared" si="99"/>
        <v>0</v>
      </c>
      <c r="P766" s="14">
        <f t="shared" si="100"/>
        <v>0</v>
      </c>
      <c r="Q766" s="14">
        <f t="shared" si="101"/>
        <v>5092.5592150000002</v>
      </c>
      <c r="R766" s="4">
        <f t="shared" si="102"/>
        <v>0</v>
      </c>
      <c r="S766" s="14">
        <f t="shared" si="103"/>
        <v>408.77823205972066</v>
      </c>
      <c r="T766" s="4">
        <f t="shared" si="104"/>
        <v>12.185766148366326</v>
      </c>
      <c r="U766" s="3">
        <f>LEN(A766) - LEN(SUBSTITUTE(A766,"&gt;","")) +1</f>
        <v>4</v>
      </c>
      <c r="V766" s="8">
        <f t="shared" si="105"/>
        <v>0</v>
      </c>
      <c r="W766" s="14">
        <f t="shared" si="106"/>
        <v>1273.1398037500001</v>
      </c>
      <c r="X766" s="4">
        <f t="shared" si="107"/>
        <v>0</v>
      </c>
    </row>
    <row r="767" spans="1:24" ht="14.25" customHeight="1" x14ac:dyDescent="0.2">
      <c r="A767" s="5" t="s">
        <v>2121</v>
      </c>
      <c r="B767" s="3" t="s">
        <v>24</v>
      </c>
      <c r="C767" s="3" t="s">
        <v>15</v>
      </c>
      <c r="D767" s="3" t="s">
        <v>2353</v>
      </c>
      <c r="E767" s="3" t="s">
        <v>2354</v>
      </c>
      <c r="F767" s="3" t="s">
        <v>1136</v>
      </c>
      <c r="G767" s="3" t="s">
        <v>64</v>
      </c>
      <c r="H767" s="3" t="s">
        <v>114</v>
      </c>
      <c r="I767" s="3">
        <v>17075</v>
      </c>
      <c r="J767" s="3">
        <v>0</v>
      </c>
      <c r="K767" s="3">
        <v>5508</v>
      </c>
      <c r="L767" s="3">
        <v>11539</v>
      </c>
      <c r="M767" s="3">
        <v>10</v>
      </c>
      <c r="N767" s="14">
        <v>5086.0899600000002</v>
      </c>
      <c r="O767" s="7">
        <f t="shared" si="99"/>
        <v>0</v>
      </c>
      <c r="P767" s="14">
        <f t="shared" si="100"/>
        <v>0</v>
      </c>
      <c r="Q767" s="14">
        <f t="shared" si="101"/>
        <v>508.60899600000005</v>
      </c>
      <c r="R767" s="4">
        <f t="shared" si="102"/>
        <v>0</v>
      </c>
      <c r="S767" s="14">
        <f t="shared" si="103"/>
        <v>440.77389375162494</v>
      </c>
      <c r="T767" s="4">
        <f t="shared" si="104"/>
        <v>32.257686676427525</v>
      </c>
      <c r="U767" s="3">
        <f>LEN(A767) - LEN(SUBSTITUTE(A767,"&gt;","")) +1</f>
        <v>5</v>
      </c>
      <c r="V767" s="8">
        <f t="shared" si="105"/>
        <v>0</v>
      </c>
      <c r="W767" s="14">
        <f t="shared" si="106"/>
        <v>1017.2179920000001</v>
      </c>
      <c r="X767" s="4">
        <f t="shared" si="107"/>
        <v>0</v>
      </c>
    </row>
    <row r="768" spans="1:24" ht="14.25" customHeight="1" x14ac:dyDescent="0.2">
      <c r="A768" s="5" t="s">
        <v>2122</v>
      </c>
      <c r="B768" s="3" t="s">
        <v>14</v>
      </c>
      <c r="C768" s="3" t="s">
        <v>15</v>
      </c>
      <c r="D768" s="3" t="s">
        <v>2359</v>
      </c>
      <c r="E768" s="3" t="s">
        <v>2360</v>
      </c>
      <c r="F768" s="3" t="s">
        <v>161</v>
      </c>
      <c r="G768" s="3" t="s">
        <v>22</v>
      </c>
      <c r="H768" s="3" t="s">
        <v>19</v>
      </c>
      <c r="I768" s="3">
        <v>3316</v>
      </c>
      <c r="J768" s="3">
        <v>0</v>
      </c>
      <c r="K768" s="3">
        <v>1436</v>
      </c>
      <c r="L768" s="3">
        <v>2554</v>
      </c>
      <c r="M768" s="3">
        <v>2</v>
      </c>
      <c r="N768" s="14">
        <v>5049.0476719999997</v>
      </c>
      <c r="O768" s="7">
        <f t="shared" si="99"/>
        <v>0</v>
      </c>
      <c r="P768" s="14">
        <f t="shared" si="100"/>
        <v>0</v>
      </c>
      <c r="Q768" s="14">
        <f t="shared" si="101"/>
        <v>2524.5238359999998</v>
      </c>
      <c r="R768" s="4">
        <f t="shared" si="102"/>
        <v>0</v>
      </c>
      <c r="S768" s="14">
        <f t="shared" si="103"/>
        <v>1976.9176476115895</v>
      </c>
      <c r="T768" s="4">
        <f t="shared" si="104"/>
        <v>43.305186972255733</v>
      </c>
      <c r="U768" s="3">
        <f>LEN(A768) - LEN(SUBSTITUTE(A768,"&gt;","")) +1</f>
        <v>5</v>
      </c>
      <c r="V768" s="8">
        <f t="shared" si="105"/>
        <v>0</v>
      </c>
      <c r="W768" s="14">
        <f t="shared" si="106"/>
        <v>1009.8095344</v>
      </c>
      <c r="X768" s="4">
        <f t="shared" si="107"/>
        <v>0</v>
      </c>
    </row>
    <row r="769" spans="1:24" ht="14.25" customHeight="1" x14ac:dyDescent="0.2">
      <c r="A769" s="5" t="s">
        <v>2123</v>
      </c>
      <c r="B769" s="3" t="s">
        <v>14</v>
      </c>
      <c r="C769" s="3" t="s">
        <v>35</v>
      </c>
      <c r="D769" s="3" t="s">
        <v>2400</v>
      </c>
      <c r="E769" s="3" t="s">
        <v>2354</v>
      </c>
      <c r="F769" s="3" t="s">
        <v>1139</v>
      </c>
      <c r="G769" s="3" t="s">
        <v>287</v>
      </c>
      <c r="H769" s="3" t="s">
        <v>19</v>
      </c>
      <c r="I769" s="3">
        <v>223</v>
      </c>
      <c r="J769" s="3">
        <v>0</v>
      </c>
      <c r="K769" s="3">
        <v>142</v>
      </c>
      <c r="L769" s="3">
        <v>193</v>
      </c>
      <c r="M769" s="3">
        <v>4</v>
      </c>
      <c r="N769" s="14">
        <v>5013.5807359999999</v>
      </c>
      <c r="O769" s="7">
        <f t="shared" si="99"/>
        <v>0</v>
      </c>
      <c r="P769" s="14">
        <f t="shared" si="100"/>
        <v>0</v>
      </c>
      <c r="Q769" s="14">
        <f t="shared" si="101"/>
        <v>1253.395184</v>
      </c>
      <c r="R769" s="4">
        <f t="shared" si="102"/>
        <v>0</v>
      </c>
      <c r="S769" s="14">
        <f t="shared" si="103"/>
        <v>25977.102259067356</v>
      </c>
      <c r="T769" s="4">
        <f t="shared" si="104"/>
        <v>63.677130044843047</v>
      </c>
      <c r="U769" s="3">
        <f>LEN(A769) - LEN(SUBSTITUTE(A769,"&gt;","")) +1</f>
        <v>5</v>
      </c>
      <c r="V769" s="8">
        <f t="shared" si="105"/>
        <v>0</v>
      </c>
      <c r="W769" s="14">
        <f t="shared" si="106"/>
        <v>1002.7161472</v>
      </c>
      <c r="X769" s="4">
        <f t="shared" si="107"/>
        <v>0</v>
      </c>
    </row>
    <row r="770" spans="1:24" ht="14.25" customHeight="1" x14ac:dyDescent="0.2">
      <c r="A770" s="5" t="s">
        <v>2124</v>
      </c>
      <c r="B770" s="3" t="s">
        <v>14</v>
      </c>
      <c r="C770" s="3" t="s">
        <v>35</v>
      </c>
      <c r="D770" s="3" t="s">
        <v>2353</v>
      </c>
      <c r="E770" s="3" t="s">
        <v>2354</v>
      </c>
      <c r="F770" s="3" t="s">
        <v>1141</v>
      </c>
      <c r="G770" s="3" t="s">
        <v>27</v>
      </c>
      <c r="H770" s="3" t="s">
        <v>19</v>
      </c>
      <c r="I770" s="3">
        <v>9153</v>
      </c>
      <c r="J770" s="3">
        <v>0</v>
      </c>
      <c r="K770" s="3">
        <v>4345</v>
      </c>
      <c r="L770" s="3">
        <v>8376</v>
      </c>
      <c r="M770" s="3">
        <v>14</v>
      </c>
      <c r="N770" s="14">
        <v>5007.5258050000002</v>
      </c>
      <c r="O770" s="7">
        <f t="shared" si="99"/>
        <v>0</v>
      </c>
      <c r="P770" s="14">
        <f t="shared" si="100"/>
        <v>0</v>
      </c>
      <c r="Q770" s="14">
        <f t="shared" si="101"/>
        <v>357.68041464285716</v>
      </c>
      <c r="R770" s="4">
        <f t="shared" si="102"/>
        <v>0</v>
      </c>
      <c r="S770" s="14">
        <f t="shared" si="103"/>
        <v>597.84214481852916</v>
      </c>
      <c r="T770" s="4">
        <f t="shared" si="104"/>
        <v>47.470774609417674</v>
      </c>
      <c r="U770" s="3">
        <f>LEN(A770) - LEN(SUBSTITUTE(A770,"&gt;","")) +1</f>
        <v>6</v>
      </c>
      <c r="V770" s="8">
        <f t="shared" si="105"/>
        <v>0</v>
      </c>
      <c r="W770" s="14">
        <f t="shared" si="106"/>
        <v>834.5876341666667</v>
      </c>
      <c r="X770" s="4">
        <f t="shared" si="107"/>
        <v>0</v>
      </c>
    </row>
    <row r="771" spans="1:24" ht="14.25" customHeight="1" x14ac:dyDescent="0.2">
      <c r="A771" s="5" t="s">
        <v>2125</v>
      </c>
      <c r="B771" s="3" t="s">
        <v>24</v>
      </c>
      <c r="C771" s="3" t="s">
        <v>15</v>
      </c>
      <c r="D771" s="3" t="s">
        <v>2349</v>
      </c>
      <c r="E771" s="3" t="s">
        <v>2350</v>
      </c>
      <c r="F771" s="3" t="s">
        <v>1143</v>
      </c>
      <c r="G771" s="3" t="s">
        <v>27</v>
      </c>
      <c r="H771" s="3" t="s">
        <v>19</v>
      </c>
      <c r="I771" s="3">
        <v>8111</v>
      </c>
      <c r="J771" s="3">
        <v>0</v>
      </c>
      <c r="K771" s="3">
        <v>4346</v>
      </c>
      <c r="L771" s="3">
        <v>6163</v>
      </c>
      <c r="M771" s="3">
        <v>1</v>
      </c>
      <c r="N771" s="14">
        <v>5000.7612060000001</v>
      </c>
      <c r="O771" s="7">
        <f t="shared" ref="O771:O834" si="108">IFERROR((J771/I771)*100, 0)</f>
        <v>0</v>
      </c>
      <c r="P771" s="14">
        <f t="shared" ref="P771:P834" si="109">IFERROR(N771/J771, 0)</f>
        <v>0</v>
      </c>
      <c r="Q771" s="14">
        <f t="shared" ref="Q771:Q834" si="110">IFERROR(N771/M771, 0)</f>
        <v>5000.7612060000001</v>
      </c>
      <c r="R771" s="4">
        <f t="shared" ref="R771:R834" si="111">IFERROR((M771/J771)*100, 0)</f>
        <v>0</v>
      </c>
      <c r="S771" s="14">
        <f t="shared" ref="S771:S834" si="112">IFERROR((N771/L771)*1000, 0)</f>
        <v>811.41671361349995</v>
      </c>
      <c r="T771" s="4">
        <f t="shared" ref="T771:T834" si="113">(K771/I771)*100</f>
        <v>53.58155591172482</v>
      </c>
      <c r="U771" s="3">
        <f>LEN(A771) - LEN(SUBSTITUTE(A771,"&gt;","")) +1</f>
        <v>6</v>
      </c>
      <c r="V771" s="8">
        <f t="shared" ref="V771:V834" si="114">R771/I771</f>
        <v>0</v>
      </c>
      <c r="W771" s="14">
        <f t="shared" ref="W771:W834" si="115">N771/U771</f>
        <v>833.46020099999998</v>
      </c>
      <c r="X771" s="4">
        <f t="shared" ref="X771:X834" si="116">(O771*R771/Q771)</f>
        <v>0</v>
      </c>
    </row>
    <row r="772" spans="1:24" ht="14.25" customHeight="1" x14ac:dyDescent="0.2">
      <c r="A772" s="5" t="s">
        <v>2126</v>
      </c>
      <c r="B772" s="3" t="s">
        <v>14</v>
      </c>
      <c r="C772" s="3" t="s">
        <v>29</v>
      </c>
      <c r="D772" s="3" t="s">
        <v>2359</v>
      </c>
      <c r="E772" s="3" t="s">
        <v>2360</v>
      </c>
      <c r="F772" s="3" t="s">
        <v>1145</v>
      </c>
      <c r="G772" s="3" t="s">
        <v>27</v>
      </c>
      <c r="H772" s="3" t="s">
        <v>19</v>
      </c>
      <c r="I772" s="3">
        <v>2775</v>
      </c>
      <c r="J772" s="3">
        <v>0</v>
      </c>
      <c r="K772" s="3">
        <v>1986</v>
      </c>
      <c r="L772" s="3">
        <v>2626</v>
      </c>
      <c r="M772" s="3">
        <v>2</v>
      </c>
      <c r="N772" s="14">
        <v>4962.9559559999998</v>
      </c>
      <c r="O772" s="7">
        <f t="shared" si="108"/>
        <v>0</v>
      </c>
      <c r="P772" s="14">
        <f t="shared" si="109"/>
        <v>0</v>
      </c>
      <c r="Q772" s="14">
        <f t="shared" si="110"/>
        <v>2481.4779779999999</v>
      </c>
      <c r="R772" s="4">
        <f t="shared" si="111"/>
        <v>0</v>
      </c>
      <c r="S772" s="14">
        <f t="shared" si="112"/>
        <v>1889.9299146991621</v>
      </c>
      <c r="T772" s="4">
        <f t="shared" si="113"/>
        <v>71.567567567567565</v>
      </c>
      <c r="U772" s="3">
        <f>LEN(A772) - LEN(SUBSTITUTE(A772,"&gt;","")) +1</f>
        <v>5</v>
      </c>
      <c r="V772" s="8">
        <f t="shared" si="114"/>
        <v>0</v>
      </c>
      <c r="W772" s="14">
        <f t="shared" si="115"/>
        <v>992.59119119999991</v>
      </c>
      <c r="X772" s="4">
        <f t="shared" si="116"/>
        <v>0</v>
      </c>
    </row>
    <row r="773" spans="1:24" ht="14.25" customHeight="1" x14ac:dyDescent="0.2">
      <c r="A773" s="5" t="s">
        <v>2127</v>
      </c>
      <c r="B773" s="3" t="s">
        <v>24</v>
      </c>
      <c r="C773" s="3" t="s">
        <v>29</v>
      </c>
      <c r="D773" s="3" t="s">
        <v>2353</v>
      </c>
      <c r="E773" s="3" t="s">
        <v>2354</v>
      </c>
      <c r="F773" s="3" t="s">
        <v>250</v>
      </c>
      <c r="G773" s="3" t="s">
        <v>22</v>
      </c>
      <c r="H773" s="3" t="s">
        <v>163</v>
      </c>
      <c r="I773" s="3">
        <v>10815</v>
      </c>
      <c r="J773" s="3">
        <v>0</v>
      </c>
      <c r="K773" s="3">
        <v>4321</v>
      </c>
      <c r="L773" s="3">
        <v>9646</v>
      </c>
      <c r="M773" s="3">
        <v>2</v>
      </c>
      <c r="N773" s="14">
        <v>4921.5948429999999</v>
      </c>
      <c r="O773" s="7">
        <f t="shared" si="108"/>
        <v>0</v>
      </c>
      <c r="P773" s="14">
        <f t="shared" si="109"/>
        <v>0</v>
      </c>
      <c r="Q773" s="14">
        <f t="shared" si="110"/>
        <v>2460.7974214999999</v>
      </c>
      <c r="R773" s="4">
        <f t="shared" si="111"/>
        <v>0</v>
      </c>
      <c r="S773" s="14">
        <f t="shared" si="112"/>
        <v>510.22131899232835</v>
      </c>
      <c r="T773" s="4">
        <f t="shared" si="113"/>
        <v>39.953767914932961</v>
      </c>
      <c r="U773" s="3">
        <f>LEN(A773) - LEN(SUBSTITUTE(A773,"&gt;","")) +1</f>
        <v>5</v>
      </c>
      <c r="V773" s="8">
        <f t="shared" si="114"/>
        <v>0</v>
      </c>
      <c r="W773" s="14">
        <f t="shared" si="115"/>
        <v>984.31896859999995</v>
      </c>
      <c r="X773" s="4">
        <f t="shared" si="116"/>
        <v>0</v>
      </c>
    </row>
    <row r="774" spans="1:24" ht="14.25" customHeight="1" x14ac:dyDescent="0.2">
      <c r="A774" s="5" t="s">
        <v>2128</v>
      </c>
      <c r="B774" s="3" t="s">
        <v>24</v>
      </c>
      <c r="C774" s="3" t="s">
        <v>15</v>
      </c>
      <c r="D774" s="3" t="s">
        <v>2353</v>
      </c>
      <c r="E774" s="3" t="s">
        <v>2354</v>
      </c>
      <c r="F774" s="3" t="s">
        <v>998</v>
      </c>
      <c r="G774" s="3" t="s">
        <v>58</v>
      </c>
      <c r="H774" s="3" t="s">
        <v>114</v>
      </c>
      <c r="I774" s="3">
        <v>17833</v>
      </c>
      <c r="J774" s="3">
        <v>0</v>
      </c>
      <c r="K774" s="3">
        <v>8670</v>
      </c>
      <c r="L774" s="3">
        <v>16871</v>
      </c>
      <c r="M774" s="3">
        <v>1</v>
      </c>
      <c r="N774" s="14">
        <v>4899.1559550000002</v>
      </c>
      <c r="O774" s="7">
        <f t="shared" si="108"/>
        <v>0</v>
      </c>
      <c r="P774" s="14">
        <f t="shared" si="109"/>
        <v>0</v>
      </c>
      <c r="Q774" s="14">
        <f t="shared" si="110"/>
        <v>4899.1559550000002</v>
      </c>
      <c r="R774" s="4">
        <f t="shared" si="111"/>
        <v>0</v>
      </c>
      <c r="S774" s="14">
        <f t="shared" si="112"/>
        <v>290.38918588109772</v>
      </c>
      <c r="T774" s="4">
        <f t="shared" si="113"/>
        <v>48.617731172545284</v>
      </c>
      <c r="U774" s="3">
        <f>LEN(A774) - LEN(SUBSTITUTE(A774,"&gt;","")) +1</f>
        <v>5</v>
      </c>
      <c r="V774" s="8">
        <f t="shared" si="114"/>
        <v>0</v>
      </c>
      <c r="W774" s="14">
        <f t="shared" si="115"/>
        <v>979.83119099999999</v>
      </c>
      <c r="X774" s="4">
        <f t="shared" si="116"/>
        <v>0</v>
      </c>
    </row>
    <row r="775" spans="1:24" ht="14.25" customHeight="1" x14ac:dyDescent="0.2">
      <c r="A775" s="5" t="s">
        <v>2129</v>
      </c>
      <c r="B775" s="3" t="s">
        <v>14</v>
      </c>
      <c r="C775" s="3" t="s">
        <v>32</v>
      </c>
      <c r="D775" s="3" t="s">
        <v>2363</v>
      </c>
      <c r="E775" s="3" t="s">
        <v>2358</v>
      </c>
      <c r="F775" s="3" t="s">
        <v>998</v>
      </c>
      <c r="G775" s="3" t="s">
        <v>323</v>
      </c>
      <c r="H775" s="3" t="s">
        <v>19</v>
      </c>
      <c r="I775" s="3">
        <v>7116</v>
      </c>
      <c r="J775" s="3">
        <v>0</v>
      </c>
      <c r="K775" s="3">
        <v>4758</v>
      </c>
      <c r="L775" s="3">
        <v>6661</v>
      </c>
      <c r="M775" s="3">
        <v>1</v>
      </c>
      <c r="N775" s="14">
        <v>4878.4591460000001</v>
      </c>
      <c r="O775" s="7">
        <f t="shared" si="108"/>
        <v>0</v>
      </c>
      <c r="P775" s="14">
        <f t="shared" si="109"/>
        <v>0</v>
      </c>
      <c r="Q775" s="14">
        <f t="shared" si="110"/>
        <v>4878.4591460000001</v>
      </c>
      <c r="R775" s="4">
        <f t="shared" si="111"/>
        <v>0</v>
      </c>
      <c r="S775" s="14">
        <f t="shared" si="112"/>
        <v>732.39140459390478</v>
      </c>
      <c r="T775" s="4">
        <f t="shared" si="113"/>
        <v>66.863406408094434</v>
      </c>
      <c r="U775" s="3">
        <f>LEN(A775) - LEN(SUBSTITUTE(A775,"&gt;","")) +1</f>
        <v>5</v>
      </c>
      <c r="V775" s="8">
        <f t="shared" si="114"/>
        <v>0</v>
      </c>
      <c r="W775" s="14">
        <f t="shared" si="115"/>
        <v>975.69182920000003</v>
      </c>
      <c r="X775" s="4">
        <f t="shared" si="116"/>
        <v>0</v>
      </c>
    </row>
    <row r="776" spans="1:24" ht="14.25" customHeight="1" x14ac:dyDescent="0.2">
      <c r="A776" s="5" t="s">
        <v>2130</v>
      </c>
      <c r="B776" s="3" t="s">
        <v>14</v>
      </c>
      <c r="C776" s="3" t="s">
        <v>15</v>
      </c>
      <c r="D776" s="3" t="s">
        <v>2353</v>
      </c>
      <c r="E776" s="3" t="s">
        <v>2354</v>
      </c>
      <c r="F776" s="3" t="s">
        <v>1150</v>
      </c>
      <c r="G776" s="3" t="s">
        <v>41</v>
      </c>
      <c r="H776" s="3" t="s">
        <v>19</v>
      </c>
      <c r="I776" s="3">
        <v>3148</v>
      </c>
      <c r="J776" s="3">
        <v>0</v>
      </c>
      <c r="K776" s="3">
        <v>704</v>
      </c>
      <c r="L776" s="3">
        <v>2643</v>
      </c>
      <c r="M776" s="3">
        <v>2</v>
      </c>
      <c r="N776" s="14">
        <v>4796.5364419999996</v>
      </c>
      <c r="O776" s="7">
        <f t="shared" si="108"/>
        <v>0</v>
      </c>
      <c r="P776" s="14">
        <f t="shared" si="109"/>
        <v>0</v>
      </c>
      <c r="Q776" s="14">
        <f t="shared" si="110"/>
        <v>2398.2682209999998</v>
      </c>
      <c r="R776" s="4">
        <f t="shared" si="111"/>
        <v>0</v>
      </c>
      <c r="S776" s="14">
        <f t="shared" si="112"/>
        <v>1814.8075830495648</v>
      </c>
      <c r="T776" s="4">
        <f t="shared" si="113"/>
        <v>22.36340533672173</v>
      </c>
      <c r="U776" s="3">
        <f>LEN(A776) - LEN(SUBSTITUTE(A776,"&gt;","")) +1</f>
        <v>5</v>
      </c>
      <c r="V776" s="8">
        <f t="shared" si="114"/>
        <v>0</v>
      </c>
      <c r="W776" s="14">
        <f t="shared" si="115"/>
        <v>959.30728839999995</v>
      </c>
      <c r="X776" s="4">
        <f t="shared" si="116"/>
        <v>0</v>
      </c>
    </row>
    <row r="777" spans="1:24" ht="14.25" customHeight="1" x14ac:dyDescent="0.2">
      <c r="A777" s="5" t="s">
        <v>2131</v>
      </c>
      <c r="B777" s="3" t="s">
        <v>68</v>
      </c>
      <c r="C777" s="3" t="s">
        <v>35</v>
      </c>
      <c r="D777" s="3" t="s">
        <v>2369</v>
      </c>
      <c r="E777" s="3" t="s">
        <v>2365</v>
      </c>
      <c r="F777" s="3" t="s">
        <v>1152</v>
      </c>
      <c r="G777" s="3" t="s">
        <v>41</v>
      </c>
      <c r="H777" s="3" t="s">
        <v>19</v>
      </c>
      <c r="I777" s="3">
        <v>114723</v>
      </c>
      <c r="J777" s="3">
        <v>0</v>
      </c>
      <c r="K777" s="3">
        <v>14623</v>
      </c>
      <c r="L777" s="3">
        <v>92063</v>
      </c>
      <c r="M777" s="3">
        <v>4</v>
      </c>
      <c r="N777" s="14">
        <v>4742.0086369999999</v>
      </c>
      <c r="O777" s="7">
        <f t="shared" si="108"/>
        <v>0</v>
      </c>
      <c r="P777" s="14">
        <f t="shared" si="109"/>
        <v>0</v>
      </c>
      <c r="Q777" s="14">
        <f t="shared" si="110"/>
        <v>1185.50215925</v>
      </c>
      <c r="R777" s="4">
        <f t="shared" si="111"/>
        <v>0</v>
      </c>
      <c r="S777" s="14">
        <f t="shared" si="112"/>
        <v>51.508300153155986</v>
      </c>
      <c r="T777" s="4">
        <f t="shared" si="113"/>
        <v>12.746354262005003</v>
      </c>
      <c r="U777" s="3">
        <f>LEN(A777) - LEN(SUBSTITUTE(A777,"&gt;","")) +1</f>
        <v>5</v>
      </c>
      <c r="V777" s="8">
        <f t="shared" si="114"/>
        <v>0</v>
      </c>
      <c r="W777" s="14">
        <f t="shared" si="115"/>
        <v>948.40172740000003</v>
      </c>
      <c r="X777" s="4">
        <f t="shared" si="116"/>
        <v>0</v>
      </c>
    </row>
    <row r="778" spans="1:24" ht="14.25" customHeight="1" x14ac:dyDescent="0.2">
      <c r="A778" s="5" t="s">
        <v>2132</v>
      </c>
      <c r="B778" s="3" t="s">
        <v>24</v>
      </c>
      <c r="C778" s="3" t="s">
        <v>15</v>
      </c>
      <c r="D778" s="3" t="s">
        <v>2349</v>
      </c>
      <c r="E778" s="3" t="s">
        <v>2350</v>
      </c>
      <c r="F778" s="3" t="s">
        <v>717</v>
      </c>
      <c r="G778" s="3" t="s">
        <v>38</v>
      </c>
      <c r="H778" s="3" t="s">
        <v>19</v>
      </c>
      <c r="I778" s="3">
        <v>1571</v>
      </c>
      <c r="J778" s="3">
        <v>0</v>
      </c>
      <c r="K778" s="3">
        <v>1304</v>
      </c>
      <c r="L778" s="3">
        <v>1513</v>
      </c>
      <c r="M778" s="3">
        <v>6</v>
      </c>
      <c r="N778" s="14">
        <v>4683.2355479999997</v>
      </c>
      <c r="O778" s="7">
        <f t="shared" si="108"/>
        <v>0</v>
      </c>
      <c r="P778" s="14">
        <f t="shared" si="109"/>
        <v>0</v>
      </c>
      <c r="Q778" s="14">
        <f t="shared" si="110"/>
        <v>780.5392579999999</v>
      </c>
      <c r="R778" s="4">
        <f t="shared" si="111"/>
        <v>0</v>
      </c>
      <c r="S778" s="14">
        <f t="shared" si="112"/>
        <v>3095.3308314606738</v>
      </c>
      <c r="T778" s="4">
        <f t="shared" si="113"/>
        <v>83.004455760661997</v>
      </c>
      <c r="U778" s="3">
        <f>LEN(A778) - LEN(SUBSTITUTE(A778,"&gt;","")) +1</f>
        <v>5</v>
      </c>
      <c r="V778" s="8">
        <f t="shared" si="114"/>
        <v>0</v>
      </c>
      <c r="W778" s="14">
        <f t="shared" si="115"/>
        <v>936.64710959999991</v>
      </c>
      <c r="X778" s="4">
        <f t="shared" si="116"/>
        <v>0</v>
      </c>
    </row>
    <row r="779" spans="1:24" ht="14.25" customHeight="1" x14ac:dyDescent="0.2">
      <c r="A779" s="5" t="s">
        <v>1154</v>
      </c>
      <c r="B779" s="3" t="s">
        <v>24</v>
      </c>
      <c r="C779" s="3" t="s">
        <v>15</v>
      </c>
      <c r="D779" s="3" t="s">
        <v>2357</v>
      </c>
      <c r="E779" s="3" t="s">
        <v>2358</v>
      </c>
      <c r="F779" s="3" t="s">
        <v>740</v>
      </c>
      <c r="G779" s="3" t="s">
        <v>22</v>
      </c>
      <c r="H779" s="3" t="s">
        <v>163</v>
      </c>
      <c r="I779" s="3">
        <v>120902</v>
      </c>
      <c r="J779" s="3">
        <v>0</v>
      </c>
      <c r="K779" s="3">
        <v>9964</v>
      </c>
      <c r="L779" s="3">
        <v>70015</v>
      </c>
      <c r="M779" s="3">
        <v>15</v>
      </c>
      <c r="N779" s="14">
        <v>4669.0136689999999</v>
      </c>
      <c r="O779" s="7">
        <f t="shared" si="108"/>
        <v>0</v>
      </c>
      <c r="P779" s="14">
        <f t="shared" si="109"/>
        <v>0</v>
      </c>
      <c r="Q779" s="14">
        <f t="shared" si="110"/>
        <v>311.26757793333331</v>
      </c>
      <c r="R779" s="4">
        <f t="shared" si="111"/>
        <v>0</v>
      </c>
      <c r="S779" s="14">
        <f t="shared" si="112"/>
        <v>66.685905434549738</v>
      </c>
      <c r="T779" s="4">
        <f t="shared" si="113"/>
        <v>8.2413855850192714</v>
      </c>
      <c r="U779" s="3">
        <f>LEN(A779) - LEN(SUBSTITUTE(A779,"&gt;","")) +1</f>
        <v>4</v>
      </c>
      <c r="V779" s="8">
        <f t="shared" si="114"/>
        <v>0</v>
      </c>
      <c r="W779" s="14">
        <f t="shared" si="115"/>
        <v>1167.25341725</v>
      </c>
      <c r="X779" s="4">
        <f t="shared" si="116"/>
        <v>0</v>
      </c>
    </row>
    <row r="780" spans="1:24" ht="14.25" customHeight="1" x14ac:dyDescent="0.2">
      <c r="A780" s="5" t="s">
        <v>2133</v>
      </c>
      <c r="B780" s="3" t="s">
        <v>24</v>
      </c>
      <c r="C780" s="3" t="s">
        <v>32</v>
      </c>
      <c r="D780" s="3" t="s">
        <v>2366</v>
      </c>
      <c r="E780" s="3" t="s">
        <v>2352</v>
      </c>
      <c r="F780" s="3" t="s">
        <v>977</v>
      </c>
      <c r="G780" s="3" t="s">
        <v>27</v>
      </c>
      <c r="H780" s="3" t="s">
        <v>114</v>
      </c>
      <c r="I780" s="3">
        <v>24875</v>
      </c>
      <c r="J780" s="3">
        <v>0</v>
      </c>
      <c r="K780" s="3">
        <v>14213</v>
      </c>
      <c r="L780" s="3">
        <v>23455</v>
      </c>
      <c r="M780" s="3">
        <v>1</v>
      </c>
      <c r="N780" s="14">
        <v>4652.2420510000002</v>
      </c>
      <c r="O780" s="7">
        <f t="shared" si="108"/>
        <v>0</v>
      </c>
      <c r="P780" s="14">
        <f t="shared" si="109"/>
        <v>0</v>
      </c>
      <c r="Q780" s="14">
        <f t="shared" si="110"/>
        <v>4652.2420510000002</v>
      </c>
      <c r="R780" s="4">
        <f t="shared" si="111"/>
        <v>0</v>
      </c>
      <c r="S780" s="14">
        <f t="shared" si="112"/>
        <v>198.34756133020679</v>
      </c>
      <c r="T780" s="4">
        <f t="shared" si="113"/>
        <v>57.137688442211058</v>
      </c>
      <c r="U780" s="3">
        <f>LEN(A780) - LEN(SUBSTITUTE(A780,"&gt;","")) +1</f>
        <v>5</v>
      </c>
      <c r="V780" s="8">
        <f t="shared" si="114"/>
        <v>0</v>
      </c>
      <c r="W780" s="14">
        <f t="shared" si="115"/>
        <v>930.44841020000001</v>
      </c>
      <c r="X780" s="4">
        <f t="shared" si="116"/>
        <v>0</v>
      </c>
    </row>
    <row r="781" spans="1:24" ht="14.25" customHeight="1" x14ac:dyDescent="0.2">
      <c r="A781" s="5" t="s">
        <v>1156</v>
      </c>
      <c r="B781" s="3" t="s">
        <v>24</v>
      </c>
      <c r="C781" s="3" t="s">
        <v>29</v>
      </c>
      <c r="D781" s="3" t="s">
        <v>2357</v>
      </c>
      <c r="E781" s="3" t="s">
        <v>2358</v>
      </c>
      <c r="F781" s="3" t="s">
        <v>1157</v>
      </c>
      <c r="G781" s="3" t="s">
        <v>22</v>
      </c>
      <c r="H781" s="3" t="s">
        <v>19</v>
      </c>
      <c r="I781" s="3">
        <v>8</v>
      </c>
      <c r="J781" s="3">
        <v>0</v>
      </c>
      <c r="K781" s="3">
        <v>6</v>
      </c>
      <c r="L781" s="3">
        <v>8</v>
      </c>
      <c r="M781" s="3">
        <v>4</v>
      </c>
      <c r="N781" s="14">
        <v>4589.2247189999998</v>
      </c>
      <c r="O781" s="7">
        <f t="shared" si="108"/>
        <v>0</v>
      </c>
      <c r="P781" s="14">
        <f t="shared" si="109"/>
        <v>0</v>
      </c>
      <c r="Q781" s="14">
        <f t="shared" si="110"/>
        <v>1147.30617975</v>
      </c>
      <c r="R781" s="4">
        <f t="shared" si="111"/>
        <v>0</v>
      </c>
      <c r="S781" s="14">
        <f t="shared" si="112"/>
        <v>573653.08987499995</v>
      </c>
      <c r="T781" s="4">
        <f t="shared" si="113"/>
        <v>75</v>
      </c>
      <c r="U781" s="3">
        <f>LEN(A781) - LEN(SUBSTITUTE(A781,"&gt;","")) +1</f>
        <v>4</v>
      </c>
      <c r="V781" s="8">
        <f t="shared" si="114"/>
        <v>0</v>
      </c>
      <c r="W781" s="14">
        <f t="shared" si="115"/>
        <v>1147.30617975</v>
      </c>
      <c r="X781" s="4">
        <f t="shared" si="116"/>
        <v>0</v>
      </c>
    </row>
    <row r="782" spans="1:24" ht="14.25" customHeight="1" x14ac:dyDescent="0.2">
      <c r="A782" s="5" t="s">
        <v>1158</v>
      </c>
      <c r="B782" s="3" t="s">
        <v>14</v>
      </c>
      <c r="C782" s="3" t="s">
        <v>29</v>
      </c>
      <c r="D782" s="3" t="s">
        <v>2349</v>
      </c>
      <c r="E782" s="3" t="s">
        <v>2350</v>
      </c>
      <c r="F782" s="3" t="s">
        <v>740</v>
      </c>
      <c r="G782" s="3" t="s">
        <v>22</v>
      </c>
      <c r="H782" s="3" t="s">
        <v>19</v>
      </c>
      <c r="I782" s="3">
        <v>45397</v>
      </c>
      <c r="J782" s="3">
        <v>0</v>
      </c>
      <c r="K782" s="3">
        <v>716</v>
      </c>
      <c r="L782" s="3">
        <v>6867</v>
      </c>
      <c r="M782" s="3">
        <v>15</v>
      </c>
      <c r="N782" s="14">
        <v>4582.4532909999998</v>
      </c>
      <c r="O782" s="7">
        <f t="shared" si="108"/>
        <v>0</v>
      </c>
      <c r="P782" s="14">
        <f t="shared" si="109"/>
        <v>0</v>
      </c>
      <c r="Q782" s="14">
        <f t="shared" si="110"/>
        <v>305.49688606666666</v>
      </c>
      <c r="R782" s="4">
        <f t="shared" si="111"/>
        <v>0</v>
      </c>
      <c r="S782" s="14">
        <f t="shared" si="112"/>
        <v>667.3151727100626</v>
      </c>
      <c r="T782" s="4">
        <f t="shared" si="113"/>
        <v>1.577196731061524</v>
      </c>
      <c r="U782" s="3">
        <f>LEN(A782) - LEN(SUBSTITUTE(A782,"&gt;","")) +1</f>
        <v>4</v>
      </c>
      <c r="V782" s="8">
        <f t="shared" si="114"/>
        <v>0</v>
      </c>
      <c r="W782" s="14">
        <f t="shared" si="115"/>
        <v>1145.61332275</v>
      </c>
      <c r="X782" s="4">
        <f t="shared" si="116"/>
        <v>0</v>
      </c>
    </row>
    <row r="783" spans="1:24" ht="14.25" customHeight="1" x14ac:dyDescent="0.2">
      <c r="A783" s="5" t="s">
        <v>2134</v>
      </c>
      <c r="B783" s="3" t="s">
        <v>24</v>
      </c>
      <c r="C783" s="3" t="s">
        <v>35</v>
      </c>
      <c r="D783" s="3" t="s">
        <v>2359</v>
      </c>
      <c r="E783" s="3" t="s">
        <v>2360</v>
      </c>
      <c r="F783" s="3" t="s">
        <v>72</v>
      </c>
      <c r="G783" s="3" t="s">
        <v>27</v>
      </c>
      <c r="H783" s="3" t="s">
        <v>19</v>
      </c>
      <c r="I783" s="3">
        <v>23983</v>
      </c>
      <c r="J783" s="3">
        <v>0</v>
      </c>
      <c r="K783" s="3">
        <v>464</v>
      </c>
      <c r="L783" s="3">
        <v>19802</v>
      </c>
      <c r="M783" s="3">
        <v>5</v>
      </c>
      <c r="N783" s="14">
        <v>4574.3482700000004</v>
      </c>
      <c r="O783" s="7">
        <f t="shared" si="108"/>
        <v>0</v>
      </c>
      <c r="P783" s="14">
        <f t="shared" si="109"/>
        <v>0</v>
      </c>
      <c r="Q783" s="14">
        <f t="shared" si="110"/>
        <v>914.86965400000008</v>
      </c>
      <c r="R783" s="4">
        <f t="shared" si="111"/>
        <v>0</v>
      </c>
      <c r="S783" s="14">
        <f t="shared" si="112"/>
        <v>231.0043566306434</v>
      </c>
      <c r="T783" s="4">
        <f t="shared" si="113"/>
        <v>1.9347037484885126</v>
      </c>
      <c r="U783" s="3">
        <f>LEN(A783) - LEN(SUBSTITUTE(A783,"&gt;","")) +1</f>
        <v>5</v>
      </c>
      <c r="V783" s="8">
        <f t="shared" si="114"/>
        <v>0</v>
      </c>
      <c r="W783" s="14">
        <f t="shared" si="115"/>
        <v>914.86965400000008</v>
      </c>
      <c r="X783" s="4">
        <f t="shared" si="116"/>
        <v>0</v>
      </c>
    </row>
    <row r="784" spans="1:24" ht="14.25" customHeight="1" x14ac:dyDescent="0.2">
      <c r="A784" s="5" t="s">
        <v>2135</v>
      </c>
      <c r="B784" s="3" t="s">
        <v>24</v>
      </c>
      <c r="C784" s="3" t="s">
        <v>29</v>
      </c>
      <c r="D784" s="3" t="s">
        <v>2388</v>
      </c>
      <c r="E784" s="3" t="s">
        <v>2356</v>
      </c>
      <c r="F784" s="3" t="s">
        <v>1161</v>
      </c>
      <c r="G784" s="3" t="s">
        <v>22</v>
      </c>
      <c r="H784" s="3" t="s">
        <v>114</v>
      </c>
      <c r="I784" s="3">
        <v>2156</v>
      </c>
      <c r="J784" s="3">
        <v>0</v>
      </c>
      <c r="K784" s="3">
        <v>747</v>
      </c>
      <c r="L784" s="3">
        <v>1970</v>
      </c>
      <c r="M784" s="3">
        <v>2</v>
      </c>
      <c r="N784" s="14">
        <v>4574.1130350000003</v>
      </c>
      <c r="O784" s="7">
        <f t="shared" si="108"/>
        <v>0</v>
      </c>
      <c r="P784" s="14">
        <f t="shared" si="109"/>
        <v>0</v>
      </c>
      <c r="Q784" s="14">
        <f t="shared" si="110"/>
        <v>2287.0565175000002</v>
      </c>
      <c r="R784" s="4">
        <f t="shared" si="111"/>
        <v>0</v>
      </c>
      <c r="S784" s="14">
        <f t="shared" si="112"/>
        <v>2321.8847893401016</v>
      </c>
      <c r="T784" s="4">
        <f t="shared" si="113"/>
        <v>34.647495361781075</v>
      </c>
      <c r="U784" s="3">
        <f>LEN(A784) - LEN(SUBSTITUTE(A784,"&gt;","")) +1</f>
        <v>5</v>
      </c>
      <c r="V784" s="8">
        <f t="shared" si="114"/>
        <v>0</v>
      </c>
      <c r="W784" s="14">
        <f t="shared" si="115"/>
        <v>914.82260700000006</v>
      </c>
      <c r="X784" s="4">
        <f t="shared" si="116"/>
        <v>0</v>
      </c>
    </row>
    <row r="785" spans="1:24" ht="14.25" customHeight="1" x14ac:dyDescent="0.2">
      <c r="A785" s="5" t="s">
        <v>2136</v>
      </c>
      <c r="B785" s="3" t="s">
        <v>14</v>
      </c>
      <c r="C785" s="3" t="s">
        <v>15</v>
      </c>
      <c r="D785" s="3" t="s">
        <v>2357</v>
      </c>
      <c r="E785" s="3" t="s">
        <v>2358</v>
      </c>
      <c r="F785" s="3" t="s">
        <v>1163</v>
      </c>
      <c r="G785" s="3" t="s">
        <v>27</v>
      </c>
      <c r="H785" s="3" t="s">
        <v>19</v>
      </c>
      <c r="I785" s="3">
        <v>747</v>
      </c>
      <c r="J785" s="3">
        <v>0</v>
      </c>
      <c r="K785" s="3">
        <v>239</v>
      </c>
      <c r="L785" s="3">
        <v>639</v>
      </c>
      <c r="M785" s="3">
        <v>5</v>
      </c>
      <c r="N785" s="14">
        <v>4520.8725169999998</v>
      </c>
      <c r="O785" s="7">
        <f t="shared" si="108"/>
        <v>0</v>
      </c>
      <c r="P785" s="14">
        <f t="shared" si="109"/>
        <v>0</v>
      </c>
      <c r="Q785" s="14">
        <f t="shared" si="110"/>
        <v>904.17450339999994</v>
      </c>
      <c r="R785" s="4">
        <f t="shared" si="111"/>
        <v>0</v>
      </c>
      <c r="S785" s="14">
        <f t="shared" si="112"/>
        <v>7074.9178669796556</v>
      </c>
      <c r="T785" s="4">
        <f t="shared" si="113"/>
        <v>31.994645247657296</v>
      </c>
      <c r="U785" s="3">
        <f>LEN(A785) - LEN(SUBSTITUTE(A785,"&gt;","")) +1</f>
        <v>5</v>
      </c>
      <c r="V785" s="8">
        <f t="shared" si="114"/>
        <v>0</v>
      </c>
      <c r="W785" s="14">
        <f t="shared" si="115"/>
        <v>904.17450339999994</v>
      </c>
      <c r="X785" s="4">
        <f t="shared" si="116"/>
        <v>0</v>
      </c>
    </row>
    <row r="786" spans="1:24" ht="14.25" customHeight="1" x14ac:dyDescent="0.2">
      <c r="A786" s="5" t="s">
        <v>2137</v>
      </c>
      <c r="B786" s="3" t="s">
        <v>68</v>
      </c>
      <c r="C786" s="3" t="s">
        <v>32</v>
      </c>
      <c r="D786" s="3" t="s">
        <v>2359</v>
      </c>
      <c r="E786" s="3" t="s">
        <v>2360</v>
      </c>
      <c r="F786" s="3" t="s">
        <v>865</v>
      </c>
      <c r="G786" s="3" t="s">
        <v>22</v>
      </c>
      <c r="H786" s="3" t="s">
        <v>19</v>
      </c>
      <c r="I786" s="3">
        <v>1005</v>
      </c>
      <c r="J786" s="3">
        <v>0</v>
      </c>
      <c r="K786" s="3">
        <v>568</v>
      </c>
      <c r="L786" s="3">
        <v>826</v>
      </c>
      <c r="M786" s="3">
        <v>10</v>
      </c>
      <c r="N786" s="14">
        <v>4514.9293930000003</v>
      </c>
      <c r="O786" s="7">
        <f t="shared" si="108"/>
        <v>0</v>
      </c>
      <c r="P786" s="14">
        <f t="shared" si="109"/>
        <v>0</v>
      </c>
      <c r="Q786" s="14">
        <f t="shared" si="110"/>
        <v>451.49293930000005</v>
      </c>
      <c r="R786" s="4">
        <f t="shared" si="111"/>
        <v>0</v>
      </c>
      <c r="S786" s="14">
        <f t="shared" si="112"/>
        <v>5466.0162142857143</v>
      </c>
      <c r="T786" s="4">
        <f t="shared" si="113"/>
        <v>56.517412935323385</v>
      </c>
      <c r="U786" s="3">
        <f>LEN(A786) - LEN(SUBSTITUTE(A786,"&gt;","")) +1</f>
        <v>5</v>
      </c>
      <c r="V786" s="8">
        <f t="shared" si="114"/>
        <v>0</v>
      </c>
      <c r="W786" s="14">
        <f t="shared" si="115"/>
        <v>902.98587860000009</v>
      </c>
      <c r="X786" s="4">
        <f t="shared" si="116"/>
        <v>0</v>
      </c>
    </row>
    <row r="787" spans="1:24" ht="14.25" customHeight="1" x14ac:dyDescent="0.2">
      <c r="A787" s="5" t="s">
        <v>1165</v>
      </c>
      <c r="B787" s="3" t="s">
        <v>24</v>
      </c>
      <c r="C787" s="3" t="s">
        <v>15</v>
      </c>
      <c r="D787" s="3" t="s">
        <v>2353</v>
      </c>
      <c r="E787" s="3" t="s">
        <v>2354</v>
      </c>
      <c r="F787" s="3" t="s">
        <v>1166</v>
      </c>
      <c r="G787" s="3" t="s">
        <v>81</v>
      </c>
      <c r="H787" s="3" t="s">
        <v>114</v>
      </c>
      <c r="I787" s="3">
        <v>394</v>
      </c>
      <c r="J787" s="3">
        <v>0</v>
      </c>
      <c r="K787" s="3">
        <v>246</v>
      </c>
      <c r="L787" s="3">
        <v>316</v>
      </c>
      <c r="M787" s="3">
        <v>2</v>
      </c>
      <c r="N787" s="14">
        <v>4490.2458399999996</v>
      </c>
      <c r="O787" s="7">
        <f t="shared" si="108"/>
        <v>0</v>
      </c>
      <c r="P787" s="14">
        <f t="shared" si="109"/>
        <v>0</v>
      </c>
      <c r="Q787" s="14">
        <f t="shared" si="110"/>
        <v>2245.1229199999998</v>
      </c>
      <c r="R787" s="4">
        <f t="shared" si="111"/>
        <v>0</v>
      </c>
      <c r="S787" s="14">
        <f t="shared" si="112"/>
        <v>14209.638734177213</v>
      </c>
      <c r="T787" s="4">
        <f t="shared" si="113"/>
        <v>62.43654822335025</v>
      </c>
      <c r="U787" s="3">
        <f>LEN(A787) - LEN(SUBSTITUTE(A787,"&gt;","")) +1</f>
        <v>4</v>
      </c>
      <c r="V787" s="8">
        <f t="shared" si="114"/>
        <v>0</v>
      </c>
      <c r="W787" s="14">
        <f t="shared" si="115"/>
        <v>1122.5614599999999</v>
      </c>
      <c r="X787" s="4">
        <f t="shared" si="116"/>
        <v>0</v>
      </c>
    </row>
    <row r="788" spans="1:24" ht="14.25" customHeight="1" x14ac:dyDescent="0.2">
      <c r="A788" s="5" t="s">
        <v>2138</v>
      </c>
      <c r="B788" s="3" t="s">
        <v>14</v>
      </c>
      <c r="C788" s="3" t="s">
        <v>15</v>
      </c>
      <c r="D788" s="3" t="s">
        <v>2349</v>
      </c>
      <c r="E788" s="3" t="s">
        <v>2350</v>
      </c>
      <c r="F788" s="3" t="s">
        <v>1168</v>
      </c>
      <c r="G788" s="3" t="s">
        <v>287</v>
      </c>
      <c r="H788" s="3" t="s">
        <v>19</v>
      </c>
      <c r="I788" s="3">
        <v>31</v>
      </c>
      <c r="J788" s="3">
        <v>0</v>
      </c>
      <c r="K788" s="3">
        <v>13</v>
      </c>
      <c r="L788" s="3">
        <v>26</v>
      </c>
      <c r="M788" s="3">
        <v>1</v>
      </c>
      <c r="N788" s="14">
        <v>4487.2815950000004</v>
      </c>
      <c r="O788" s="7">
        <f t="shared" si="108"/>
        <v>0</v>
      </c>
      <c r="P788" s="14">
        <f t="shared" si="109"/>
        <v>0</v>
      </c>
      <c r="Q788" s="14">
        <f t="shared" si="110"/>
        <v>4487.2815950000004</v>
      </c>
      <c r="R788" s="4">
        <f t="shared" si="111"/>
        <v>0</v>
      </c>
      <c r="S788" s="14">
        <f t="shared" si="112"/>
        <v>172587.75365384616</v>
      </c>
      <c r="T788" s="4">
        <f t="shared" si="113"/>
        <v>41.935483870967744</v>
      </c>
      <c r="U788" s="3">
        <f>LEN(A788) - LEN(SUBSTITUTE(A788,"&gt;","")) +1</f>
        <v>5</v>
      </c>
      <c r="V788" s="8">
        <f t="shared" si="114"/>
        <v>0</v>
      </c>
      <c r="W788" s="14">
        <f t="shared" si="115"/>
        <v>897.45631900000012</v>
      </c>
      <c r="X788" s="4">
        <f t="shared" si="116"/>
        <v>0</v>
      </c>
    </row>
    <row r="789" spans="1:24" ht="14.25" customHeight="1" x14ac:dyDescent="0.2">
      <c r="A789" s="5" t="s">
        <v>1169</v>
      </c>
      <c r="B789" s="3" t="s">
        <v>14</v>
      </c>
      <c r="C789" s="3" t="s">
        <v>29</v>
      </c>
      <c r="D789" s="3" t="s">
        <v>2364</v>
      </c>
      <c r="E789" s="3" t="s">
        <v>2365</v>
      </c>
      <c r="F789" s="3" t="s">
        <v>1170</v>
      </c>
      <c r="G789" s="3" t="s">
        <v>27</v>
      </c>
      <c r="H789" s="3" t="s">
        <v>19</v>
      </c>
      <c r="I789" s="3">
        <v>69</v>
      </c>
      <c r="J789" s="3">
        <v>0</v>
      </c>
      <c r="K789" s="3">
        <v>55</v>
      </c>
      <c r="L789" s="3">
        <v>64</v>
      </c>
      <c r="M789" s="3">
        <v>15</v>
      </c>
      <c r="N789" s="14">
        <v>4482.3383819999999</v>
      </c>
      <c r="O789" s="7">
        <f t="shared" si="108"/>
        <v>0</v>
      </c>
      <c r="P789" s="14">
        <f t="shared" si="109"/>
        <v>0</v>
      </c>
      <c r="Q789" s="14">
        <f t="shared" si="110"/>
        <v>298.82255879999997</v>
      </c>
      <c r="R789" s="4">
        <f t="shared" si="111"/>
        <v>0</v>
      </c>
      <c r="S789" s="14">
        <f t="shared" si="112"/>
        <v>70036.537218750003</v>
      </c>
      <c r="T789" s="4">
        <f t="shared" si="113"/>
        <v>79.710144927536234</v>
      </c>
      <c r="U789" s="3">
        <f>LEN(A789) - LEN(SUBSTITUTE(A789,"&gt;","")) +1</f>
        <v>4</v>
      </c>
      <c r="V789" s="8">
        <f t="shared" si="114"/>
        <v>0</v>
      </c>
      <c r="W789" s="14">
        <f t="shared" si="115"/>
        <v>1120.5845955</v>
      </c>
      <c r="X789" s="4">
        <f t="shared" si="116"/>
        <v>0</v>
      </c>
    </row>
    <row r="790" spans="1:24" ht="14.25" customHeight="1" x14ac:dyDescent="0.2">
      <c r="A790" s="5" t="s">
        <v>2139</v>
      </c>
      <c r="B790" s="3" t="s">
        <v>14</v>
      </c>
      <c r="C790" s="3" t="s">
        <v>15</v>
      </c>
      <c r="D790" s="3" t="s">
        <v>2349</v>
      </c>
      <c r="E790" s="3" t="s">
        <v>2350</v>
      </c>
      <c r="F790" s="3" t="s">
        <v>455</v>
      </c>
      <c r="G790" s="3" t="s">
        <v>22</v>
      </c>
      <c r="H790" s="3" t="s">
        <v>19</v>
      </c>
      <c r="I790" s="3">
        <v>3124</v>
      </c>
      <c r="J790" s="3">
        <v>0</v>
      </c>
      <c r="K790" s="3">
        <v>1710</v>
      </c>
      <c r="L790" s="3">
        <v>2916</v>
      </c>
      <c r="M790" s="3">
        <v>8</v>
      </c>
      <c r="N790" s="14">
        <v>4465.8975710000004</v>
      </c>
      <c r="O790" s="7">
        <f t="shared" si="108"/>
        <v>0</v>
      </c>
      <c r="P790" s="14">
        <f t="shared" si="109"/>
        <v>0</v>
      </c>
      <c r="Q790" s="14">
        <f t="shared" si="110"/>
        <v>558.23719637500005</v>
      </c>
      <c r="R790" s="4">
        <f t="shared" si="111"/>
        <v>0</v>
      </c>
      <c r="S790" s="14">
        <f t="shared" si="112"/>
        <v>1531.5149420438959</v>
      </c>
      <c r="T790" s="4">
        <f t="shared" si="113"/>
        <v>54.737516005121634</v>
      </c>
      <c r="U790" s="3">
        <f>LEN(A790) - LEN(SUBSTITUTE(A790,"&gt;","")) +1</f>
        <v>5</v>
      </c>
      <c r="V790" s="8">
        <f t="shared" si="114"/>
        <v>0</v>
      </c>
      <c r="W790" s="14">
        <f t="shared" si="115"/>
        <v>893.17951420000009</v>
      </c>
      <c r="X790" s="4">
        <f t="shared" si="116"/>
        <v>0</v>
      </c>
    </row>
    <row r="791" spans="1:24" ht="14.25" customHeight="1" x14ac:dyDescent="0.2">
      <c r="A791" s="5" t="s">
        <v>1172</v>
      </c>
      <c r="B791" s="3" t="s">
        <v>14</v>
      </c>
      <c r="C791" s="3" t="s">
        <v>32</v>
      </c>
      <c r="D791" s="3" t="s">
        <v>2401</v>
      </c>
      <c r="E791" s="3" t="s">
        <v>2375</v>
      </c>
      <c r="F791" s="3" t="s">
        <v>1173</v>
      </c>
      <c r="G791" s="3" t="s">
        <v>33</v>
      </c>
      <c r="H791" s="3" t="s">
        <v>19</v>
      </c>
      <c r="I791" s="3">
        <v>2795</v>
      </c>
      <c r="J791" s="3">
        <v>0</v>
      </c>
      <c r="K791" s="3">
        <v>1911</v>
      </c>
      <c r="L791" s="3">
        <v>2685</v>
      </c>
      <c r="M791" s="3">
        <v>2</v>
      </c>
      <c r="N791" s="14">
        <v>4369.0946629999999</v>
      </c>
      <c r="O791" s="7">
        <f t="shared" si="108"/>
        <v>0</v>
      </c>
      <c r="P791" s="14">
        <f t="shared" si="109"/>
        <v>0</v>
      </c>
      <c r="Q791" s="14">
        <f t="shared" si="110"/>
        <v>2184.5473314999999</v>
      </c>
      <c r="R791" s="4">
        <f t="shared" si="111"/>
        <v>0</v>
      </c>
      <c r="S791" s="14">
        <f t="shared" si="112"/>
        <v>1627.2233381750466</v>
      </c>
      <c r="T791" s="4">
        <f t="shared" si="113"/>
        <v>68.372093023255815</v>
      </c>
      <c r="U791" s="3">
        <f>LEN(A791) - LEN(SUBSTITUTE(A791,"&gt;","")) +1</f>
        <v>4</v>
      </c>
      <c r="V791" s="8">
        <f t="shared" si="114"/>
        <v>0</v>
      </c>
      <c r="W791" s="14">
        <f t="shared" si="115"/>
        <v>1092.27366575</v>
      </c>
      <c r="X791" s="4">
        <f t="shared" si="116"/>
        <v>0</v>
      </c>
    </row>
    <row r="792" spans="1:24" ht="14.25" customHeight="1" x14ac:dyDescent="0.2">
      <c r="A792" s="5" t="s">
        <v>2140</v>
      </c>
      <c r="B792" s="3" t="s">
        <v>24</v>
      </c>
      <c r="C792" s="3" t="s">
        <v>32</v>
      </c>
      <c r="D792" s="3" t="s">
        <v>2362</v>
      </c>
      <c r="E792" s="3" t="s">
        <v>2352</v>
      </c>
      <c r="F792" s="3" t="s">
        <v>1175</v>
      </c>
      <c r="G792" s="3" t="s">
        <v>27</v>
      </c>
      <c r="H792" s="3" t="s">
        <v>19</v>
      </c>
      <c r="I792" s="3">
        <v>3617</v>
      </c>
      <c r="J792" s="3">
        <v>0</v>
      </c>
      <c r="K792" s="3">
        <v>2362</v>
      </c>
      <c r="L792" s="3">
        <v>3513</v>
      </c>
      <c r="M792" s="3">
        <v>8</v>
      </c>
      <c r="N792" s="14">
        <v>4136.9128119999996</v>
      </c>
      <c r="O792" s="7">
        <f t="shared" si="108"/>
        <v>0</v>
      </c>
      <c r="P792" s="14">
        <f t="shared" si="109"/>
        <v>0</v>
      </c>
      <c r="Q792" s="14">
        <f t="shared" si="110"/>
        <v>517.11410149999995</v>
      </c>
      <c r="R792" s="4">
        <f t="shared" si="111"/>
        <v>0</v>
      </c>
      <c r="S792" s="14">
        <f t="shared" si="112"/>
        <v>1177.6011420438369</v>
      </c>
      <c r="T792" s="4">
        <f t="shared" si="113"/>
        <v>65.302737074923968</v>
      </c>
      <c r="U792" s="3">
        <f>LEN(A792) - LEN(SUBSTITUTE(A792,"&gt;","")) +1</f>
        <v>5</v>
      </c>
      <c r="V792" s="8">
        <f t="shared" si="114"/>
        <v>0</v>
      </c>
      <c r="W792" s="14">
        <f t="shared" si="115"/>
        <v>827.38256239999987</v>
      </c>
      <c r="X792" s="4">
        <f t="shared" si="116"/>
        <v>0</v>
      </c>
    </row>
    <row r="793" spans="1:24" ht="14.25" customHeight="1" x14ac:dyDescent="0.2">
      <c r="A793" s="5" t="s">
        <v>2141</v>
      </c>
      <c r="B793" s="3" t="s">
        <v>14</v>
      </c>
      <c r="C793" s="3" t="s">
        <v>29</v>
      </c>
      <c r="D793" s="3" t="s">
        <v>2353</v>
      </c>
      <c r="E793" s="3" t="s">
        <v>2354</v>
      </c>
      <c r="F793" s="3" t="s">
        <v>1177</v>
      </c>
      <c r="G793" s="3" t="s">
        <v>27</v>
      </c>
      <c r="H793" s="3" t="s">
        <v>19</v>
      </c>
      <c r="I793" s="3">
        <v>272</v>
      </c>
      <c r="J793" s="3">
        <v>0</v>
      </c>
      <c r="K793" s="3">
        <v>196</v>
      </c>
      <c r="L793" s="3">
        <v>263</v>
      </c>
      <c r="M793" s="3">
        <v>13</v>
      </c>
      <c r="N793" s="14">
        <v>4090.7701860000002</v>
      </c>
      <c r="O793" s="7">
        <f t="shared" si="108"/>
        <v>0</v>
      </c>
      <c r="P793" s="14">
        <f t="shared" si="109"/>
        <v>0</v>
      </c>
      <c r="Q793" s="14">
        <f t="shared" si="110"/>
        <v>314.67462969230769</v>
      </c>
      <c r="R793" s="4">
        <f t="shared" si="111"/>
        <v>0</v>
      </c>
      <c r="S793" s="14">
        <f t="shared" si="112"/>
        <v>15554.259262357416</v>
      </c>
      <c r="T793" s="4">
        <f t="shared" si="113"/>
        <v>72.058823529411768</v>
      </c>
      <c r="U793" s="3">
        <f>LEN(A793) - LEN(SUBSTITUTE(A793,"&gt;","")) +1</f>
        <v>5</v>
      </c>
      <c r="V793" s="8">
        <f t="shared" si="114"/>
        <v>0</v>
      </c>
      <c r="W793" s="14">
        <f t="shared" si="115"/>
        <v>818.15403720000006</v>
      </c>
      <c r="X793" s="4">
        <f t="shared" si="116"/>
        <v>0</v>
      </c>
    </row>
    <row r="794" spans="1:24" ht="14.25" customHeight="1" x14ac:dyDescent="0.2">
      <c r="A794" s="5" t="s">
        <v>2142</v>
      </c>
      <c r="B794" s="3" t="s">
        <v>68</v>
      </c>
      <c r="C794" s="3" t="s">
        <v>29</v>
      </c>
      <c r="D794" s="3" t="s">
        <v>2368</v>
      </c>
      <c r="E794" s="3" t="s">
        <v>2352</v>
      </c>
      <c r="F794" s="3" t="s">
        <v>1179</v>
      </c>
      <c r="G794" s="3" t="s">
        <v>64</v>
      </c>
      <c r="H794" s="3" t="s">
        <v>19</v>
      </c>
      <c r="I794" s="3">
        <v>2060</v>
      </c>
      <c r="J794" s="3">
        <v>0</v>
      </c>
      <c r="K794" s="3">
        <v>542</v>
      </c>
      <c r="L794" s="3">
        <v>1543</v>
      </c>
      <c r="M794" s="3">
        <v>3</v>
      </c>
      <c r="N794" s="14">
        <v>4055.2492980000002</v>
      </c>
      <c r="O794" s="7">
        <f t="shared" si="108"/>
        <v>0</v>
      </c>
      <c r="P794" s="14">
        <f t="shared" si="109"/>
        <v>0</v>
      </c>
      <c r="Q794" s="14">
        <f t="shared" si="110"/>
        <v>1351.7497660000001</v>
      </c>
      <c r="R794" s="4">
        <f t="shared" si="111"/>
        <v>0</v>
      </c>
      <c r="S794" s="14">
        <f t="shared" si="112"/>
        <v>2628.158974724563</v>
      </c>
      <c r="T794" s="4">
        <f t="shared" si="113"/>
        <v>26.310679611650485</v>
      </c>
      <c r="U794" s="3">
        <f>LEN(A794) - LEN(SUBSTITUTE(A794,"&gt;","")) +1</f>
        <v>5</v>
      </c>
      <c r="V794" s="8">
        <f t="shared" si="114"/>
        <v>0</v>
      </c>
      <c r="W794" s="14">
        <f t="shared" si="115"/>
        <v>811.04985959999999</v>
      </c>
      <c r="X794" s="4">
        <f t="shared" si="116"/>
        <v>0</v>
      </c>
    </row>
    <row r="795" spans="1:24" ht="14.25" customHeight="1" x14ac:dyDescent="0.2">
      <c r="A795" s="5" t="s">
        <v>2143</v>
      </c>
      <c r="B795" s="3" t="s">
        <v>14</v>
      </c>
      <c r="C795" s="3" t="s">
        <v>29</v>
      </c>
      <c r="D795" s="3" t="s">
        <v>2359</v>
      </c>
      <c r="E795" s="3" t="s">
        <v>2360</v>
      </c>
      <c r="F795" s="3" t="s">
        <v>478</v>
      </c>
      <c r="G795" s="3" t="s">
        <v>38</v>
      </c>
      <c r="H795" s="3" t="s">
        <v>19</v>
      </c>
      <c r="I795" s="3">
        <v>918</v>
      </c>
      <c r="J795" s="3">
        <v>0</v>
      </c>
      <c r="K795" s="3">
        <v>164</v>
      </c>
      <c r="L795" s="3">
        <v>359</v>
      </c>
      <c r="M795" s="3">
        <v>2</v>
      </c>
      <c r="N795" s="14">
        <v>3995.8518389999999</v>
      </c>
      <c r="O795" s="7">
        <f t="shared" si="108"/>
        <v>0</v>
      </c>
      <c r="P795" s="14">
        <f t="shared" si="109"/>
        <v>0</v>
      </c>
      <c r="Q795" s="14">
        <f t="shared" si="110"/>
        <v>1997.9259195</v>
      </c>
      <c r="R795" s="4">
        <f t="shared" si="111"/>
        <v>0</v>
      </c>
      <c r="S795" s="14">
        <f t="shared" si="112"/>
        <v>11130.506515320334</v>
      </c>
      <c r="T795" s="4">
        <f t="shared" si="113"/>
        <v>17.864923747276691</v>
      </c>
      <c r="U795" s="3">
        <f>LEN(A795) - LEN(SUBSTITUTE(A795,"&gt;","")) +1</f>
        <v>6</v>
      </c>
      <c r="V795" s="8">
        <f t="shared" si="114"/>
        <v>0</v>
      </c>
      <c r="W795" s="14">
        <f t="shared" si="115"/>
        <v>665.97530649999999</v>
      </c>
      <c r="X795" s="4">
        <f t="shared" si="116"/>
        <v>0</v>
      </c>
    </row>
    <row r="796" spans="1:24" ht="14.25" customHeight="1" x14ac:dyDescent="0.2">
      <c r="A796" s="5" t="s">
        <v>2144</v>
      </c>
      <c r="B796" s="3" t="s">
        <v>14</v>
      </c>
      <c r="C796" s="3" t="s">
        <v>35</v>
      </c>
      <c r="D796" s="3" t="s">
        <v>2359</v>
      </c>
      <c r="E796" s="3" t="s">
        <v>2360</v>
      </c>
      <c r="F796" s="3" t="s">
        <v>1182</v>
      </c>
      <c r="G796" s="3" t="s">
        <v>287</v>
      </c>
      <c r="H796" s="3" t="s">
        <v>19</v>
      </c>
      <c r="I796" s="3">
        <v>1698</v>
      </c>
      <c r="J796" s="3">
        <v>0</v>
      </c>
      <c r="K796" s="3">
        <v>914</v>
      </c>
      <c r="L796" s="3">
        <v>1564</v>
      </c>
      <c r="M796" s="3">
        <v>4</v>
      </c>
      <c r="N796" s="14">
        <v>3945.591109</v>
      </c>
      <c r="O796" s="7">
        <f t="shared" si="108"/>
        <v>0</v>
      </c>
      <c r="P796" s="14">
        <f t="shared" si="109"/>
        <v>0</v>
      </c>
      <c r="Q796" s="14">
        <f t="shared" si="110"/>
        <v>986.39777724999999</v>
      </c>
      <c r="R796" s="4">
        <f t="shared" si="111"/>
        <v>0</v>
      </c>
      <c r="S796" s="14">
        <f t="shared" si="112"/>
        <v>2522.756463554987</v>
      </c>
      <c r="T796" s="4">
        <f t="shared" si="113"/>
        <v>53.828032979976449</v>
      </c>
      <c r="U796" s="3">
        <f>LEN(A796) - LEN(SUBSTITUTE(A796,"&gt;","")) +1</f>
        <v>4</v>
      </c>
      <c r="V796" s="8">
        <f t="shared" si="114"/>
        <v>0</v>
      </c>
      <c r="W796" s="14">
        <f t="shared" si="115"/>
        <v>986.39777724999999</v>
      </c>
      <c r="X796" s="4">
        <f t="shared" si="116"/>
        <v>0</v>
      </c>
    </row>
    <row r="797" spans="1:24" ht="14.25" customHeight="1" x14ac:dyDescent="0.2">
      <c r="A797" s="5" t="s">
        <v>1183</v>
      </c>
      <c r="B797" s="3" t="s">
        <v>24</v>
      </c>
      <c r="C797" s="3" t="s">
        <v>29</v>
      </c>
      <c r="D797" s="3" t="s">
        <v>2374</v>
      </c>
      <c r="E797" s="3" t="s">
        <v>2375</v>
      </c>
      <c r="F797" s="3" t="s">
        <v>1184</v>
      </c>
      <c r="G797" s="3" t="s">
        <v>27</v>
      </c>
      <c r="H797" s="3" t="s">
        <v>114</v>
      </c>
      <c r="I797" s="3">
        <v>416</v>
      </c>
      <c r="J797" s="3">
        <v>0</v>
      </c>
      <c r="K797" s="3">
        <v>315</v>
      </c>
      <c r="L797" s="3">
        <v>329</v>
      </c>
      <c r="M797" s="3">
        <v>2</v>
      </c>
      <c r="N797" s="14">
        <v>3929.8257840000001</v>
      </c>
      <c r="O797" s="7">
        <f t="shared" si="108"/>
        <v>0</v>
      </c>
      <c r="P797" s="14">
        <f t="shared" si="109"/>
        <v>0</v>
      </c>
      <c r="Q797" s="14">
        <f t="shared" si="110"/>
        <v>1964.9128920000001</v>
      </c>
      <c r="R797" s="4">
        <f t="shared" si="111"/>
        <v>0</v>
      </c>
      <c r="S797" s="14">
        <f t="shared" si="112"/>
        <v>11944.7592218845</v>
      </c>
      <c r="T797" s="4">
        <f t="shared" si="113"/>
        <v>75.72115384615384</v>
      </c>
      <c r="U797" s="3">
        <f>LEN(A797) - LEN(SUBSTITUTE(A797,"&gt;","")) +1</f>
        <v>4</v>
      </c>
      <c r="V797" s="8">
        <f t="shared" si="114"/>
        <v>0</v>
      </c>
      <c r="W797" s="14">
        <f t="shared" si="115"/>
        <v>982.45644600000003</v>
      </c>
      <c r="X797" s="4">
        <f t="shared" si="116"/>
        <v>0</v>
      </c>
    </row>
    <row r="798" spans="1:24" ht="14.25" customHeight="1" x14ac:dyDescent="0.2">
      <c r="A798" s="5" t="s">
        <v>1185</v>
      </c>
      <c r="B798" s="3" t="s">
        <v>14</v>
      </c>
      <c r="C798" s="3" t="s">
        <v>32</v>
      </c>
      <c r="D798" s="3" t="s">
        <v>2353</v>
      </c>
      <c r="E798" s="3" t="s">
        <v>2354</v>
      </c>
      <c r="F798" s="3" t="s">
        <v>478</v>
      </c>
      <c r="G798" s="3" t="s">
        <v>27</v>
      </c>
      <c r="H798" s="3" t="s">
        <v>19</v>
      </c>
      <c r="I798" s="3">
        <v>12209</v>
      </c>
      <c r="J798" s="3">
        <v>0</v>
      </c>
      <c r="K798" s="3">
        <v>3976</v>
      </c>
      <c r="L798" s="3">
        <v>5219</v>
      </c>
      <c r="M798" s="3">
        <v>1</v>
      </c>
      <c r="N798" s="14">
        <v>3818.9551820000001</v>
      </c>
      <c r="O798" s="7">
        <f t="shared" si="108"/>
        <v>0</v>
      </c>
      <c r="P798" s="14">
        <f t="shared" si="109"/>
        <v>0</v>
      </c>
      <c r="Q798" s="14">
        <f t="shared" si="110"/>
        <v>3818.9551820000001</v>
      </c>
      <c r="R798" s="4">
        <f t="shared" si="111"/>
        <v>0</v>
      </c>
      <c r="S798" s="14">
        <f t="shared" si="112"/>
        <v>731.74078980647641</v>
      </c>
      <c r="T798" s="4">
        <f t="shared" si="113"/>
        <v>32.566139732983864</v>
      </c>
      <c r="U798" s="3">
        <f>LEN(A798) - LEN(SUBSTITUTE(A798,"&gt;","")) +1</f>
        <v>4</v>
      </c>
      <c r="V798" s="8">
        <f t="shared" si="114"/>
        <v>0</v>
      </c>
      <c r="W798" s="14">
        <f t="shared" si="115"/>
        <v>954.73879550000004</v>
      </c>
      <c r="X798" s="4">
        <f t="shared" si="116"/>
        <v>0</v>
      </c>
    </row>
    <row r="799" spans="1:24" ht="14.25" customHeight="1" x14ac:dyDescent="0.2">
      <c r="A799" s="5" t="s">
        <v>2145</v>
      </c>
      <c r="B799" s="3" t="s">
        <v>14</v>
      </c>
      <c r="C799" s="3" t="s">
        <v>29</v>
      </c>
      <c r="D799" s="3" t="s">
        <v>2397</v>
      </c>
      <c r="E799" s="3" t="s">
        <v>2360</v>
      </c>
      <c r="F799" s="3" t="s">
        <v>1187</v>
      </c>
      <c r="G799" s="3" t="s">
        <v>27</v>
      </c>
      <c r="H799" s="3" t="s">
        <v>19</v>
      </c>
      <c r="I799" s="3">
        <v>41</v>
      </c>
      <c r="J799" s="3">
        <v>0</v>
      </c>
      <c r="K799" s="3">
        <v>2</v>
      </c>
      <c r="L799" s="3">
        <v>36</v>
      </c>
      <c r="M799" s="3">
        <v>3</v>
      </c>
      <c r="N799" s="14">
        <v>3692.967114</v>
      </c>
      <c r="O799" s="7">
        <f t="shared" si="108"/>
        <v>0</v>
      </c>
      <c r="P799" s="14">
        <f t="shared" si="109"/>
        <v>0</v>
      </c>
      <c r="Q799" s="14">
        <f t="shared" si="110"/>
        <v>1230.9890379999999</v>
      </c>
      <c r="R799" s="4">
        <f t="shared" si="111"/>
        <v>0</v>
      </c>
      <c r="S799" s="14">
        <f t="shared" si="112"/>
        <v>102582.41983333333</v>
      </c>
      <c r="T799" s="4">
        <f t="shared" si="113"/>
        <v>4.8780487804878048</v>
      </c>
      <c r="U799" s="3">
        <f>LEN(A799) - LEN(SUBSTITUTE(A799,"&gt;","")) +1</f>
        <v>6</v>
      </c>
      <c r="V799" s="8">
        <f t="shared" si="114"/>
        <v>0</v>
      </c>
      <c r="W799" s="14">
        <f t="shared" si="115"/>
        <v>615.49451899999997</v>
      </c>
      <c r="X799" s="4">
        <f t="shared" si="116"/>
        <v>0</v>
      </c>
    </row>
    <row r="800" spans="1:24" ht="14.25" customHeight="1" x14ac:dyDescent="0.2">
      <c r="A800" s="5" t="s">
        <v>2146</v>
      </c>
      <c r="B800" s="3" t="s">
        <v>14</v>
      </c>
      <c r="C800" s="3" t="s">
        <v>15</v>
      </c>
      <c r="D800" s="3" t="s">
        <v>2359</v>
      </c>
      <c r="E800" s="3" t="s">
        <v>2360</v>
      </c>
      <c r="F800" s="3" t="s">
        <v>1189</v>
      </c>
      <c r="G800" s="3" t="s">
        <v>27</v>
      </c>
      <c r="H800" s="3" t="s">
        <v>19</v>
      </c>
      <c r="I800" s="3">
        <v>929</v>
      </c>
      <c r="J800" s="3">
        <v>0</v>
      </c>
      <c r="K800" s="3">
        <v>753</v>
      </c>
      <c r="L800" s="3">
        <v>868</v>
      </c>
      <c r="M800" s="3">
        <v>9</v>
      </c>
      <c r="N800" s="14">
        <v>3683.2410150000001</v>
      </c>
      <c r="O800" s="7">
        <f t="shared" si="108"/>
        <v>0</v>
      </c>
      <c r="P800" s="14">
        <f t="shared" si="109"/>
        <v>0</v>
      </c>
      <c r="Q800" s="14">
        <f t="shared" si="110"/>
        <v>409.24900166666669</v>
      </c>
      <c r="R800" s="4">
        <f t="shared" si="111"/>
        <v>0</v>
      </c>
      <c r="S800" s="14">
        <f t="shared" si="112"/>
        <v>4243.3652246543779</v>
      </c>
      <c r="T800" s="4">
        <f t="shared" si="113"/>
        <v>81.054897739504838</v>
      </c>
      <c r="U800" s="3">
        <f>LEN(A800) - LEN(SUBSTITUTE(A800,"&gt;","")) +1</f>
        <v>6</v>
      </c>
      <c r="V800" s="8">
        <f t="shared" si="114"/>
        <v>0</v>
      </c>
      <c r="W800" s="14">
        <f t="shared" si="115"/>
        <v>613.87350249999997</v>
      </c>
      <c r="X800" s="4">
        <f t="shared" si="116"/>
        <v>0</v>
      </c>
    </row>
    <row r="801" spans="1:24" ht="14.25" customHeight="1" x14ac:dyDescent="0.2">
      <c r="A801" s="5" t="s">
        <v>2147</v>
      </c>
      <c r="B801" s="3" t="s">
        <v>14</v>
      </c>
      <c r="C801" s="3" t="s">
        <v>32</v>
      </c>
      <c r="D801" s="3" t="s">
        <v>2378</v>
      </c>
      <c r="E801" s="3" t="s">
        <v>2352</v>
      </c>
      <c r="F801" s="3" t="s">
        <v>166</v>
      </c>
      <c r="G801" s="3" t="s">
        <v>27</v>
      </c>
      <c r="H801" s="3" t="s">
        <v>19</v>
      </c>
      <c r="I801" s="3">
        <v>4547</v>
      </c>
      <c r="J801" s="3">
        <v>0</v>
      </c>
      <c r="K801" s="3">
        <v>3228</v>
      </c>
      <c r="L801" s="3">
        <v>4323</v>
      </c>
      <c r="M801" s="3">
        <v>10</v>
      </c>
      <c r="N801" s="14">
        <v>3650.365393</v>
      </c>
      <c r="O801" s="7">
        <f t="shared" si="108"/>
        <v>0</v>
      </c>
      <c r="P801" s="14">
        <f t="shared" si="109"/>
        <v>0</v>
      </c>
      <c r="Q801" s="14">
        <f t="shared" si="110"/>
        <v>365.03653930000002</v>
      </c>
      <c r="R801" s="4">
        <f t="shared" si="111"/>
        <v>0</v>
      </c>
      <c r="S801" s="14">
        <f t="shared" si="112"/>
        <v>844.40559634513068</v>
      </c>
      <c r="T801" s="4">
        <f t="shared" si="113"/>
        <v>70.991862766659324</v>
      </c>
      <c r="U801" s="3">
        <f>LEN(A801) - LEN(SUBSTITUTE(A801,"&gt;","")) +1</f>
        <v>6</v>
      </c>
      <c r="V801" s="8">
        <f t="shared" si="114"/>
        <v>0</v>
      </c>
      <c r="W801" s="14">
        <f t="shared" si="115"/>
        <v>608.39423216666671</v>
      </c>
      <c r="X801" s="4">
        <f t="shared" si="116"/>
        <v>0</v>
      </c>
    </row>
    <row r="802" spans="1:24" ht="14.25" customHeight="1" x14ac:dyDescent="0.2">
      <c r="A802" s="5" t="s">
        <v>2148</v>
      </c>
      <c r="B802" s="3" t="s">
        <v>24</v>
      </c>
      <c r="C802" s="3" t="s">
        <v>15</v>
      </c>
      <c r="D802" s="3" t="s">
        <v>2349</v>
      </c>
      <c r="E802" s="3" t="s">
        <v>2350</v>
      </c>
      <c r="F802" s="3" t="s">
        <v>1192</v>
      </c>
      <c r="G802" s="3" t="s">
        <v>76</v>
      </c>
      <c r="H802" s="3" t="s">
        <v>19</v>
      </c>
      <c r="I802" s="3">
        <v>1896</v>
      </c>
      <c r="J802" s="3">
        <v>0</v>
      </c>
      <c r="K802" s="3">
        <v>1417</v>
      </c>
      <c r="L802" s="3">
        <v>1799</v>
      </c>
      <c r="M802" s="3">
        <v>3</v>
      </c>
      <c r="N802" s="14">
        <v>3545.7246180000002</v>
      </c>
      <c r="O802" s="7">
        <f t="shared" si="108"/>
        <v>0</v>
      </c>
      <c r="P802" s="14">
        <f t="shared" si="109"/>
        <v>0</v>
      </c>
      <c r="Q802" s="14">
        <f t="shared" si="110"/>
        <v>1181.9082060000001</v>
      </c>
      <c r="R802" s="4">
        <f t="shared" si="111"/>
        <v>0</v>
      </c>
      <c r="S802" s="14">
        <f t="shared" si="112"/>
        <v>1970.9419777654252</v>
      </c>
      <c r="T802" s="4">
        <f t="shared" si="113"/>
        <v>74.736286919831215</v>
      </c>
      <c r="U802" s="3">
        <f>LEN(A802) - LEN(SUBSTITUTE(A802,"&gt;","")) +1</f>
        <v>5</v>
      </c>
      <c r="V802" s="8">
        <f t="shared" si="114"/>
        <v>0</v>
      </c>
      <c r="W802" s="14">
        <f t="shared" si="115"/>
        <v>709.14492360000008</v>
      </c>
      <c r="X802" s="4">
        <f t="shared" si="116"/>
        <v>0</v>
      </c>
    </row>
    <row r="803" spans="1:24" ht="14.25" customHeight="1" x14ac:dyDescent="0.2">
      <c r="A803" s="5" t="s">
        <v>2149</v>
      </c>
      <c r="B803" s="3" t="s">
        <v>14</v>
      </c>
      <c r="C803" s="3" t="s">
        <v>15</v>
      </c>
      <c r="D803" s="3" t="s">
        <v>2378</v>
      </c>
      <c r="E803" s="3" t="s">
        <v>2352</v>
      </c>
      <c r="F803" s="3" t="s">
        <v>1194</v>
      </c>
      <c r="G803" s="3" t="s">
        <v>27</v>
      </c>
      <c r="H803" s="3" t="s">
        <v>19</v>
      </c>
      <c r="I803" s="3">
        <v>5732</v>
      </c>
      <c r="J803" s="3">
        <v>0</v>
      </c>
      <c r="K803" s="3">
        <v>2741</v>
      </c>
      <c r="L803" s="3">
        <v>5257</v>
      </c>
      <c r="M803" s="3">
        <v>2</v>
      </c>
      <c r="N803" s="14">
        <v>3496.0468900000001</v>
      </c>
      <c r="O803" s="7">
        <f t="shared" si="108"/>
        <v>0</v>
      </c>
      <c r="P803" s="14">
        <f t="shared" si="109"/>
        <v>0</v>
      </c>
      <c r="Q803" s="14">
        <f t="shared" si="110"/>
        <v>1748.023445</v>
      </c>
      <c r="R803" s="4">
        <f t="shared" si="111"/>
        <v>0</v>
      </c>
      <c r="S803" s="14">
        <f t="shared" si="112"/>
        <v>665.02699067909452</v>
      </c>
      <c r="T803" s="4">
        <f t="shared" si="113"/>
        <v>47.819260293091418</v>
      </c>
      <c r="U803" s="3">
        <f>LEN(A803) - LEN(SUBSTITUTE(A803,"&gt;","")) +1</f>
        <v>6</v>
      </c>
      <c r="V803" s="8">
        <f t="shared" si="114"/>
        <v>0</v>
      </c>
      <c r="W803" s="14">
        <f t="shared" si="115"/>
        <v>582.67448166666668</v>
      </c>
      <c r="X803" s="4">
        <f t="shared" si="116"/>
        <v>0</v>
      </c>
    </row>
    <row r="804" spans="1:24" ht="14.25" customHeight="1" x14ac:dyDescent="0.2">
      <c r="A804" s="5" t="s">
        <v>2150</v>
      </c>
      <c r="B804" s="3" t="s">
        <v>14</v>
      </c>
      <c r="C804" s="3" t="s">
        <v>15</v>
      </c>
      <c r="D804" s="3" t="s">
        <v>2362</v>
      </c>
      <c r="E804" s="3" t="s">
        <v>2352</v>
      </c>
      <c r="F804" s="3" t="s">
        <v>191</v>
      </c>
      <c r="G804" s="3" t="s">
        <v>38</v>
      </c>
      <c r="H804" s="3" t="s">
        <v>19</v>
      </c>
      <c r="I804" s="3">
        <v>3438</v>
      </c>
      <c r="J804" s="3">
        <v>0</v>
      </c>
      <c r="K804" s="3">
        <v>1290</v>
      </c>
      <c r="L804" s="3">
        <v>2475</v>
      </c>
      <c r="M804" s="3">
        <v>10</v>
      </c>
      <c r="N804" s="14">
        <v>3470.6319830000002</v>
      </c>
      <c r="O804" s="7">
        <f t="shared" si="108"/>
        <v>0</v>
      </c>
      <c r="P804" s="14">
        <f t="shared" si="109"/>
        <v>0</v>
      </c>
      <c r="Q804" s="14">
        <f t="shared" si="110"/>
        <v>347.06319830000001</v>
      </c>
      <c r="R804" s="4">
        <f t="shared" si="111"/>
        <v>0</v>
      </c>
      <c r="S804" s="14">
        <f t="shared" si="112"/>
        <v>1402.2755486868687</v>
      </c>
      <c r="T804" s="4">
        <f t="shared" si="113"/>
        <v>37.521815008726009</v>
      </c>
      <c r="U804" s="3">
        <f>LEN(A804) - LEN(SUBSTITUTE(A804,"&gt;","")) +1</f>
        <v>5</v>
      </c>
      <c r="V804" s="8">
        <f t="shared" si="114"/>
        <v>0</v>
      </c>
      <c r="W804" s="14">
        <f t="shared" si="115"/>
        <v>694.12639660000002</v>
      </c>
      <c r="X804" s="4">
        <f t="shared" si="116"/>
        <v>0</v>
      </c>
    </row>
    <row r="805" spans="1:24" ht="14.25" customHeight="1" x14ac:dyDescent="0.2">
      <c r="A805" s="5" t="s">
        <v>2151</v>
      </c>
      <c r="B805" s="3" t="s">
        <v>24</v>
      </c>
      <c r="C805" s="3" t="s">
        <v>15</v>
      </c>
      <c r="D805" s="3" t="s">
        <v>2349</v>
      </c>
      <c r="E805" s="3" t="s">
        <v>2350</v>
      </c>
      <c r="F805" s="3" t="s">
        <v>1197</v>
      </c>
      <c r="G805" s="3" t="s">
        <v>27</v>
      </c>
      <c r="H805" s="3" t="s">
        <v>114</v>
      </c>
      <c r="I805" s="3">
        <v>3762</v>
      </c>
      <c r="J805" s="3">
        <v>0</v>
      </c>
      <c r="K805" s="3">
        <v>1562</v>
      </c>
      <c r="L805" s="3">
        <v>2423</v>
      </c>
      <c r="M805" s="3">
        <v>15</v>
      </c>
      <c r="N805" s="14">
        <v>3453.1385810000002</v>
      </c>
      <c r="O805" s="7">
        <f t="shared" si="108"/>
        <v>0</v>
      </c>
      <c r="P805" s="14">
        <f t="shared" si="109"/>
        <v>0</v>
      </c>
      <c r="Q805" s="14">
        <f t="shared" si="110"/>
        <v>230.20923873333334</v>
      </c>
      <c r="R805" s="4">
        <f t="shared" si="111"/>
        <v>0</v>
      </c>
      <c r="S805" s="14">
        <f t="shared" si="112"/>
        <v>1425.1500540652085</v>
      </c>
      <c r="T805" s="4">
        <f t="shared" si="113"/>
        <v>41.520467836257311</v>
      </c>
      <c r="U805" s="3">
        <f>LEN(A805) - LEN(SUBSTITUTE(A805,"&gt;","")) +1</f>
        <v>4</v>
      </c>
      <c r="V805" s="8">
        <f t="shared" si="114"/>
        <v>0</v>
      </c>
      <c r="W805" s="14">
        <f t="shared" si="115"/>
        <v>863.28464525000004</v>
      </c>
      <c r="X805" s="4">
        <f t="shared" si="116"/>
        <v>0</v>
      </c>
    </row>
    <row r="806" spans="1:24" ht="14.25" customHeight="1" x14ac:dyDescent="0.2">
      <c r="A806" s="5" t="s">
        <v>2152</v>
      </c>
      <c r="B806" s="3" t="s">
        <v>14</v>
      </c>
      <c r="C806" s="3" t="s">
        <v>15</v>
      </c>
      <c r="D806" s="3" t="s">
        <v>2397</v>
      </c>
      <c r="E806" s="3" t="s">
        <v>2360</v>
      </c>
      <c r="F806" s="3" t="s">
        <v>149</v>
      </c>
      <c r="G806" s="3" t="s">
        <v>38</v>
      </c>
      <c r="H806" s="3" t="s">
        <v>19</v>
      </c>
      <c r="I806" s="3">
        <v>15399</v>
      </c>
      <c r="J806" s="3">
        <v>0</v>
      </c>
      <c r="K806" s="3">
        <v>3398</v>
      </c>
      <c r="L806" s="3">
        <v>4324</v>
      </c>
      <c r="M806" s="3">
        <v>1</v>
      </c>
      <c r="N806" s="14">
        <v>3434.7311530000002</v>
      </c>
      <c r="O806" s="7">
        <f t="shared" si="108"/>
        <v>0</v>
      </c>
      <c r="P806" s="14">
        <f t="shared" si="109"/>
        <v>0</v>
      </c>
      <c r="Q806" s="14">
        <f t="shared" si="110"/>
        <v>3434.7311530000002</v>
      </c>
      <c r="R806" s="4">
        <f t="shared" si="111"/>
        <v>0</v>
      </c>
      <c r="S806" s="14">
        <f t="shared" si="112"/>
        <v>794.34115471785378</v>
      </c>
      <c r="T806" s="4">
        <f t="shared" si="113"/>
        <v>22.066367945970516</v>
      </c>
      <c r="U806" s="3">
        <f>LEN(A806) - LEN(SUBSTITUTE(A806,"&gt;","")) +1</f>
        <v>6</v>
      </c>
      <c r="V806" s="8">
        <f t="shared" si="114"/>
        <v>0</v>
      </c>
      <c r="W806" s="14">
        <f t="shared" si="115"/>
        <v>572.45519216666673</v>
      </c>
      <c r="X806" s="4">
        <f t="shared" si="116"/>
        <v>0</v>
      </c>
    </row>
    <row r="807" spans="1:24" ht="14.25" customHeight="1" x14ac:dyDescent="0.2">
      <c r="A807" s="5" t="s">
        <v>2153</v>
      </c>
      <c r="B807" s="3" t="s">
        <v>14</v>
      </c>
      <c r="C807" s="3" t="s">
        <v>32</v>
      </c>
      <c r="D807" s="3" t="s">
        <v>2384</v>
      </c>
      <c r="E807" s="3" t="s">
        <v>2385</v>
      </c>
      <c r="F807" s="3" t="s">
        <v>962</v>
      </c>
      <c r="G807" s="3" t="s">
        <v>18</v>
      </c>
      <c r="H807" s="3" t="s">
        <v>19</v>
      </c>
      <c r="I807" s="3">
        <v>2328</v>
      </c>
      <c r="J807" s="3">
        <v>0</v>
      </c>
      <c r="K807" s="3">
        <v>1400</v>
      </c>
      <c r="L807" s="3">
        <v>2171</v>
      </c>
      <c r="M807" s="3">
        <v>2</v>
      </c>
      <c r="N807" s="14">
        <v>3424.0070000000001</v>
      </c>
      <c r="O807" s="7">
        <f t="shared" si="108"/>
        <v>0</v>
      </c>
      <c r="P807" s="14">
        <f t="shared" si="109"/>
        <v>0</v>
      </c>
      <c r="Q807" s="14">
        <f t="shared" si="110"/>
        <v>1712.0035</v>
      </c>
      <c r="R807" s="4">
        <f t="shared" si="111"/>
        <v>0</v>
      </c>
      <c r="S807" s="14">
        <f t="shared" si="112"/>
        <v>1577.1566098572087</v>
      </c>
      <c r="T807" s="4">
        <f t="shared" si="113"/>
        <v>60.137457044673539</v>
      </c>
      <c r="U807" s="3">
        <f>LEN(A807) - LEN(SUBSTITUTE(A807,"&gt;","")) +1</f>
        <v>5</v>
      </c>
      <c r="V807" s="8">
        <f t="shared" si="114"/>
        <v>0</v>
      </c>
      <c r="W807" s="14">
        <f t="shared" si="115"/>
        <v>684.80140000000006</v>
      </c>
      <c r="X807" s="4">
        <f t="shared" si="116"/>
        <v>0</v>
      </c>
    </row>
    <row r="808" spans="1:24" ht="14.25" customHeight="1" x14ac:dyDescent="0.2">
      <c r="A808" s="5" t="s">
        <v>2154</v>
      </c>
      <c r="B808" s="3" t="s">
        <v>24</v>
      </c>
      <c r="C808" s="3" t="s">
        <v>35</v>
      </c>
      <c r="D808" s="3" t="s">
        <v>2361</v>
      </c>
      <c r="E808" s="3" t="s">
        <v>2360</v>
      </c>
      <c r="F808" s="3" t="s">
        <v>1201</v>
      </c>
      <c r="G808" s="3" t="s">
        <v>22</v>
      </c>
      <c r="H808" s="3" t="s">
        <v>114</v>
      </c>
      <c r="I808" s="3">
        <v>2230</v>
      </c>
      <c r="J808" s="3">
        <v>0</v>
      </c>
      <c r="K808" s="3">
        <v>97</v>
      </c>
      <c r="L808" s="3">
        <v>356</v>
      </c>
      <c r="M808" s="3">
        <v>2</v>
      </c>
      <c r="N808" s="14">
        <v>3368.7110579999999</v>
      </c>
      <c r="O808" s="7">
        <f t="shared" si="108"/>
        <v>0</v>
      </c>
      <c r="P808" s="14">
        <f t="shared" si="109"/>
        <v>0</v>
      </c>
      <c r="Q808" s="14">
        <f t="shared" si="110"/>
        <v>1684.3555289999999</v>
      </c>
      <c r="R808" s="4">
        <f t="shared" si="111"/>
        <v>0</v>
      </c>
      <c r="S808" s="14">
        <f t="shared" si="112"/>
        <v>9462.6715112359543</v>
      </c>
      <c r="T808" s="4">
        <f t="shared" si="113"/>
        <v>4.3497757847533629</v>
      </c>
      <c r="U808" s="3">
        <f>LEN(A808) - LEN(SUBSTITUTE(A808,"&gt;","")) +1</f>
        <v>5</v>
      </c>
      <c r="V808" s="8">
        <f t="shared" si="114"/>
        <v>0</v>
      </c>
      <c r="W808" s="14">
        <f t="shared" si="115"/>
        <v>673.74221160000002</v>
      </c>
      <c r="X808" s="4">
        <f t="shared" si="116"/>
        <v>0</v>
      </c>
    </row>
    <row r="809" spans="1:24" ht="14.25" customHeight="1" x14ac:dyDescent="0.2">
      <c r="A809" s="5" t="s">
        <v>2155</v>
      </c>
      <c r="B809" s="3" t="s">
        <v>24</v>
      </c>
      <c r="C809" s="3" t="s">
        <v>15</v>
      </c>
      <c r="D809" s="3" t="s">
        <v>2370</v>
      </c>
      <c r="E809" s="3" t="s">
        <v>2360</v>
      </c>
      <c r="F809" s="3" t="s">
        <v>659</v>
      </c>
      <c r="G809" s="3" t="s">
        <v>38</v>
      </c>
      <c r="H809" s="3" t="s">
        <v>114</v>
      </c>
      <c r="I809" s="3">
        <v>3290</v>
      </c>
      <c r="J809" s="3">
        <v>0</v>
      </c>
      <c r="K809" s="3">
        <v>1847</v>
      </c>
      <c r="L809" s="3">
        <v>2887</v>
      </c>
      <c r="M809" s="3">
        <v>1</v>
      </c>
      <c r="N809" s="14">
        <v>3357.0793480000002</v>
      </c>
      <c r="O809" s="7">
        <f t="shared" si="108"/>
        <v>0</v>
      </c>
      <c r="P809" s="14">
        <f t="shared" si="109"/>
        <v>0</v>
      </c>
      <c r="Q809" s="14">
        <f t="shared" si="110"/>
        <v>3357.0793480000002</v>
      </c>
      <c r="R809" s="4">
        <f t="shared" si="111"/>
        <v>0</v>
      </c>
      <c r="S809" s="14">
        <f t="shared" si="112"/>
        <v>1162.8262376169034</v>
      </c>
      <c r="T809" s="4">
        <f t="shared" si="113"/>
        <v>56.139817629179333</v>
      </c>
      <c r="U809" s="3">
        <f>LEN(A809) - LEN(SUBSTITUTE(A809,"&gt;","")) +1</f>
        <v>5</v>
      </c>
      <c r="V809" s="8">
        <f t="shared" si="114"/>
        <v>0</v>
      </c>
      <c r="W809" s="14">
        <f t="shared" si="115"/>
        <v>671.41586960000006</v>
      </c>
      <c r="X809" s="4">
        <f t="shared" si="116"/>
        <v>0</v>
      </c>
    </row>
    <row r="810" spans="1:24" ht="14.25" customHeight="1" x14ac:dyDescent="0.2">
      <c r="A810" s="5" t="s">
        <v>2156</v>
      </c>
      <c r="B810" s="3" t="s">
        <v>14</v>
      </c>
      <c r="C810" s="3" t="s">
        <v>29</v>
      </c>
      <c r="D810" s="3" t="s">
        <v>2357</v>
      </c>
      <c r="E810" s="3" t="s">
        <v>2358</v>
      </c>
      <c r="F810" s="3" t="s">
        <v>1204</v>
      </c>
      <c r="G810" s="3" t="s">
        <v>27</v>
      </c>
      <c r="H810" s="3" t="s">
        <v>19</v>
      </c>
      <c r="I810" s="3">
        <v>19</v>
      </c>
      <c r="J810" s="3">
        <v>0</v>
      </c>
      <c r="K810" s="3">
        <v>7</v>
      </c>
      <c r="L810" s="3">
        <v>19</v>
      </c>
      <c r="M810" s="3">
        <v>2</v>
      </c>
      <c r="N810" s="14">
        <v>3264.0141979999999</v>
      </c>
      <c r="O810" s="7">
        <f t="shared" si="108"/>
        <v>0</v>
      </c>
      <c r="P810" s="14">
        <f t="shared" si="109"/>
        <v>0</v>
      </c>
      <c r="Q810" s="14">
        <f t="shared" si="110"/>
        <v>1632.0070989999999</v>
      </c>
      <c r="R810" s="4">
        <f t="shared" si="111"/>
        <v>0</v>
      </c>
      <c r="S810" s="14">
        <f t="shared" si="112"/>
        <v>171790.22094736842</v>
      </c>
      <c r="T810" s="4">
        <f t="shared" si="113"/>
        <v>36.84210526315789</v>
      </c>
      <c r="U810" s="3">
        <f>LEN(A810) - LEN(SUBSTITUTE(A810,"&gt;","")) +1</f>
        <v>6</v>
      </c>
      <c r="V810" s="8">
        <f t="shared" si="114"/>
        <v>0</v>
      </c>
      <c r="W810" s="14">
        <f t="shared" si="115"/>
        <v>544.00236633333327</v>
      </c>
      <c r="X810" s="4">
        <f t="shared" si="116"/>
        <v>0</v>
      </c>
    </row>
    <row r="811" spans="1:24" ht="14.25" customHeight="1" x14ac:dyDescent="0.2">
      <c r="A811" s="5" t="s">
        <v>2157</v>
      </c>
      <c r="B811" s="3" t="s">
        <v>14</v>
      </c>
      <c r="C811" s="3" t="s">
        <v>35</v>
      </c>
      <c r="D811" s="3" t="s">
        <v>2349</v>
      </c>
      <c r="E811" s="3" t="s">
        <v>2350</v>
      </c>
      <c r="F811" s="3" t="s">
        <v>1206</v>
      </c>
      <c r="G811" s="3" t="s">
        <v>27</v>
      </c>
      <c r="H811" s="3" t="s">
        <v>19</v>
      </c>
      <c r="I811" s="3">
        <v>60</v>
      </c>
      <c r="J811" s="3">
        <v>0</v>
      </c>
      <c r="K811" s="3">
        <v>45</v>
      </c>
      <c r="L811" s="3">
        <v>59</v>
      </c>
      <c r="M811" s="3">
        <v>3</v>
      </c>
      <c r="N811" s="14">
        <v>3177.9966629999999</v>
      </c>
      <c r="O811" s="7">
        <f t="shared" si="108"/>
        <v>0</v>
      </c>
      <c r="P811" s="14">
        <f t="shared" si="109"/>
        <v>0</v>
      </c>
      <c r="Q811" s="14">
        <f t="shared" si="110"/>
        <v>1059.3322209999999</v>
      </c>
      <c r="R811" s="4">
        <f t="shared" si="111"/>
        <v>0</v>
      </c>
      <c r="S811" s="14">
        <f t="shared" si="112"/>
        <v>53864.350220338987</v>
      </c>
      <c r="T811" s="4">
        <f t="shared" si="113"/>
        <v>75</v>
      </c>
      <c r="U811" s="3">
        <f>LEN(A811) - LEN(SUBSTITUTE(A811,"&gt;","")) +1</f>
        <v>5</v>
      </c>
      <c r="V811" s="8">
        <f t="shared" si="114"/>
        <v>0</v>
      </c>
      <c r="W811" s="14">
        <f t="shared" si="115"/>
        <v>635.59933260000003</v>
      </c>
      <c r="X811" s="4">
        <f t="shared" si="116"/>
        <v>0</v>
      </c>
    </row>
    <row r="812" spans="1:24" ht="14.25" customHeight="1" x14ac:dyDescent="0.2">
      <c r="A812" s="5" t="s">
        <v>2158</v>
      </c>
      <c r="B812" s="3" t="s">
        <v>24</v>
      </c>
      <c r="C812" s="3" t="s">
        <v>35</v>
      </c>
      <c r="D812" s="3" t="s">
        <v>2349</v>
      </c>
      <c r="E812" s="3" t="s">
        <v>2350</v>
      </c>
      <c r="F812" s="3" t="s">
        <v>1208</v>
      </c>
      <c r="G812" s="3" t="s">
        <v>22</v>
      </c>
      <c r="H812" s="3" t="s">
        <v>114</v>
      </c>
      <c r="I812" s="3">
        <v>988</v>
      </c>
      <c r="J812" s="3">
        <v>0</v>
      </c>
      <c r="K812" s="3">
        <v>572</v>
      </c>
      <c r="L812" s="3">
        <v>675</v>
      </c>
      <c r="M812" s="3">
        <v>13</v>
      </c>
      <c r="N812" s="14">
        <v>3114.2796149999999</v>
      </c>
      <c r="O812" s="7">
        <f t="shared" si="108"/>
        <v>0</v>
      </c>
      <c r="P812" s="14">
        <f t="shared" si="109"/>
        <v>0</v>
      </c>
      <c r="Q812" s="14">
        <f t="shared" si="110"/>
        <v>239.55997038461538</v>
      </c>
      <c r="R812" s="4">
        <f t="shared" si="111"/>
        <v>0</v>
      </c>
      <c r="S812" s="14">
        <f t="shared" si="112"/>
        <v>4613.7475777777772</v>
      </c>
      <c r="T812" s="4">
        <f t="shared" si="113"/>
        <v>57.894736842105267</v>
      </c>
      <c r="U812" s="3">
        <f>LEN(A812) - LEN(SUBSTITUTE(A812,"&gt;","")) +1</f>
        <v>6</v>
      </c>
      <c r="V812" s="8">
        <f t="shared" si="114"/>
        <v>0</v>
      </c>
      <c r="W812" s="14">
        <f t="shared" si="115"/>
        <v>519.04660249999995</v>
      </c>
      <c r="X812" s="4">
        <f t="shared" si="116"/>
        <v>0</v>
      </c>
    </row>
    <row r="813" spans="1:24" ht="14.25" customHeight="1" x14ac:dyDescent="0.2">
      <c r="A813" s="5" t="s">
        <v>2159</v>
      </c>
      <c r="B813" s="3" t="s">
        <v>14</v>
      </c>
      <c r="C813" s="3" t="s">
        <v>35</v>
      </c>
      <c r="D813" s="3" t="s">
        <v>2362</v>
      </c>
      <c r="E813" s="3" t="s">
        <v>2352</v>
      </c>
      <c r="F813" s="3" t="s">
        <v>1210</v>
      </c>
      <c r="G813" s="3" t="s">
        <v>76</v>
      </c>
      <c r="H813" s="3" t="s">
        <v>19</v>
      </c>
      <c r="I813" s="3">
        <v>2770</v>
      </c>
      <c r="J813" s="3">
        <v>0</v>
      </c>
      <c r="K813" s="3">
        <v>1248</v>
      </c>
      <c r="L813" s="3">
        <v>1958</v>
      </c>
      <c r="M813" s="3">
        <v>26</v>
      </c>
      <c r="N813" s="14">
        <v>3094.7335779999999</v>
      </c>
      <c r="O813" s="7">
        <f t="shared" si="108"/>
        <v>0</v>
      </c>
      <c r="P813" s="14">
        <f t="shared" si="109"/>
        <v>0</v>
      </c>
      <c r="Q813" s="14">
        <f t="shared" si="110"/>
        <v>119.02821453846153</v>
      </c>
      <c r="R813" s="4">
        <f t="shared" si="111"/>
        <v>0</v>
      </c>
      <c r="S813" s="14">
        <f t="shared" si="112"/>
        <v>1580.5585178753829</v>
      </c>
      <c r="T813" s="4">
        <f t="shared" si="113"/>
        <v>45.054151624548737</v>
      </c>
      <c r="U813" s="3">
        <f>LEN(A813) - LEN(SUBSTITUTE(A813,"&gt;","")) +1</f>
        <v>5</v>
      </c>
      <c r="V813" s="8">
        <f t="shared" si="114"/>
        <v>0</v>
      </c>
      <c r="W813" s="14">
        <f t="shared" si="115"/>
        <v>618.94671559999995</v>
      </c>
      <c r="X813" s="4">
        <f t="shared" si="116"/>
        <v>0</v>
      </c>
    </row>
    <row r="814" spans="1:24" ht="14.25" customHeight="1" x14ac:dyDescent="0.2">
      <c r="A814" s="5" t="s">
        <v>2160</v>
      </c>
      <c r="B814" s="3" t="s">
        <v>24</v>
      </c>
      <c r="C814" s="3" t="s">
        <v>15</v>
      </c>
      <c r="D814" s="3" t="s">
        <v>2353</v>
      </c>
      <c r="E814" s="3" t="s">
        <v>2354</v>
      </c>
      <c r="F814" s="3" t="s">
        <v>747</v>
      </c>
      <c r="G814" s="3" t="s">
        <v>38</v>
      </c>
      <c r="H814" s="3" t="s">
        <v>19</v>
      </c>
      <c r="I814" s="3">
        <v>775</v>
      </c>
      <c r="J814" s="3">
        <v>0</v>
      </c>
      <c r="K814" s="3">
        <v>173</v>
      </c>
      <c r="L814" s="3">
        <v>716</v>
      </c>
      <c r="M814" s="3">
        <v>6</v>
      </c>
      <c r="N814" s="14">
        <v>2997.1808369999999</v>
      </c>
      <c r="O814" s="7">
        <f t="shared" si="108"/>
        <v>0</v>
      </c>
      <c r="P814" s="14">
        <f t="shared" si="109"/>
        <v>0</v>
      </c>
      <c r="Q814" s="14">
        <f t="shared" si="110"/>
        <v>499.53013949999996</v>
      </c>
      <c r="R814" s="4">
        <f t="shared" si="111"/>
        <v>0</v>
      </c>
      <c r="S814" s="14">
        <f t="shared" si="112"/>
        <v>4186.0067555865926</v>
      </c>
      <c r="T814" s="4">
        <f t="shared" si="113"/>
        <v>22.322580645161292</v>
      </c>
      <c r="U814" s="3">
        <f>LEN(A814) - LEN(SUBSTITUTE(A814,"&gt;","")) +1</f>
        <v>5</v>
      </c>
      <c r="V814" s="8">
        <f t="shared" si="114"/>
        <v>0</v>
      </c>
      <c r="W814" s="14">
        <f t="shared" si="115"/>
        <v>599.43616739999993</v>
      </c>
      <c r="X814" s="4">
        <f t="shared" si="116"/>
        <v>0</v>
      </c>
    </row>
    <row r="815" spans="1:24" ht="14.25" customHeight="1" x14ac:dyDescent="0.2">
      <c r="A815" s="5" t="s">
        <v>2161</v>
      </c>
      <c r="B815" s="3" t="s">
        <v>24</v>
      </c>
      <c r="C815" s="3" t="s">
        <v>15</v>
      </c>
      <c r="D815" s="3" t="s">
        <v>2362</v>
      </c>
      <c r="E815" s="3" t="s">
        <v>2352</v>
      </c>
      <c r="F815" s="3" t="s">
        <v>1213</v>
      </c>
      <c r="G815" s="3" t="s">
        <v>22</v>
      </c>
      <c r="H815" s="3" t="s">
        <v>114</v>
      </c>
      <c r="I815" s="3">
        <v>24464</v>
      </c>
      <c r="J815" s="3">
        <v>0</v>
      </c>
      <c r="K815" s="3">
        <v>3275</v>
      </c>
      <c r="L815" s="3">
        <v>21993</v>
      </c>
      <c r="M815" s="3">
        <v>2</v>
      </c>
      <c r="N815" s="14">
        <v>2959.1149730000002</v>
      </c>
      <c r="O815" s="7">
        <f t="shared" si="108"/>
        <v>0</v>
      </c>
      <c r="P815" s="14">
        <f t="shared" si="109"/>
        <v>0</v>
      </c>
      <c r="Q815" s="14">
        <f t="shared" si="110"/>
        <v>1479.5574865000001</v>
      </c>
      <c r="R815" s="4">
        <f t="shared" si="111"/>
        <v>0</v>
      </c>
      <c r="S815" s="14">
        <f t="shared" si="112"/>
        <v>134.54803678443142</v>
      </c>
      <c r="T815" s="4">
        <f t="shared" si="113"/>
        <v>13.387017658600392</v>
      </c>
      <c r="U815" s="3">
        <f>LEN(A815) - LEN(SUBSTITUTE(A815,"&gt;","")) +1</f>
        <v>5</v>
      </c>
      <c r="V815" s="8">
        <f t="shared" si="114"/>
        <v>0</v>
      </c>
      <c r="W815" s="14">
        <f t="shared" si="115"/>
        <v>591.82299460000002</v>
      </c>
      <c r="X815" s="4">
        <f t="shared" si="116"/>
        <v>0</v>
      </c>
    </row>
    <row r="816" spans="1:24" ht="14.25" customHeight="1" x14ac:dyDescent="0.2">
      <c r="A816" s="5" t="s">
        <v>2162</v>
      </c>
      <c r="B816" s="3" t="s">
        <v>24</v>
      </c>
      <c r="C816" s="3" t="s">
        <v>32</v>
      </c>
      <c r="D816" s="3" t="s">
        <v>2357</v>
      </c>
      <c r="E816" s="3" t="s">
        <v>2358</v>
      </c>
      <c r="F816" s="3" t="s">
        <v>684</v>
      </c>
      <c r="G816" s="3" t="s">
        <v>22</v>
      </c>
      <c r="H816" s="3" t="s">
        <v>19</v>
      </c>
      <c r="I816" s="3">
        <v>20278</v>
      </c>
      <c r="J816" s="3">
        <v>0</v>
      </c>
      <c r="K816" s="3">
        <v>14227</v>
      </c>
      <c r="L816" s="3">
        <v>19480</v>
      </c>
      <c r="M816" s="3">
        <v>3</v>
      </c>
      <c r="N816" s="14">
        <v>2921.1102070000002</v>
      </c>
      <c r="O816" s="7">
        <f t="shared" si="108"/>
        <v>0</v>
      </c>
      <c r="P816" s="14">
        <f t="shared" si="109"/>
        <v>0</v>
      </c>
      <c r="Q816" s="14">
        <f t="shared" si="110"/>
        <v>973.70340233333343</v>
      </c>
      <c r="R816" s="4">
        <f t="shared" si="111"/>
        <v>0</v>
      </c>
      <c r="S816" s="14">
        <f t="shared" si="112"/>
        <v>149.9543227412731</v>
      </c>
      <c r="T816" s="4">
        <f t="shared" si="113"/>
        <v>70.159779070914297</v>
      </c>
      <c r="U816" s="3">
        <f>LEN(A816) - LEN(SUBSTITUTE(A816,"&gt;","")) +1</f>
        <v>5</v>
      </c>
      <c r="V816" s="8">
        <f t="shared" si="114"/>
        <v>0</v>
      </c>
      <c r="W816" s="14">
        <f t="shared" si="115"/>
        <v>584.22204140000008</v>
      </c>
      <c r="X816" s="4">
        <f t="shared" si="116"/>
        <v>0</v>
      </c>
    </row>
    <row r="817" spans="1:24" ht="14.25" customHeight="1" x14ac:dyDescent="0.2">
      <c r="A817" s="5" t="s">
        <v>2163</v>
      </c>
      <c r="B817" s="3" t="s">
        <v>14</v>
      </c>
      <c r="C817" s="3" t="s">
        <v>29</v>
      </c>
      <c r="D817" s="3" t="s">
        <v>2353</v>
      </c>
      <c r="E817" s="3" t="s">
        <v>2354</v>
      </c>
      <c r="F817" s="3" t="s">
        <v>119</v>
      </c>
      <c r="G817" s="3" t="s">
        <v>64</v>
      </c>
      <c r="H817" s="3" t="s">
        <v>19</v>
      </c>
      <c r="I817" s="3">
        <v>3219</v>
      </c>
      <c r="J817" s="3">
        <v>0</v>
      </c>
      <c r="K817" s="3">
        <v>2025</v>
      </c>
      <c r="L817" s="3">
        <v>2551</v>
      </c>
      <c r="M817" s="3">
        <v>2</v>
      </c>
      <c r="N817" s="14">
        <v>2896.593108</v>
      </c>
      <c r="O817" s="7">
        <f t="shared" si="108"/>
        <v>0</v>
      </c>
      <c r="P817" s="14">
        <f t="shared" si="109"/>
        <v>0</v>
      </c>
      <c r="Q817" s="14">
        <f t="shared" si="110"/>
        <v>1448.296554</v>
      </c>
      <c r="R817" s="4">
        <f t="shared" si="111"/>
        <v>0</v>
      </c>
      <c r="S817" s="14">
        <f t="shared" si="112"/>
        <v>1135.473582124657</v>
      </c>
      <c r="T817" s="4">
        <f t="shared" si="113"/>
        <v>62.907735321528421</v>
      </c>
      <c r="U817" s="3">
        <f>LEN(A817) - LEN(SUBSTITUTE(A817,"&gt;","")) +1</f>
        <v>5</v>
      </c>
      <c r="V817" s="8">
        <f t="shared" si="114"/>
        <v>0</v>
      </c>
      <c r="W817" s="14">
        <f t="shared" si="115"/>
        <v>579.31862160000003</v>
      </c>
      <c r="X817" s="4">
        <f t="shared" si="116"/>
        <v>0</v>
      </c>
    </row>
    <row r="818" spans="1:24" ht="14.25" customHeight="1" x14ac:dyDescent="0.2">
      <c r="A818" s="5" t="s">
        <v>2164</v>
      </c>
      <c r="B818" s="3" t="s">
        <v>24</v>
      </c>
      <c r="C818" s="3" t="s">
        <v>15</v>
      </c>
      <c r="D818" s="3" t="s">
        <v>2349</v>
      </c>
      <c r="E818" s="3" t="s">
        <v>2350</v>
      </c>
      <c r="F818" s="3" t="s">
        <v>1217</v>
      </c>
      <c r="G818" s="3" t="s">
        <v>41</v>
      </c>
      <c r="H818" s="3" t="s">
        <v>19</v>
      </c>
      <c r="I818" s="3">
        <v>5</v>
      </c>
      <c r="J818" s="3">
        <v>0</v>
      </c>
      <c r="K818" s="3">
        <v>0</v>
      </c>
      <c r="L818" s="3">
        <v>4</v>
      </c>
      <c r="M818" s="3">
        <v>8</v>
      </c>
      <c r="N818" s="14">
        <v>2872.5753589999999</v>
      </c>
      <c r="O818" s="7">
        <f t="shared" si="108"/>
        <v>0</v>
      </c>
      <c r="P818" s="14">
        <f t="shared" si="109"/>
        <v>0</v>
      </c>
      <c r="Q818" s="14">
        <f t="shared" si="110"/>
        <v>359.07191987499999</v>
      </c>
      <c r="R818" s="4">
        <f t="shared" si="111"/>
        <v>0</v>
      </c>
      <c r="S818" s="14">
        <f t="shared" si="112"/>
        <v>718143.83974999993</v>
      </c>
      <c r="T818" s="4">
        <f t="shared" si="113"/>
        <v>0</v>
      </c>
      <c r="U818" s="3">
        <f>LEN(A818) - LEN(SUBSTITUTE(A818,"&gt;","")) +1</f>
        <v>5</v>
      </c>
      <c r="V818" s="8">
        <f t="shared" si="114"/>
        <v>0</v>
      </c>
      <c r="W818" s="14">
        <f t="shared" si="115"/>
        <v>574.51507179999999</v>
      </c>
      <c r="X818" s="4">
        <f t="shared" si="116"/>
        <v>0</v>
      </c>
    </row>
    <row r="819" spans="1:24" ht="14.25" customHeight="1" x14ac:dyDescent="0.2">
      <c r="A819" s="5" t="s">
        <v>2165</v>
      </c>
      <c r="B819" s="3" t="s">
        <v>14</v>
      </c>
      <c r="C819" s="3" t="s">
        <v>32</v>
      </c>
      <c r="D819" s="3" t="s">
        <v>2361</v>
      </c>
      <c r="E819" s="3" t="s">
        <v>2360</v>
      </c>
      <c r="F819" s="3" t="s">
        <v>533</v>
      </c>
      <c r="G819" s="3" t="s">
        <v>38</v>
      </c>
      <c r="H819" s="3" t="s">
        <v>19</v>
      </c>
      <c r="I819" s="3">
        <v>29</v>
      </c>
      <c r="J819" s="3">
        <v>0</v>
      </c>
      <c r="K819" s="3">
        <v>18</v>
      </c>
      <c r="L819" s="3">
        <v>20</v>
      </c>
      <c r="M819" s="3">
        <v>24</v>
      </c>
      <c r="N819" s="14">
        <v>2870.20397</v>
      </c>
      <c r="O819" s="7">
        <f t="shared" si="108"/>
        <v>0</v>
      </c>
      <c r="P819" s="14">
        <f t="shared" si="109"/>
        <v>0</v>
      </c>
      <c r="Q819" s="14">
        <f t="shared" si="110"/>
        <v>119.59183208333333</v>
      </c>
      <c r="R819" s="4">
        <f t="shared" si="111"/>
        <v>0</v>
      </c>
      <c r="S819" s="14">
        <f t="shared" si="112"/>
        <v>143510.1985</v>
      </c>
      <c r="T819" s="4">
        <f t="shared" si="113"/>
        <v>62.068965517241381</v>
      </c>
      <c r="U819" s="3">
        <f>LEN(A819) - LEN(SUBSTITUTE(A819,"&gt;","")) +1</f>
        <v>5</v>
      </c>
      <c r="V819" s="8">
        <f t="shared" si="114"/>
        <v>0</v>
      </c>
      <c r="W819" s="14">
        <f t="shared" si="115"/>
        <v>574.04079400000001</v>
      </c>
      <c r="X819" s="4">
        <f t="shared" si="116"/>
        <v>0</v>
      </c>
    </row>
    <row r="820" spans="1:24" ht="14.25" customHeight="1" x14ac:dyDescent="0.2">
      <c r="A820" s="5" t="s">
        <v>2166</v>
      </c>
      <c r="B820" s="3" t="s">
        <v>14</v>
      </c>
      <c r="C820" s="3" t="s">
        <v>35</v>
      </c>
      <c r="D820" s="3" t="s">
        <v>2357</v>
      </c>
      <c r="E820" s="3" t="s">
        <v>2358</v>
      </c>
      <c r="F820" s="3" t="s">
        <v>1220</v>
      </c>
      <c r="G820" s="3" t="s">
        <v>27</v>
      </c>
      <c r="H820" s="3" t="s">
        <v>19</v>
      </c>
      <c r="I820" s="3">
        <v>25</v>
      </c>
      <c r="J820" s="3">
        <v>0</v>
      </c>
      <c r="K820" s="3">
        <v>20</v>
      </c>
      <c r="L820" s="3">
        <v>24</v>
      </c>
      <c r="M820" s="3">
        <v>15</v>
      </c>
      <c r="N820" s="14">
        <v>2834.4605139999999</v>
      </c>
      <c r="O820" s="7">
        <f t="shared" si="108"/>
        <v>0</v>
      </c>
      <c r="P820" s="14">
        <f t="shared" si="109"/>
        <v>0</v>
      </c>
      <c r="Q820" s="14">
        <f t="shared" si="110"/>
        <v>188.96403426666666</v>
      </c>
      <c r="R820" s="4">
        <f t="shared" si="111"/>
        <v>0</v>
      </c>
      <c r="S820" s="14">
        <f t="shared" si="112"/>
        <v>118102.52141666666</v>
      </c>
      <c r="T820" s="4">
        <f t="shared" si="113"/>
        <v>80</v>
      </c>
      <c r="U820" s="3">
        <f>LEN(A820) - LEN(SUBSTITUTE(A820,"&gt;","")) +1</f>
        <v>5</v>
      </c>
      <c r="V820" s="8">
        <f t="shared" si="114"/>
        <v>0</v>
      </c>
      <c r="W820" s="14">
        <f t="shared" si="115"/>
        <v>566.89210279999998</v>
      </c>
      <c r="X820" s="4">
        <f t="shared" si="116"/>
        <v>0</v>
      </c>
    </row>
    <row r="821" spans="1:24" ht="14.25" customHeight="1" x14ac:dyDescent="0.2">
      <c r="A821" s="5" t="s">
        <v>2167</v>
      </c>
      <c r="B821" s="3" t="s">
        <v>24</v>
      </c>
      <c r="C821" s="3" t="s">
        <v>32</v>
      </c>
      <c r="D821" s="3" t="s">
        <v>2351</v>
      </c>
      <c r="E821" s="3" t="s">
        <v>2352</v>
      </c>
      <c r="F821" s="3" t="s">
        <v>1143</v>
      </c>
      <c r="G821" s="3" t="s">
        <v>22</v>
      </c>
      <c r="H821" s="3" t="s">
        <v>114</v>
      </c>
      <c r="I821" s="3">
        <v>876</v>
      </c>
      <c r="J821" s="3">
        <v>0</v>
      </c>
      <c r="K821" s="3">
        <v>500</v>
      </c>
      <c r="L821" s="3">
        <v>659</v>
      </c>
      <c r="M821" s="3">
        <v>11</v>
      </c>
      <c r="N821" s="14">
        <v>2759.3689639999998</v>
      </c>
      <c r="O821" s="7">
        <f t="shared" si="108"/>
        <v>0</v>
      </c>
      <c r="P821" s="14">
        <f t="shared" si="109"/>
        <v>0</v>
      </c>
      <c r="Q821" s="14">
        <f t="shared" si="110"/>
        <v>250.85172399999999</v>
      </c>
      <c r="R821" s="4">
        <f t="shared" si="111"/>
        <v>0</v>
      </c>
      <c r="S821" s="14">
        <f t="shared" si="112"/>
        <v>4187.2063186646428</v>
      </c>
      <c r="T821" s="4">
        <f t="shared" si="113"/>
        <v>57.077625570776256</v>
      </c>
      <c r="U821" s="3">
        <f>LEN(A821) - LEN(SUBSTITUTE(A821,"&gt;","")) +1</f>
        <v>5</v>
      </c>
      <c r="V821" s="8">
        <f t="shared" si="114"/>
        <v>0</v>
      </c>
      <c r="W821" s="14">
        <f t="shared" si="115"/>
        <v>551.87379279999993</v>
      </c>
      <c r="X821" s="4">
        <f t="shared" si="116"/>
        <v>0</v>
      </c>
    </row>
    <row r="822" spans="1:24" ht="14.25" customHeight="1" x14ac:dyDescent="0.2">
      <c r="A822" s="5" t="s">
        <v>2168</v>
      </c>
      <c r="B822" s="3" t="s">
        <v>24</v>
      </c>
      <c r="C822" s="3" t="s">
        <v>32</v>
      </c>
      <c r="D822" s="3" t="s">
        <v>2362</v>
      </c>
      <c r="E822" s="3" t="s">
        <v>2352</v>
      </c>
      <c r="F822" s="3" t="s">
        <v>1223</v>
      </c>
      <c r="G822" s="3" t="s">
        <v>27</v>
      </c>
      <c r="H822" s="3" t="s">
        <v>114</v>
      </c>
      <c r="I822" s="3">
        <v>261</v>
      </c>
      <c r="J822" s="3">
        <v>0</v>
      </c>
      <c r="K822" s="3">
        <v>178</v>
      </c>
      <c r="L822" s="3">
        <v>221</v>
      </c>
      <c r="M822" s="3">
        <v>21</v>
      </c>
      <c r="N822" s="14">
        <v>2730.1106690000001</v>
      </c>
      <c r="O822" s="7">
        <f t="shared" si="108"/>
        <v>0</v>
      </c>
      <c r="P822" s="14">
        <f t="shared" si="109"/>
        <v>0</v>
      </c>
      <c r="Q822" s="14">
        <f t="shared" si="110"/>
        <v>130.00526995238096</v>
      </c>
      <c r="R822" s="4">
        <f t="shared" si="111"/>
        <v>0</v>
      </c>
      <c r="S822" s="14">
        <f t="shared" si="112"/>
        <v>12353.441941176472</v>
      </c>
      <c r="T822" s="4">
        <f t="shared" si="113"/>
        <v>68.199233716475092</v>
      </c>
      <c r="U822" s="3">
        <f>LEN(A822) - LEN(SUBSTITUTE(A822,"&gt;","")) +1</f>
        <v>5</v>
      </c>
      <c r="V822" s="8">
        <f t="shared" si="114"/>
        <v>0</v>
      </c>
      <c r="W822" s="14">
        <f t="shared" si="115"/>
        <v>546.02213380000001</v>
      </c>
      <c r="X822" s="4">
        <f t="shared" si="116"/>
        <v>0</v>
      </c>
    </row>
    <row r="823" spans="1:24" ht="14.25" customHeight="1" x14ac:dyDescent="0.2">
      <c r="A823" s="5" t="s">
        <v>2169</v>
      </c>
      <c r="B823" s="3" t="s">
        <v>14</v>
      </c>
      <c r="C823" s="3" t="s">
        <v>15</v>
      </c>
      <c r="D823" s="3" t="s">
        <v>2370</v>
      </c>
      <c r="E823" s="3" t="s">
        <v>2360</v>
      </c>
      <c r="F823" s="3" t="s">
        <v>891</v>
      </c>
      <c r="G823" s="3" t="s">
        <v>27</v>
      </c>
      <c r="H823" s="3" t="s">
        <v>19</v>
      </c>
      <c r="I823" s="3">
        <v>3489</v>
      </c>
      <c r="J823" s="3">
        <v>0</v>
      </c>
      <c r="K823" s="3">
        <v>2061</v>
      </c>
      <c r="L823" s="3">
        <v>3281</v>
      </c>
      <c r="M823" s="3">
        <v>19</v>
      </c>
      <c r="N823" s="14">
        <v>2723.562109</v>
      </c>
      <c r="O823" s="7">
        <f t="shared" si="108"/>
        <v>0</v>
      </c>
      <c r="P823" s="14">
        <f t="shared" si="109"/>
        <v>0</v>
      </c>
      <c r="Q823" s="14">
        <f t="shared" si="110"/>
        <v>143.34537415789472</v>
      </c>
      <c r="R823" s="4">
        <f t="shared" si="111"/>
        <v>0</v>
      </c>
      <c r="S823" s="14">
        <f t="shared" si="112"/>
        <v>830.10122188357207</v>
      </c>
      <c r="T823" s="4">
        <f t="shared" si="113"/>
        <v>59.071367153912291</v>
      </c>
      <c r="U823" s="3">
        <f>LEN(A823) - LEN(SUBSTITUTE(A823,"&gt;","")) +1</f>
        <v>4</v>
      </c>
      <c r="V823" s="8">
        <f t="shared" si="114"/>
        <v>0</v>
      </c>
      <c r="W823" s="14">
        <f t="shared" si="115"/>
        <v>680.89052724999999</v>
      </c>
      <c r="X823" s="4">
        <f t="shared" si="116"/>
        <v>0</v>
      </c>
    </row>
    <row r="824" spans="1:24" ht="14.25" customHeight="1" x14ac:dyDescent="0.2">
      <c r="A824" s="5" t="s">
        <v>2170</v>
      </c>
      <c r="B824" s="3" t="s">
        <v>14</v>
      </c>
      <c r="C824" s="3" t="s">
        <v>32</v>
      </c>
      <c r="D824" s="3" t="s">
        <v>2351</v>
      </c>
      <c r="E824" s="3" t="s">
        <v>2352</v>
      </c>
      <c r="F824" s="3" t="s">
        <v>1226</v>
      </c>
      <c r="G824" s="3" t="s">
        <v>50</v>
      </c>
      <c r="H824" s="3" t="s">
        <v>19</v>
      </c>
      <c r="I824" s="3">
        <v>33</v>
      </c>
      <c r="J824" s="3">
        <v>0</v>
      </c>
      <c r="K824" s="3">
        <v>9</v>
      </c>
      <c r="L824" s="3">
        <v>28</v>
      </c>
      <c r="M824" s="3">
        <v>3</v>
      </c>
      <c r="N824" s="14">
        <v>2720.3259670000002</v>
      </c>
      <c r="O824" s="7">
        <f t="shared" si="108"/>
        <v>0</v>
      </c>
      <c r="P824" s="14">
        <f t="shared" si="109"/>
        <v>0</v>
      </c>
      <c r="Q824" s="14">
        <f t="shared" si="110"/>
        <v>906.77532233333341</v>
      </c>
      <c r="R824" s="4">
        <f t="shared" si="111"/>
        <v>0</v>
      </c>
      <c r="S824" s="14">
        <f t="shared" si="112"/>
        <v>97154.498821428569</v>
      </c>
      <c r="T824" s="4">
        <f t="shared" si="113"/>
        <v>27.27272727272727</v>
      </c>
      <c r="U824" s="3">
        <f>LEN(A824) - LEN(SUBSTITUTE(A824,"&gt;","")) +1</f>
        <v>6</v>
      </c>
      <c r="V824" s="8">
        <f t="shared" si="114"/>
        <v>0</v>
      </c>
      <c r="W824" s="14">
        <f t="shared" si="115"/>
        <v>453.3876611666667</v>
      </c>
      <c r="X824" s="4">
        <f t="shared" si="116"/>
        <v>0</v>
      </c>
    </row>
    <row r="825" spans="1:24" ht="14.25" customHeight="1" x14ac:dyDescent="0.2">
      <c r="A825" s="5" t="s">
        <v>2171</v>
      </c>
      <c r="B825" s="3" t="s">
        <v>24</v>
      </c>
      <c r="C825" s="3" t="s">
        <v>15</v>
      </c>
      <c r="D825" s="3" t="s">
        <v>2353</v>
      </c>
      <c r="E825" s="3" t="s">
        <v>2354</v>
      </c>
      <c r="F825" s="3" t="s">
        <v>1120</v>
      </c>
      <c r="G825" s="3" t="s">
        <v>27</v>
      </c>
      <c r="H825" s="3" t="s">
        <v>19</v>
      </c>
      <c r="I825" s="3">
        <v>2203</v>
      </c>
      <c r="J825" s="3">
        <v>0</v>
      </c>
      <c r="K825" s="3">
        <v>1479</v>
      </c>
      <c r="L825" s="3">
        <v>2087</v>
      </c>
      <c r="M825" s="3">
        <v>10</v>
      </c>
      <c r="N825" s="14">
        <v>2677.313349</v>
      </c>
      <c r="O825" s="7">
        <f t="shared" si="108"/>
        <v>0</v>
      </c>
      <c r="P825" s="14">
        <f t="shared" si="109"/>
        <v>0</v>
      </c>
      <c r="Q825" s="14">
        <f t="shared" si="110"/>
        <v>267.73133489999998</v>
      </c>
      <c r="R825" s="4">
        <f t="shared" si="111"/>
        <v>0</v>
      </c>
      <c r="S825" s="14">
        <f t="shared" si="112"/>
        <v>1282.8525869669384</v>
      </c>
      <c r="T825" s="4">
        <f t="shared" si="113"/>
        <v>67.135724012709943</v>
      </c>
      <c r="U825" s="3">
        <f>LEN(A825) - LEN(SUBSTITUTE(A825,"&gt;","")) +1</f>
        <v>5</v>
      </c>
      <c r="V825" s="8">
        <f t="shared" si="114"/>
        <v>0</v>
      </c>
      <c r="W825" s="14">
        <f t="shared" si="115"/>
        <v>535.46266979999996</v>
      </c>
      <c r="X825" s="4">
        <f t="shared" si="116"/>
        <v>0</v>
      </c>
    </row>
    <row r="826" spans="1:24" ht="14.25" customHeight="1" x14ac:dyDescent="0.2">
      <c r="A826" s="5" t="s">
        <v>2172</v>
      </c>
      <c r="B826" s="3" t="s">
        <v>14</v>
      </c>
      <c r="C826" s="3" t="s">
        <v>32</v>
      </c>
      <c r="D826" s="3" t="s">
        <v>2368</v>
      </c>
      <c r="E826" s="3" t="s">
        <v>2352</v>
      </c>
      <c r="F826" s="3" t="s">
        <v>1229</v>
      </c>
      <c r="G826" s="3" t="s">
        <v>27</v>
      </c>
      <c r="H826" s="3" t="s">
        <v>19</v>
      </c>
      <c r="I826" s="3">
        <v>54</v>
      </c>
      <c r="J826" s="3">
        <v>0</v>
      </c>
      <c r="K826" s="3">
        <v>29</v>
      </c>
      <c r="L826" s="3">
        <v>43</v>
      </c>
      <c r="M826" s="3">
        <v>3</v>
      </c>
      <c r="N826" s="14">
        <v>2649.5558850000002</v>
      </c>
      <c r="O826" s="7">
        <f t="shared" si="108"/>
        <v>0</v>
      </c>
      <c r="P826" s="14">
        <f t="shared" si="109"/>
        <v>0</v>
      </c>
      <c r="Q826" s="14">
        <f t="shared" si="110"/>
        <v>883.18529500000011</v>
      </c>
      <c r="R826" s="4">
        <f t="shared" si="111"/>
        <v>0</v>
      </c>
      <c r="S826" s="14">
        <f t="shared" si="112"/>
        <v>61617.578720930243</v>
      </c>
      <c r="T826" s="4">
        <f t="shared" si="113"/>
        <v>53.703703703703709</v>
      </c>
      <c r="U826" s="3">
        <f>LEN(A826) - LEN(SUBSTITUTE(A826,"&gt;","")) +1</f>
        <v>6</v>
      </c>
      <c r="V826" s="8">
        <f t="shared" si="114"/>
        <v>0</v>
      </c>
      <c r="W826" s="14">
        <f t="shared" si="115"/>
        <v>441.59264750000006</v>
      </c>
      <c r="X826" s="4">
        <f t="shared" si="116"/>
        <v>0</v>
      </c>
    </row>
    <row r="827" spans="1:24" ht="14.25" customHeight="1" x14ac:dyDescent="0.2">
      <c r="A827" s="5" t="s">
        <v>2173</v>
      </c>
      <c r="B827" s="3" t="s">
        <v>24</v>
      </c>
      <c r="C827" s="3" t="s">
        <v>32</v>
      </c>
      <c r="D827" s="3" t="s">
        <v>2353</v>
      </c>
      <c r="E827" s="3" t="s">
        <v>2354</v>
      </c>
      <c r="F827" s="3" t="s">
        <v>1152</v>
      </c>
      <c r="G827" s="3" t="s">
        <v>27</v>
      </c>
      <c r="H827" s="3" t="s">
        <v>19</v>
      </c>
      <c r="I827" s="3">
        <v>14581</v>
      </c>
      <c r="J827" s="3">
        <v>0</v>
      </c>
      <c r="K827" s="3">
        <v>6970</v>
      </c>
      <c r="L827" s="3">
        <v>8882</v>
      </c>
      <c r="M827" s="3">
        <v>4</v>
      </c>
      <c r="N827" s="14">
        <v>2636.2021239999999</v>
      </c>
      <c r="O827" s="7">
        <f t="shared" si="108"/>
        <v>0</v>
      </c>
      <c r="P827" s="14">
        <f t="shared" si="109"/>
        <v>0</v>
      </c>
      <c r="Q827" s="14">
        <f t="shared" si="110"/>
        <v>659.05053099999998</v>
      </c>
      <c r="R827" s="4">
        <f t="shared" si="111"/>
        <v>0</v>
      </c>
      <c r="S827" s="14">
        <f t="shared" si="112"/>
        <v>296.80276108984458</v>
      </c>
      <c r="T827" s="4">
        <f t="shared" si="113"/>
        <v>47.801934023729508</v>
      </c>
      <c r="U827" s="3">
        <f>LEN(A827) - LEN(SUBSTITUTE(A827,"&gt;","")) +1</f>
        <v>3</v>
      </c>
      <c r="V827" s="8">
        <f t="shared" si="114"/>
        <v>0</v>
      </c>
      <c r="W827" s="14">
        <f t="shared" si="115"/>
        <v>878.73404133333327</v>
      </c>
      <c r="X827" s="4">
        <f t="shared" si="116"/>
        <v>0</v>
      </c>
    </row>
    <row r="828" spans="1:24" ht="14.25" customHeight="1" x14ac:dyDescent="0.2">
      <c r="A828" s="5" t="s">
        <v>2174</v>
      </c>
      <c r="B828" s="3" t="s">
        <v>14</v>
      </c>
      <c r="C828" s="3" t="s">
        <v>35</v>
      </c>
      <c r="D828" s="3" t="s">
        <v>2357</v>
      </c>
      <c r="E828" s="3" t="s">
        <v>2358</v>
      </c>
      <c r="F828" s="3" t="s">
        <v>1232</v>
      </c>
      <c r="G828" s="3" t="s">
        <v>27</v>
      </c>
      <c r="H828" s="3" t="s">
        <v>19</v>
      </c>
      <c r="I828" s="3">
        <v>3183</v>
      </c>
      <c r="J828" s="3">
        <v>0</v>
      </c>
      <c r="K828" s="3">
        <v>2051</v>
      </c>
      <c r="L828" s="3">
        <v>3028</v>
      </c>
      <c r="M828" s="3">
        <v>4</v>
      </c>
      <c r="N828" s="14">
        <v>2568.1864430000001</v>
      </c>
      <c r="O828" s="7">
        <f t="shared" si="108"/>
        <v>0</v>
      </c>
      <c r="P828" s="14">
        <f t="shared" si="109"/>
        <v>0</v>
      </c>
      <c r="Q828" s="14">
        <f t="shared" si="110"/>
        <v>642.04661075000001</v>
      </c>
      <c r="R828" s="4">
        <f t="shared" si="111"/>
        <v>0</v>
      </c>
      <c r="S828" s="14">
        <f t="shared" si="112"/>
        <v>848.14611723910173</v>
      </c>
      <c r="T828" s="4">
        <f t="shared" si="113"/>
        <v>64.43606660383287</v>
      </c>
      <c r="U828" s="3">
        <f>LEN(A828) - LEN(SUBSTITUTE(A828,"&gt;","")) +1</f>
        <v>6</v>
      </c>
      <c r="V828" s="8">
        <f t="shared" si="114"/>
        <v>0</v>
      </c>
      <c r="W828" s="14">
        <f t="shared" si="115"/>
        <v>428.03107383333332</v>
      </c>
      <c r="X828" s="4">
        <f t="shared" si="116"/>
        <v>0</v>
      </c>
    </row>
    <row r="829" spans="1:24" ht="14.25" customHeight="1" x14ac:dyDescent="0.2">
      <c r="A829" s="5" t="s">
        <v>2175</v>
      </c>
      <c r="B829" s="3" t="s">
        <v>14</v>
      </c>
      <c r="C829" s="3" t="s">
        <v>15</v>
      </c>
      <c r="D829" s="3" t="s">
        <v>2349</v>
      </c>
      <c r="E829" s="3" t="s">
        <v>2350</v>
      </c>
      <c r="F829" s="3" t="s">
        <v>509</v>
      </c>
      <c r="G829" s="3" t="s">
        <v>27</v>
      </c>
      <c r="H829" s="3" t="s">
        <v>19</v>
      </c>
      <c r="I829" s="3">
        <v>3336</v>
      </c>
      <c r="J829" s="3">
        <v>0</v>
      </c>
      <c r="K829" s="3">
        <v>1516</v>
      </c>
      <c r="L829" s="3">
        <v>2892</v>
      </c>
      <c r="M829" s="3">
        <v>4</v>
      </c>
      <c r="N829" s="14">
        <v>2526.4483489999998</v>
      </c>
      <c r="O829" s="7">
        <f t="shared" si="108"/>
        <v>0</v>
      </c>
      <c r="P829" s="14">
        <f t="shared" si="109"/>
        <v>0</v>
      </c>
      <c r="Q829" s="14">
        <f t="shared" si="110"/>
        <v>631.61208724999995</v>
      </c>
      <c r="R829" s="4">
        <f t="shared" si="111"/>
        <v>0</v>
      </c>
      <c r="S829" s="14">
        <f t="shared" si="112"/>
        <v>873.59901417703998</v>
      </c>
      <c r="T829" s="4">
        <f t="shared" si="113"/>
        <v>45.443645083932857</v>
      </c>
      <c r="U829" s="3">
        <f>LEN(A829) - LEN(SUBSTITUTE(A829,"&gt;","")) +1</f>
        <v>5</v>
      </c>
      <c r="V829" s="8">
        <f t="shared" si="114"/>
        <v>0</v>
      </c>
      <c r="W829" s="14">
        <f t="shared" si="115"/>
        <v>505.28966979999996</v>
      </c>
      <c r="X829" s="4">
        <f t="shared" si="116"/>
        <v>0</v>
      </c>
    </row>
    <row r="830" spans="1:24" ht="14.25" customHeight="1" x14ac:dyDescent="0.2">
      <c r="A830" s="5" t="s">
        <v>593</v>
      </c>
      <c r="B830" s="3" t="s">
        <v>24</v>
      </c>
      <c r="C830" s="3" t="s">
        <v>32</v>
      </c>
      <c r="D830" s="3" t="s">
        <v>2349</v>
      </c>
      <c r="E830" s="3" t="s">
        <v>2350</v>
      </c>
      <c r="F830" s="3" t="s">
        <v>1234</v>
      </c>
      <c r="G830" s="3" t="s">
        <v>64</v>
      </c>
      <c r="H830" s="3" t="s">
        <v>114</v>
      </c>
      <c r="I830" s="3">
        <v>594</v>
      </c>
      <c r="J830" s="3">
        <v>0</v>
      </c>
      <c r="K830" s="3">
        <v>320</v>
      </c>
      <c r="L830" s="3">
        <v>563</v>
      </c>
      <c r="M830" s="3">
        <v>2</v>
      </c>
      <c r="N830" s="14">
        <v>2459.0883100000001</v>
      </c>
      <c r="O830" s="7">
        <f t="shared" si="108"/>
        <v>0</v>
      </c>
      <c r="P830" s="14">
        <f t="shared" si="109"/>
        <v>0</v>
      </c>
      <c r="Q830" s="14">
        <f t="shared" si="110"/>
        <v>1229.544155</v>
      </c>
      <c r="R830" s="4">
        <f t="shared" si="111"/>
        <v>0</v>
      </c>
      <c r="S830" s="14">
        <f t="shared" si="112"/>
        <v>4367.8300355239789</v>
      </c>
      <c r="T830" s="4">
        <f t="shared" si="113"/>
        <v>53.872053872053868</v>
      </c>
      <c r="U830" s="3">
        <f>LEN(A830) - LEN(SUBSTITUTE(A830,"&gt;","")) +1</f>
        <v>1</v>
      </c>
      <c r="V830" s="8">
        <f t="shared" si="114"/>
        <v>0</v>
      </c>
      <c r="W830" s="14">
        <f t="shared" si="115"/>
        <v>2459.0883100000001</v>
      </c>
      <c r="X830" s="4">
        <f t="shared" si="116"/>
        <v>0</v>
      </c>
    </row>
    <row r="831" spans="1:24" ht="14.25" customHeight="1" x14ac:dyDescent="0.2">
      <c r="A831" s="5" t="s">
        <v>2176</v>
      </c>
      <c r="B831" s="3" t="s">
        <v>24</v>
      </c>
      <c r="C831" s="3" t="s">
        <v>15</v>
      </c>
      <c r="D831" s="3" t="s">
        <v>2359</v>
      </c>
      <c r="E831" s="3" t="s">
        <v>2360</v>
      </c>
      <c r="F831" s="3" t="s">
        <v>1236</v>
      </c>
      <c r="G831" s="3" t="s">
        <v>27</v>
      </c>
      <c r="H831" s="3" t="s">
        <v>114</v>
      </c>
      <c r="I831" s="3">
        <v>3786</v>
      </c>
      <c r="J831" s="3">
        <v>0</v>
      </c>
      <c r="K831" s="3">
        <v>2713</v>
      </c>
      <c r="L831" s="3">
        <v>3473</v>
      </c>
      <c r="M831" s="3">
        <v>2</v>
      </c>
      <c r="N831" s="14">
        <v>2397.6242510000002</v>
      </c>
      <c r="O831" s="7">
        <f t="shared" si="108"/>
        <v>0</v>
      </c>
      <c r="P831" s="14">
        <f t="shared" si="109"/>
        <v>0</v>
      </c>
      <c r="Q831" s="14">
        <f t="shared" si="110"/>
        <v>1198.8121255000001</v>
      </c>
      <c r="R831" s="4">
        <f t="shared" si="111"/>
        <v>0</v>
      </c>
      <c r="S831" s="14">
        <f t="shared" si="112"/>
        <v>690.3611433918802</v>
      </c>
      <c r="T831" s="4">
        <f t="shared" si="113"/>
        <v>71.658742736397258</v>
      </c>
      <c r="U831" s="3">
        <f>LEN(A831) - LEN(SUBSTITUTE(A831,"&gt;","")) +1</f>
        <v>3</v>
      </c>
      <c r="V831" s="8">
        <f t="shared" si="114"/>
        <v>0</v>
      </c>
      <c r="W831" s="14">
        <f t="shared" si="115"/>
        <v>799.20808366666677</v>
      </c>
      <c r="X831" s="4">
        <f t="shared" si="116"/>
        <v>0</v>
      </c>
    </row>
    <row r="832" spans="1:24" ht="14.25" customHeight="1" x14ac:dyDescent="0.2">
      <c r="A832" s="5" t="s">
        <v>2177</v>
      </c>
      <c r="B832" s="3" t="s">
        <v>14</v>
      </c>
      <c r="C832" s="3" t="s">
        <v>29</v>
      </c>
      <c r="D832" s="3" t="s">
        <v>2357</v>
      </c>
      <c r="E832" s="3" t="s">
        <v>2358</v>
      </c>
      <c r="F832" s="3" t="s">
        <v>1238</v>
      </c>
      <c r="G832" s="3" t="s">
        <v>64</v>
      </c>
      <c r="H832" s="3" t="s">
        <v>19</v>
      </c>
      <c r="I832" s="3">
        <v>948</v>
      </c>
      <c r="J832" s="3">
        <v>0</v>
      </c>
      <c r="K832" s="3">
        <v>94</v>
      </c>
      <c r="L832" s="3">
        <v>749</v>
      </c>
      <c r="M832" s="3">
        <v>15</v>
      </c>
      <c r="N832" s="14">
        <v>2389.1242729999999</v>
      </c>
      <c r="O832" s="7">
        <f t="shared" si="108"/>
        <v>0</v>
      </c>
      <c r="P832" s="14">
        <f t="shared" si="109"/>
        <v>0</v>
      </c>
      <c r="Q832" s="14">
        <f t="shared" si="110"/>
        <v>159.27495153333334</v>
      </c>
      <c r="R832" s="4">
        <f t="shared" si="111"/>
        <v>0</v>
      </c>
      <c r="S832" s="14">
        <f t="shared" si="112"/>
        <v>3189.7520333778371</v>
      </c>
      <c r="T832" s="4">
        <f t="shared" si="113"/>
        <v>9.9156118143459917</v>
      </c>
      <c r="U832" s="3">
        <f>LEN(A832) - LEN(SUBSTITUTE(A832,"&gt;","")) +1</f>
        <v>5</v>
      </c>
      <c r="V832" s="8">
        <f t="shared" si="114"/>
        <v>0</v>
      </c>
      <c r="W832" s="14">
        <f t="shared" si="115"/>
        <v>477.82485459999998</v>
      </c>
      <c r="X832" s="4">
        <f t="shared" si="116"/>
        <v>0</v>
      </c>
    </row>
    <row r="833" spans="1:24" ht="14.25" customHeight="1" x14ac:dyDescent="0.2">
      <c r="A833" s="5" t="s">
        <v>1503</v>
      </c>
      <c r="B833" s="3" t="s">
        <v>24</v>
      </c>
      <c r="C833" s="3" t="s">
        <v>15</v>
      </c>
      <c r="D833" s="3" t="s">
        <v>2367</v>
      </c>
      <c r="E833" s="3" t="s">
        <v>2352</v>
      </c>
      <c r="F833" s="3" t="s">
        <v>1240</v>
      </c>
      <c r="G833" s="3" t="s">
        <v>64</v>
      </c>
      <c r="H833" s="3" t="s">
        <v>19</v>
      </c>
      <c r="I833" s="3">
        <v>32</v>
      </c>
      <c r="J833" s="3">
        <v>0</v>
      </c>
      <c r="K833" s="3">
        <v>20</v>
      </c>
      <c r="L833" s="3">
        <v>29</v>
      </c>
      <c r="M833" s="3">
        <v>16</v>
      </c>
      <c r="N833" s="14">
        <v>2366.6597419999998</v>
      </c>
      <c r="O833" s="7">
        <f t="shared" si="108"/>
        <v>0</v>
      </c>
      <c r="P833" s="14">
        <f t="shared" si="109"/>
        <v>0</v>
      </c>
      <c r="Q833" s="14">
        <f t="shared" si="110"/>
        <v>147.91623387499999</v>
      </c>
      <c r="R833" s="4">
        <f t="shared" si="111"/>
        <v>0</v>
      </c>
      <c r="S833" s="14">
        <f t="shared" si="112"/>
        <v>81608.956620689656</v>
      </c>
      <c r="T833" s="4">
        <f t="shared" si="113"/>
        <v>62.5</v>
      </c>
      <c r="U833" s="3">
        <f>LEN(A833) - LEN(SUBSTITUTE(A833,"&gt;","")) +1</f>
        <v>2</v>
      </c>
      <c r="V833" s="8">
        <f t="shared" si="114"/>
        <v>0</v>
      </c>
      <c r="W833" s="14">
        <f t="shared" si="115"/>
        <v>1183.3298709999999</v>
      </c>
      <c r="X833" s="4">
        <f t="shared" si="116"/>
        <v>0</v>
      </c>
    </row>
    <row r="834" spans="1:24" ht="14.25" customHeight="1" x14ac:dyDescent="0.2">
      <c r="A834" s="5" t="s">
        <v>2178</v>
      </c>
      <c r="B834" s="3" t="s">
        <v>14</v>
      </c>
      <c r="C834" s="3" t="s">
        <v>15</v>
      </c>
      <c r="D834" s="3" t="s">
        <v>2353</v>
      </c>
      <c r="E834" s="3" t="s">
        <v>2354</v>
      </c>
      <c r="F834" s="3" t="s">
        <v>1242</v>
      </c>
      <c r="G834" s="3" t="s">
        <v>27</v>
      </c>
      <c r="H834" s="3" t="s">
        <v>19</v>
      </c>
      <c r="I834" s="3">
        <v>60</v>
      </c>
      <c r="J834" s="3">
        <v>0</v>
      </c>
      <c r="K834" s="3">
        <v>33</v>
      </c>
      <c r="L834" s="3">
        <v>53</v>
      </c>
      <c r="M834" s="3">
        <v>3</v>
      </c>
      <c r="N834" s="14">
        <v>2358.4109480000002</v>
      </c>
      <c r="O834" s="7">
        <f t="shared" si="108"/>
        <v>0</v>
      </c>
      <c r="P834" s="14">
        <f t="shared" si="109"/>
        <v>0</v>
      </c>
      <c r="Q834" s="14">
        <f t="shared" si="110"/>
        <v>786.13698266666677</v>
      </c>
      <c r="R834" s="4">
        <f t="shared" si="111"/>
        <v>0</v>
      </c>
      <c r="S834" s="14">
        <f t="shared" si="112"/>
        <v>44498.31977358491</v>
      </c>
      <c r="T834" s="4">
        <f t="shared" si="113"/>
        <v>55.000000000000007</v>
      </c>
      <c r="U834" s="3">
        <f>LEN(A834) - LEN(SUBSTITUTE(A834,"&gt;","")) +1</f>
        <v>5</v>
      </c>
      <c r="V834" s="8">
        <f t="shared" si="114"/>
        <v>0</v>
      </c>
      <c r="W834" s="14">
        <f t="shared" si="115"/>
        <v>471.68218960000002</v>
      </c>
      <c r="X834" s="4">
        <f t="shared" si="116"/>
        <v>0</v>
      </c>
    </row>
    <row r="835" spans="1:24" ht="14.25" customHeight="1" x14ac:dyDescent="0.2">
      <c r="A835" s="5" t="s">
        <v>2179</v>
      </c>
      <c r="B835" s="3" t="s">
        <v>24</v>
      </c>
      <c r="C835" s="3" t="s">
        <v>35</v>
      </c>
      <c r="D835" s="3" t="s">
        <v>2349</v>
      </c>
      <c r="E835" s="3" t="s">
        <v>2350</v>
      </c>
      <c r="F835" s="3" t="s">
        <v>1244</v>
      </c>
      <c r="G835" s="3" t="s">
        <v>33</v>
      </c>
      <c r="H835" s="3" t="s">
        <v>114</v>
      </c>
      <c r="I835" s="3">
        <v>766</v>
      </c>
      <c r="J835" s="3">
        <v>0</v>
      </c>
      <c r="K835" s="3">
        <v>380</v>
      </c>
      <c r="L835" s="3">
        <v>557</v>
      </c>
      <c r="M835" s="3">
        <v>2</v>
      </c>
      <c r="N835" s="14">
        <v>2349.2580170000001</v>
      </c>
      <c r="O835" s="7">
        <f t="shared" ref="O835:O898" si="117">IFERROR((J835/I835)*100, 0)</f>
        <v>0</v>
      </c>
      <c r="P835" s="14">
        <f t="shared" ref="P835:P898" si="118">IFERROR(N835/J835, 0)</f>
        <v>0</v>
      </c>
      <c r="Q835" s="14">
        <f t="shared" ref="Q835:Q898" si="119">IFERROR(N835/M835, 0)</f>
        <v>1174.6290085000001</v>
      </c>
      <c r="R835" s="4">
        <f t="shared" ref="R835:R898" si="120">IFERROR((M835/J835)*100, 0)</f>
        <v>0</v>
      </c>
      <c r="S835" s="14">
        <f t="shared" ref="S835:S898" si="121">IFERROR((N835/L835)*1000, 0)</f>
        <v>4217.6984147217245</v>
      </c>
      <c r="T835" s="4">
        <f t="shared" ref="T835:T898" si="122">(K835/I835)*100</f>
        <v>49.608355091383807</v>
      </c>
      <c r="U835" s="3">
        <f>LEN(A835) - LEN(SUBSTITUTE(A835,"&gt;","")) +1</f>
        <v>4</v>
      </c>
      <c r="V835" s="8">
        <f t="shared" ref="V835:V898" si="123">R835/I835</f>
        <v>0</v>
      </c>
      <c r="W835" s="14">
        <f t="shared" ref="W835:W898" si="124">N835/U835</f>
        <v>587.31450425000003</v>
      </c>
      <c r="X835" s="4">
        <f t="shared" ref="X835:X898" si="125">(O835*R835/Q835)</f>
        <v>0</v>
      </c>
    </row>
    <row r="836" spans="1:24" ht="14.25" customHeight="1" x14ac:dyDescent="0.2">
      <c r="A836" s="5" t="s">
        <v>2180</v>
      </c>
      <c r="B836" s="3" t="s">
        <v>14</v>
      </c>
      <c r="C836" s="3" t="s">
        <v>32</v>
      </c>
      <c r="D836" s="3" t="s">
        <v>2349</v>
      </c>
      <c r="E836" s="3" t="s">
        <v>2350</v>
      </c>
      <c r="F836" s="3" t="s">
        <v>1246</v>
      </c>
      <c r="G836" s="3" t="s">
        <v>38</v>
      </c>
      <c r="H836" s="3" t="s">
        <v>19</v>
      </c>
      <c r="I836" s="3">
        <v>343</v>
      </c>
      <c r="J836" s="3">
        <v>0</v>
      </c>
      <c r="K836" s="3">
        <v>239</v>
      </c>
      <c r="L836" s="3">
        <v>322</v>
      </c>
      <c r="M836" s="3">
        <v>3</v>
      </c>
      <c r="N836" s="14">
        <v>2300.5029589999999</v>
      </c>
      <c r="O836" s="7">
        <f t="shared" si="117"/>
        <v>0</v>
      </c>
      <c r="P836" s="14">
        <f t="shared" si="118"/>
        <v>0</v>
      </c>
      <c r="Q836" s="14">
        <f t="shared" si="119"/>
        <v>766.8343196666666</v>
      </c>
      <c r="R836" s="4">
        <f t="shared" si="120"/>
        <v>0</v>
      </c>
      <c r="S836" s="14">
        <f t="shared" si="121"/>
        <v>7144.4191273291926</v>
      </c>
      <c r="T836" s="4">
        <f t="shared" si="122"/>
        <v>69.679300291545189</v>
      </c>
      <c r="U836" s="3">
        <f>LEN(A836) - LEN(SUBSTITUTE(A836,"&gt;","")) +1</f>
        <v>4</v>
      </c>
      <c r="V836" s="8">
        <f t="shared" si="123"/>
        <v>0</v>
      </c>
      <c r="W836" s="14">
        <f t="shared" si="124"/>
        <v>575.12573974999998</v>
      </c>
      <c r="X836" s="4">
        <f t="shared" si="125"/>
        <v>0</v>
      </c>
    </row>
    <row r="837" spans="1:24" ht="14.25" customHeight="1" x14ac:dyDescent="0.2">
      <c r="A837" s="5" t="s">
        <v>2181</v>
      </c>
      <c r="B837" s="3" t="s">
        <v>24</v>
      </c>
      <c r="C837" s="3" t="s">
        <v>32</v>
      </c>
      <c r="D837" s="3" t="s">
        <v>2349</v>
      </c>
      <c r="E837" s="3" t="s">
        <v>2350</v>
      </c>
      <c r="F837" s="3" t="s">
        <v>244</v>
      </c>
      <c r="G837" s="3" t="s">
        <v>27</v>
      </c>
      <c r="H837" s="3" t="s">
        <v>114</v>
      </c>
      <c r="I837" s="3">
        <v>665</v>
      </c>
      <c r="J837" s="3">
        <v>0</v>
      </c>
      <c r="K837" s="3">
        <v>236</v>
      </c>
      <c r="L837" s="3">
        <v>504</v>
      </c>
      <c r="M837" s="3">
        <v>2</v>
      </c>
      <c r="N837" s="14">
        <v>2294.4872340000002</v>
      </c>
      <c r="O837" s="7">
        <f t="shared" si="117"/>
        <v>0</v>
      </c>
      <c r="P837" s="14">
        <f t="shared" si="118"/>
        <v>0</v>
      </c>
      <c r="Q837" s="14">
        <f t="shared" si="119"/>
        <v>1147.2436170000001</v>
      </c>
      <c r="R837" s="4">
        <f t="shared" si="120"/>
        <v>0</v>
      </c>
      <c r="S837" s="14">
        <f t="shared" si="121"/>
        <v>4552.5540357142863</v>
      </c>
      <c r="T837" s="4">
        <f t="shared" si="122"/>
        <v>35.488721804511279</v>
      </c>
      <c r="U837" s="3">
        <f>LEN(A837) - LEN(SUBSTITUTE(A837,"&gt;","")) +1</f>
        <v>4</v>
      </c>
      <c r="V837" s="8">
        <f t="shared" si="123"/>
        <v>0</v>
      </c>
      <c r="W837" s="14">
        <f t="shared" si="124"/>
        <v>573.62180850000004</v>
      </c>
      <c r="X837" s="4">
        <f t="shared" si="125"/>
        <v>0</v>
      </c>
    </row>
    <row r="838" spans="1:24" ht="14.25" customHeight="1" x14ac:dyDescent="0.2">
      <c r="A838" s="5" t="s">
        <v>1504</v>
      </c>
      <c r="B838" s="3" t="s">
        <v>14</v>
      </c>
      <c r="C838" s="3" t="s">
        <v>15</v>
      </c>
      <c r="D838" s="3" t="s">
        <v>2349</v>
      </c>
      <c r="E838" s="3" t="s">
        <v>2350</v>
      </c>
      <c r="F838" s="3" t="s">
        <v>1189</v>
      </c>
      <c r="G838" s="3" t="s">
        <v>27</v>
      </c>
      <c r="H838" s="3" t="s">
        <v>19</v>
      </c>
      <c r="I838" s="3">
        <v>1163</v>
      </c>
      <c r="J838" s="3">
        <v>0</v>
      </c>
      <c r="K838" s="3">
        <v>924</v>
      </c>
      <c r="L838" s="3">
        <v>1092</v>
      </c>
      <c r="M838" s="3">
        <v>2</v>
      </c>
      <c r="N838" s="14">
        <v>2284.349866</v>
      </c>
      <c r="O838" s="7">
        <f t="shared" si="117"/>
        <v>0</v>
      </c>
      <c r="P838" s="14">
        <f t="shared" si="118"/>
        <v>0</v>
      </c>
      <c r="Q838" s="14">
        <f t="shared" si="119"/>
        <v>1142.174933</v>
      </c>
      <c r="R838" s="4">
        <f t="shared" si="120"/>
        <v>0</v>
      </c>
      <c r="S838" s="14">
        <f t="shared" si="121"/>
        <v>2091.8954816849819</v>
      </c>
      <c r="T838" s="4">
        <f t="shared" si="122"/>
        <v>79.449699054170253</v>
      </c>
      <c r="U838" s="3">
        <f>LEN(A838) - LEN(SUBSTITUTE(A838,"&gt;","")) +1</f>
        <v>2</v>
      </c>
      <c r="V838" s="8">
        <f t="shared" si="123"/>
        <v>0</v>
      </c>
      <c r="W838" s="14">
        <f t="shared" si="124"/>
        <v>1142.174933</v>
      </c>
      <c r="X838" s="4">
        <f t="shared" si="125"/>
        <v>0</v>
      </c>
    </row>
    <row r="839" spans="1:24" ht="14.25" customHeight="1" x14ac:dyDescent="0.2">
      <c r="A839" s="5" t="s">
        <v>2182</v>
      </c>
      <c r="B839" s="3" t="s">
        <v>24</v>
      </c>
      <c r="C839" s="3" t="s">
        <v>15</v>
      </c>
      <c r="D839" s="3" t="s">
        <v>2362</v>
      </c>
      <c r="E839" s="3" t="s">
        <v>2352</v>
      </c>
      <c r="F839" s="3" t="s">
        <v>1010</v>
      </c>
      <c r="G839" s="3" t="s">
        <v>27</v>
      </c>
      <c r="H839" s="3" t="s">
        <v>19</v>
      </c>
      <c r="I839" s="3">
        <v>4283</v>
      </c>
      <c r="J839" s="3">
        <v>0</v>
      </c>
      <c r="K839" s="3">
        <v>3231</v>
      </c>
      <c r="L839" s="3">
        <v>4078</v>
      </c>
      <c r="M839" s="3">
        <v>11</v>
      </c>
      <c r="N839" s="14">
        <v>2253.7511800000002</v>
      </c>
      <c r="O839" s="7">
        <f t="shared" si="117"/>
        <v>0</v>
      </c>
      <c r="P839" s="14">
        <f t="shared" si="118"/>
        <v>0</v>
      </c>
      <c r="Q839" s="14">
        <f t="shared" si="119"/>
        <v>204.88647090909092</v>
      </c>
      <c r="R839" s="4">
        <f t="shared" si="120"/>
        <v>0</v>
      </c>
      <c r="S839" s="14">
        <f t="shared" si="121"/>
        <v>552.66090730750375</v>
      </c>
      <c r="T839" s="4">
        <f t="shared" si="122"/>
        <v>75.437777258930666</v>
      </c>
      <c r="U839" s="3">
        <f>LEN(A839) - LEN(SUBSTITUTE(A839,"&gt;","")) +1</f>
        <v>4</v>
      </c>
      <c r="V839" s="8">
        <f t="shared" si="123"/>
        <v>0</v>
      </c>
      <c r="W839" s="14">
        <f t="shared" si="124"/>
        <v>563.43779500000005</v>
      </c>
      <c r="X839" s="4">
        <f t="shared" si="125"/>
        <v>0</v>
      </c>
    </row>
    <row r="840" spans="1:24" ht="14.25" customHeight="1" x14ac:dyDescent="0.2">
      <c r="A840" s="5" t="s">
        <v>2183</v>
      </c>
      <c r="B840" s="3" t="s">
        <v>24</v>
      </c>
      <c r="C840" s="3" t="s">
        <v>32</v>
      </c>
      <c r="D840" s="3" t="s">
        <v>2362</v>
      </c>
      <c r="E840" s="3" t="s">
        <v>2352</v>
      </c>
      <c r="F840" s="3" t="s">
        <v>48</v>
      </c>
      <c r="G840" s="3" t="s">
        <v>27</v>
      </c>
      <c r="H840" s="3" t="s">
        <v>19</v>
      </c>
      <c r="I840" s="3">
        <v>12988</v>
      </c>
      <c r="J840" s="3">
        <v>0</v>
      </c>
      <c r="K840" s="3">
        <v>6514</v>
      </c>
      <c r="L840" s="3">
        <v>9378</v>
      </c>
      <c r="M840" s="3">
        <v>1</v>
      </c>
      <c r="N840" s="14">
        <v>2236.485099</v>
      </c>
      <c r="O840" s="7">
        <f t="shared" si="117"/>
        <v>0</v>
      </c>
      <c r="P840" s="14">
        <f t="shared" si="118"/>
        <v>0</v>
      </c>
      <c r="Q840" s="14">
        <f t="shared" si="119"/>
        <v>2236.485099</v>
      </c>
      <c r="R840" s="4">
        <f t="shared" si="120"/>
        <v>0</v>
      </c>
      <c r="S840" s="14">
        <f t="shared" si="121"/>
        <v>238.48209628918747</v>
      </c>
      <c r="T840" s="4">
        <f t="shared" si="122"/>
        <v>50.153988296889437</v>
      </c>
      <c r="U840" s="3">
        <f>LEN(A840) - LEN(SUBSTITUTE(A840,"&gt;","")) +1</f>
        <v>6</v>
      </c>
      <c r="V840" s="8">
        <f t="shared" si="123"/>
        <v>0</v>
      </c>
      <c r="W840" s="14">
        <f t="shared" si="124"/>
        <v>372.74751650000002</v>
      </c>
      <c r="X840" s="4">
        <f t="shared" si="125"/>
        <v>0</v>
      </c>
    </row>
    <row r="841" spans="1:24" ht="14.25" customHeight="1" x14ac:dyDescent="0.2">
      <c r="A841" s="5" t="s">
        <v>2184</v>
      </c>
      <c r="B841" s="3" t="s">
        <v>68</v>
      </c>
      <c r="C841" s="3" t="s">
        <v>15</v>
      </c>
      <c r="D841" s="3" t="s">
        <v>2368</v>
      </c>
      <c r="E841" s="3" t="s">
        <v>2352</v>
      </c>
      <c r="F841" s="3" t="s">
        <v>1252</v>
      </c>
      <c r="G841" s="3" t="s">
        <v>22</v>
      </c>
      <c r="H841" s="3" t="s">
        <v>19</v>
      </c>
      <c r="I841" s="3">
        <v>2704</v>
      </c>
      <c r="J841" s="3">
        <v>0</v>
      </c>
      <c r="K841" s="3">
        <v>579</v>
      </c>
      <c r="L841" s="3">
        <v>2184</v>
      </c>
      <c r="M841" s="3">
        <v>11</v>
      </c>
      <c r="N841" s="14">
        <v>2202.3477790000002</v>
      </c>
      <c r="O841" s="7">
        <f t="shared" si="117"/>
        <v>0</v>
      </c>
      <c r="P841" s="14">
        <f t="shared" si="118"/>
        <v>0</v>
      </c>
      <c r="Q841" s="14">
        <f t="shared" si="119"/>
        <v>200.21343445454548</v>
      </c>
      <c r="R841" s="4">
        <f t="shared" si="120"/>
        <v>0</v>
      </c>
      <c r="S841" s="14">
        <f t="shared" si="121"/>
        <v>1008.4009977106227</v>
      </c>
      <c r="T841" s="4">
        <f t="shared" si="122"/>
        <v>21.412721893491124</v>
      </c>
      <c r="U841" s="3">
        <f>LEN(A841) - LEN(SUBSTITUTE(A841,"&gt;","")) +1</f>
        <v>4</v>
      </c>
      <c r="V841" s="8">
        <f t="shared" si="123"/>
        <v>0</v>
      </c>
      <c r="W841" s="14">
        <f t="shared" si="124"/>
        <v>550.58694475000004</v>
      </c>
      <c r="X841" s="4">
        <f t="shared" si="125"/>
        <v>0</v>
      </c>
    </row>
    <row r="842" spans="1:24" ht="14.25" customHeight="1" x14ac:dyDescent="0.2">
      <c r="A842" s="5" t="s">
        <v>2185</v>
      </c>
      <c r="B842" s="3" t="s">
        <v>14</v>
      </c>
      <c r="C842" s="3" t="s">
        <v>35</v>
      </c>
      <c r="D842" s="3" t="s">
        <v>2378</v>
      </c>
      <c r="E842" s="3" t="s">
        <v>2352</v>
      </c>
      <c r="F842" s="3" t="s">
        <v>136</v>
      </c>
      <c r="G842" s="3" t="s">
        <v>27</v>
      </c>
      <c r="H842" s="3" t="s">
        <v>19</v>
      </c>
      <c r="I842" s="3">
        <v>17752</v>
      </c>
      <c r="J842" s="3">
        <v>0</v>
      </c>
      <c r="K842" s="3">
        <v>5855</v>
      </c>
      <c r="L842" s="3">
        <v>15753</v>
      </c>
      <c r="M842" s="3">
        <v>1</v>
      </c>
      <c r="N842" s="14">
        <v>2200.297094</v>
      </c>
      <c r="O842" s="7">
        <f t="shared" si="117"/>
        <v>0</v>
      </c>
      <c r="P842" s="14">
        <f t="shared" si="118"/>
        <v>0</v>
      </c>
      <c r="Q842" s="14">
        <f t="shared" si="119"/>
        <v>2200.297094</v>
      </c>
      <c r="R842" s="4">
        <f t="shared" si="120"/>
        <v>0</v>
      </c>
      <c r="S842" s="14">
        <f t="shared" si="121"/>
        <v>139.67479807020885</v>
      </c>
      <c r="T842" s="4">
        <f t="shared" si="122"/>
        <v>32.982199188823799</v>
      </c>
      <c r="U842" s="3">
        <f>LEN(A842) - LEN(SUBSTITUTE(A842,"&gt;","")) +1</f>
        <v>5</v>
      </c>
      <c r="V842" s="8">
        <f t="shared" si="123"/>
        <v>0</v>
      </c>
      <c r="W842" s="14">
        <f t="shared" si="124"/>
        <v>440.0594188</v>
      </c>
      <c r="X842" s="4">
        <f t="shared" si="125"/>
        <v>0</v>
      </c>
    </row>
    <row r="843" spans="1:24" ht="14.25" customHeight="1" x14ac:dyDescent="0.2">
      <c r="A843" s="5" t="s">
        <v>2186</v>
      </c>
      <c r="B843" s="3" t="s">
        <v>24</v>
      </c>
      <c r="C843" s="3" t="s">
        <v>29</v>
      </c>
      <c r="D843" s="3" t="s">
        <v>2397</v>
      </c>
      <c r="E843" s="3" t="s">
        <v>2360</v>
      </c>
      <c r="F843" s="3" t="s">
        <v>1255</v>
      </c>
      <c r="G843" s="3" t="s">
        <v>38</v>
      </c>
      <c r="H843" s="3" t="s">
        <v>19</v>
      </c>
      <c r="I843" s="3">
        <v>177</v>
      </c>
      <c r="J843" s="3">
        <v>0</v>
      </c>
      <c r="K843" s="3">
        <v>80</v>
      </c>
      <c r="L843" s="3">
        <v>155</v>
      </c>
      <c r="M843" s="3">
        <v>10</v>
      </c>
      <c r="N843" s="14">
        <v>2192.5613130000002</v>
      </c>
      <c r="O843" s="7">
        <f t="shared" si="117"/>
        <v>0</v>
      </c>
      <c r="P843" s="14">
        <f t="shared" si="118"/>
        <v>0</v>
      </c>
      <c r="Q843" s="14">
        <f t="shared" si="119"/>
        <v>219.25613130000002</v>
      </c>
      <c r="R843" s="4">
        <f t="shared" si="120"/>
        <v>0</v>
      </c>
      <c r="S843" s="14">
        <f t="shared" si="121"/>
        <v>14145.556858064516</v>
      </c>
      <c r="T843" s="4">
        <f t="shared" si="122"/>
        <v>45.197740112994353</v>
      </c>
      <c r="U843" s="3">
        <f>LEN(A843) - LEN(SUBSTITUTE(A843,"&gt;","")) +1</f>
        <v>4</v>
      </c>
      <c r="V843" s="8">
        <f t="shared" si="123"/>
        <v>0</v>
      </c>
      <c r="W843" s="14">
        <f t="shared" si="124"/>
        <v>548.14032825000004</v>
      </c>
      <c r="X843" s="4">
        <f t="shared" si="125"/>
        <v>0</v>
      </c>
    </row>
    <row r="844" spans="1:24" ht="14.25" customHeight="1" x14ac:dyDescent="0.2">
      <c r="A844" s="5" t="s">
        <v>2187</v>
      </c>
      <c r="B844" s="3" t="s">
        <v>24</v>
      </c>
      <c r="C844" s="3" t="s">
        <v>29</v>
      </c>
      <c r="D844" s="3" t="s">
        <v>2367</v>
      </c>
      <c r="E844" s="3" t="s">
        <v>2352</v>
      </c>
      <c r="F844" s="3" t="s">
        <v>1257</v>
      </c>
      <c r="G844" s="3" t="s">
        <v>58</v>
      </c>
      <c r="H844" s="3" t="s">
        <v>114</v>
      </c>
      <c r="I844" s="3">
        <v>31</v>
      </c>
      <c r="J844" s="3">
        <v>0</v>
      </c>
      <c r="K844" s="3">
        <v>24</v>
      </c>
      <c r="L844" s="3">
        <v>29</v>
      </c>
      <c r="M844" s="3">
        <v>2</v>
      </c>
      <c r="N844" s="14">
        <v>2180.6744709999998</v>
      </c>
      <c r="O844" s="7">
        <f t="shared" si="117"/>
        <v>0</v>
      </c>
      <c r="P844" s="14">
        <f t="shared" si="118"/>
        <v>0</v>
      </c>
      <c r="Q844" s="14">
        <f t="shared" si="119"/>
        <v>1090.3372354999999</v>
      </c>
      <c r="R844" s="4">
        <f t="shared" si="120"/>
        <v>0</v>
      </c>
      <c r="S844" s="14">
        <f t="shared" si="121"/>
        <v>75195.671413793098</v>
      </c>
      <c r="T844" s="4">
        <f t="shared" si="122"/>
        <v>77.41935483870968</v>
      </c>
      <c r="U844" s="3">
        <f>LEN(A844) - LEN(SUBSTITUTE(A844,"&gt;","")) +1</f>
        <v>5</v>
      </c>
      <c r="V844" s="8">
        <f t="shared" si="123"/>
        <v>0</v>
      </c>
      <c r="W844" s="14">
        <f t="shared" si="124"/>
        <v>436.13489419999996</v>
      </c>
      <c r="X844" s="4">
        <f t="shared" si="125"/>
        <v>0</v>
      </c>
    </row>
    <row r="845" spans="1:24" ht="14.25" customHeight="1" x14ac:dyDescent="0.2">
      <c r="A845" s="5" t="s">
        <v>2188</v>
      </c>
      <c r="B845" s="3" t="s">
        <v>24</v>
      </c>
      <c r="C845" s="3" t="s">
        <v>29</v>
      </c>
      <c r="D845" s="3" t="s">
        <v>2349</v>
      </c>
      <c r="E845" s="3" t="s">
        <v>2350</v>
      </c>
      <c r="F845" s="3" t="s">
        <v>63</v>
      </c>
      <c r="G845" s="3" t="s">
        <v>76</v>
      </c>
      <c r="H845" s="3" t="s">
        <v>19</v>
      </c>
      <c r="I845" s="3">
        <v>45402</v>
      </c>
      <c r="J845" s="3">
        <v>0</v>
      </c>
      <c r="K845" s="3">
        <v>17284</v>
      </c>
      <c r="L845" s="3">
        <v>27542</v>
      </c>
      <c r="M845" s="3">
        <v>3</v>
      </c>
      <c r="N845" s="14">
        <v>2163.2653460000001</v>
      </c>
      <c r="O845" s="7">
        <f t="shared" si="117"/>
        <v>0</v>
      </c>
      <c r="P845" s="14">
        <f t="shared" si="118"/>
        <v>0</v>
      </c>
      <c r="Q845" s="14">
        <f t="shared" si="119"/>
        <v>721.08844866666675</v>
      </c>
      <c r="R845" s="4">
        <f t="shared" si="120"/>
        <v>0</v>
      </c>
      <c r="S845" s="14">
        <f t="shared" si="121"/>
        <v>78.544235930578751</v>
      </c>
      <c r="T845" s="4">
        <f t="shared" si="122"/>
        <v>38.068807541517998</v>
      </c>
      <c r="U845" s="3">
        <f>LEN(A845) - LEN(SUBSTITUTE(A845,"&gt;","")) +1</f>
        <v>2</v>
      </c>
      <c r="V845" s="8">
        <f t="shared" si="123"/>
        <v>0</v>
      </c>
      <c r="W845" s="14">
        <f t="shared" si="124"/>
        <v>1081.6326730000001</v>
      </c>
      <c r="X845" s="4">
        <f t="shared" si="125"/>
        <v>0</v>
      </c>
    </row>
    <row r="846" spans="1:24" ht="14.25" customHeight="1" x14ac:dyDescent="0.2">
      <c r="A846" s="5" t="s">
        <v>2189</v>
      </c>
      <c r="B846" s="3" t="s">
        <v>14</v>
      </c>
      <c r="C846" s="3" t="s">
        <v>32</v>
      </c>
      <c r="D846" s="3" t="s">
        <v>2353</v>
      </c>
      <c r="E846" s="3" t="s">
        <v>2354</v>
      </c>
      <c r="F846" s="3" t="s">
        <v>1260</v>
      </c>
      <c r="G846" s="3" t="s">
        <v>27</v>
      </c>
      <c r="H846" s="3" t="s">
        <v>19</v>
      </c>
      <c r="I846" s="3">
        <v>7220</v>
      </c>
      <c r="J846" s="3">
        <v>0</v>
      </c>
      <c r="K846" s="3">
        <v>4201</v>
      </c>
      <c r="L846" s="3">
        <v>6207</v>
      </c>
      <c r="M846" s="3">
        <v>1</v>
      </c>
      <c r="N846" s="14">
        <v>2148.2261319999998</v>
      </c>
      <c r="O846" s="7">
        <f t="shared" si="117"/>
        <v>0</v>
      </c>
      <c r="P846" s="14">
        <f t="shared" si="118"/>
        <v>0</v>
      </c>
      <c r="Q846" s="14">
        <f t="shared" si="119"/>
        <v>2148.2261319999998</v>
      </c>
      <c r="R846" s="4">
        <f t="shared" si="120"/>
        <v>0</v>
      </c>
      <c r="S846" s="14">
        <f t="shared" si="121"/>
        <v>346.09733075559853</v>
      </c>
      <c r="T846" s="4">
        <f t="shared" si="122"/>
        <v>58.185595567867033</v>
      </c>
      <c r="U846" s="3">
        <f>LEN(A846) - LEN(SUBSTITUTE(A846,"&gt;","")) +1</f>
        <v>4</v>
      </c>
      <c r="V846" s="8">
        <f t="shared" si="123"/>
        <v>0</v>
      </c>
      <c r="W846" s="14">
        <f t="shared" si="124"/>
        <v>537.05653299999994</v>
      </c>
      <c r="X846" s="4">
        <f t="shared" si="125"/>
        <v>0</v>
      </c>
    </row>
    <row r="847" spans="1:24" ht="14.25" customHeight="1" x14ac:dyDescent="0.2">
      <c r="A847" s="5" t="s">
        <v>2190</v>
      </c>
      <c r="B847" s="3" t="s">
        <v>24</v>
      </c>
      <c r="C847" s="3" t="s">
        <v>35</v>
      </c>
      <c r="D847" s="3" t="s">
        <v>2378</v>
      </c>
      <c r="E847" s="3" t="s">
        <v>2352</v>
      </c>
      <c r="F847" s="3" t="s">
        <v>57</v>
      </c>
      <c r="G847" s="3" t="s">
        <v>27</v>
      </c>
      <c r="H847" s="3" t="s">
        <v>163</v>
      </c>
      <c r="I847" s="3">
        <v>17049</v>
      </c>
      <c r="J847" s="3">
        <v>0</v>
      </c>
      <c r="K847" s="3">
        <v>191</v>
      </c>
      <c r="L847" s="3">
        <v>15564</v>
      </c>
      <c r="M847" s="3">
        <v>15</v>
      </c>
      <c r="N847" s="14">
        <v>2144.489587</v>
      </c>
      <c r="O847" s="7">
        <f t="shared" si="117"/>
        <v>0</v>
      </c>
      <c r="P847" s="14">
        <f t="shared" si="118"/>
        <v>0</v>
      </c>
      <c r="Q847" s="14">
        <f t="shared" si="119"/>
        <v>142.96597246666667</v>
      </c>
      <c r="R847" s="4">
        <f t="shared" si="120"/>
        <v>0</v>
      </c>
      <c r="S847" s="14">
        <f t="shared" si="121"/>
        <v>137.78524717296327</v>
      </c>
      <c r="T847" s="4">
        <f t="shared" si="122"/>
        <v>1.1203003108686727</v>
      </c>
      <c r="U847" s="3">
        <f>LEN(A847) - LEN(SUBSTITUTE(A847,"&gt;","")) +1</f>
        <v>5</v>
      </c>
      <c r="V847" s="8">
        <f t="shared" si="123"/>
        <v>0</v>
      </c>
      <c r="W847" s="14">
        <f t="shared" si="124"/>
        <v>428.89791739999998</v>
      </c>
      <c r="X847" s="4">
        <f t="shared" si="125"/>
        <v>0</v>
      </c>
    </row>
    <row r="848" spans="1:24" ht="14.25" customHeight="1" x14ac:dyDescent="0.2">
      <c r="A848" s="5" t="s">
        <v>2191</v>
      </c>
      <c r="B848" s="3" t="s">
        <v>14</v>
      </c>
      <c r="C848" s="3" t="s">
        <v>29</v>
      </c>
      <c r="D848" s="3" t="s">
        <v>2353</v>
      </c>
      <c r="E848" s="3" t="s">
        <v>2354</v>
      </c>
      <c r="F848" s="3" t="s">
        <v>635</v>
      </c>
      <c r="G848" s="3" t="s">
        <v>27</v>
      </c>
      <c r="H848" s="3" t="s">
        <v>19</v>
      </c>
      <c r="I848" s="3">
        <v>19212</v>
      </c>
      <c r="J848" s="3">
        <v>0</v>
      </c>
      <c r="K848" s="3">
        <v>6872</v>
      </c>
      <c r="L848" s="3">
        <v>14248</v>
      </c>
      <c r="M848" s="3">
        <v>10</v>
      </c>
      <c r="N848" s="14">
        <v>2133.0771129999998</v>
      </c>
      <c r="O848" s="7">
        <f t="shared" si="117"/>
        <v>0</v>
      </c>
      <c r="P848" s="14">
        <f t="shared" si="118"/>
        <v>0</v>
      </c>
      <c r="Q848" s="14">
        <f t="shared" si="119"/>
        <v>213.30771129999999</v>
      </c>
      <c r="R848" s="4">
        <f t="shared" si="120"/>
        <v>0</v>
      </c>
      <c r="S848" s="14">
        <f t="shared" si="121"/>
        <v>149.710633983717</v>
      </c>
      <c r="T848" s="4">
        <f t="shared" si="122"/>
        <v>35.769310847387047</v>
      </c>
      <c r="U848" s="3">
        <f>LEN(A848) - LEN(SUBSTITUTE(A848,"&gt;","")) +1</f>
        <v>2</v>
      </c>
      <c r="V848" s="8">
        <f t="shared" si="123"/>
        <v>0</v>
      </c>
      <c r="W848" s="14">
        <f t="shared" si="124"/>
        <v>1066.5385564999999</v>
      </c>
      <c r="X848" s="4">
        <f t="shared" si="125"/>
        <v>0</v>
      </c>
    </row>
    <row r="849" spans="1:24" ht="14.25" customHeight="1" x14ac:dyDescent="0.2">
      <c r="A849" s="5" t="s">
        <v>2192</v>
      </c>
      <c r="B849" s="3" t="s">
        <v>24</v>
      </c>
      <c r="C849" s="3" t="s">
        <v>29</v>
      </c>
      <c r="D849" s="3" t="s">
        <v>2353</v>
      </c>
      <c r="E849" s="3" t="s">
        <v>2354</v>
      </c>
      <c r="F849" s="3" t="s">
        <v>1264</v>
      </c>
      <c r="G849" s="3" t="s">
        <v>64</v>
      </c>
      <c r="H849" s="3" t="s">
        <v>19</v>
      </c>
      <c r="I849" s="3">
        <v>15047</v>
      </c>
      <c r="J849" s="3">
        <v>0</v>
      </c>
      <c r="K849" s="3">
        <v>5653</v>
      </c>
      <c r="L849" s="3">
        <v>14459</v>
      </c>
      <c r="M849" s="3">
        <v>1</v>
      </c>
      <c r="N849" s="14">
        <v>2127.495962</v>
      </c>
      <c r="O849" s="7">
        <f t="shared" si="117"/>
        <v>0</v>
      </c>
      <c r="P849" s="14">
        <f t="shared" si="118"/>
        <v>0</v>
      </c>
      <c r="Q849" s="14">
        <f t="shared" si="119"/>
        <v>2127.495962</v>
      </c>
      <c r="R849" s="4">
        <f t="shared" si="120"/>
        <v>0</v>
      </c>
      <c r="S849" s="14">
        <f t="shared" si="121"/>
        <v>147.13991022892318</v>
      </c>
      <c r="T849" s="4">
        <f t="shared" si="122"/>
        <v>37.568950621386321</v>
      </c>
      <c r="U849" s="3">
        <f>LEN(A849) - LEN(SUBSTITUTE(A849,"&gt;","")) +1</f>
        <v>5</v>
      </c>
      <c r="V849" s="8">
        <f t="shared" si="123"/>
        <v>0</v>
      </c>
      <c r="W849" s="14">
        <f t="shared" si="124"/>
        <v>425.49919239999997</v>
      </c>
      <c r="X849" s="4">
        <f t="shared" si="125"/>
        <v>0</v>
      </c>
    </row>
    <row r="850" spans="1:24" ht="14.25" customHeight="1" x14ac:dyDescent="0.2">
      <c r="A850" s="5" t="s">
        <v>2193</v>
      </c>
      <c r="B850" s="3" t="s">
        <v>24</v>
      </c>
      <c r="C850" s="3" t="s">
        <v>15</v>
      </c>
      <c r="D850" s="3" t="s">
        <v>2351</v>
      </c>
      <c r="E850" s="3" t="s">
        <v>2352</v>
      </c>
      <c r="F850" s="3" t="s">
        <v>1266</v>
      </c>
      <c r="G850" s="3" t="s">
        <v>27</v>
      </c>
      <c r="H850" s="3" t="s">
        <v>114</v>
      </c>
      <c r="I850" s="3">
        <v>11</v>
      </c>
      <c r="J850" s="3">
        <v>0</v>
      </c>
      <c r="K850" s="3">
        <v>0</v>
      </c>
      <c r="L850" s="3">
        <v>11</v>
      </c>
      <c r="M850" s="3">
        <v>2</v>
      </c>
      <c r="N850" s="14">
        <v>2119.764979</v>
      </c>
      <c r="O850" s="7">
        <f t="shared" si="117"/>
        <v>0</v>
      </c>
      <c r="P850" s="14">
        <f t="shared" si="118"/>
        <v>0</v>
      </c>
      <c r="Q850" s="14">
        <f t="shared" si="119"/>
        <v>1059.8824895</v>
      </c>
      <c r="R850" s="4">
        <f t="shared" si="120"/>
        <v>0</v>
      </c>
      <c r="S850" s="14">
        <f t="shared" si="121"/>
        <v>192705.90718181818</v>
      </c>
      <c r="T850" s="4">
        <f t="shared" si="122"/>
        <v>0</v>
      </c>
      <c r="U850" s="3">
        <f>LEN(A850) - LEN(SUBSTITUTE(A850,"&gt;","")) +1</f>
        <v>6</v>
      </c>
      <c r="V850" s="8">
        <f t="shared" si="123"/>
        <v>0</v>
      </c>
      <c r="W850" s="14">
        <f t="shared" si="124"/>
        <v>353.29416316666669</v>
      </c>
      <c r="X850" s="4">
        <f t="shared" si="125"/>
        <v>0</v>
      </c>
    </row>
    <row r="851" spans="1:24" ht="14.25" customHeight="1" x14ac:dyDescent="0.2">
      <c r="A851" s="5" t="s">
        <v>2194</v>
      </c>
      <c r="B851" s="3" t="s">
        <v>14</v>
      </c>
      <c r="C851" s="3" t="s">
        <v>15</v>
      </c>
      <c r="D851" s="3" t="s">
        <v>2359</v>
      </c>
      <c r="E851" s="3" t="s">
        <v>2360</v>
      </c>
      <c r="F851" s="3" t="s">
        <v>1268</v>
      </c>
      <c r="G851" s="3" t="s">
        <v>27</v>
      </c>
      <c r="H851" s="3" t="s">
        <v>19</v>
      </c>
      <c r="I851" s="3">
        <v>145</v>
      </c>
      <c r="J851" s="3">
        <v>0</v>
      </c>
      <c r="K851" s="3">
        <v>88</v>
      </c>
      <c r="L851" s="3">
        <v>115</v>
      </c>
      <c r="M851" s="3">
        <v>15</v>
      </c>
      <c r="N851" s="14">
        <v>2088.9519270000001</v>
      </c>
      <c r="O851" s="7">
        <f t="shared" si="117"/>
        <v>0</v>
      </c>
      <c r="P851" s="14">
        <f t="shared" si="118"/>
        <v>0</v>
      </c>
      <c r="Q851" s="14">
        <f t="shared" si="119"/>
        <v>139.26346180000002</v>
      </c>
      <c r="R851" s="4">
        <f t="shared" si="120"/>
        <v>0</v>
      </c>
      <c r="S851" s="14">
        <f t="shared" si="121"/>
        <v>18164.79936521739</v>
      </c>
      <c r="T851" s="4">
        <f t="shared" si="122"/>
        <v>60.689655172413794</v>
      </c>
      <c r="U851" s="3">
        <f>LEN(A851) - LEN(SUBSTITUTE(A851,"&gt;","")) +1</f>
        <v>3</v>
      </c>
      <c r="V851" s="8">
        <f t="shared" si="123"/>
        <v>0</v>
      </c>
      <c r="W851" s="14">
        <f t="shared" si="124"/>
        <v>696.31730900000002</v>
      </c>
      <c r="X851" s="4">
        <f t="shared" si="125"/>
        <v>0</v>
      </c>
    </row>
    <row r="852" spans="1:24" ht="14.25" customHeight="1" x14ac:dyDescent="0.2">
      <c r="A852" s="5" t="s">
        <v>2195</v>
      </c>
      <c r="B852" s="3" t="s">
        <v>14</v>
      </c>
      <c r="C852" s="3" t="s">
        <v>29</v>
      </c>
      <c r="D852" s="3" t="s">
        <v>2349</v>
      </c>
      <c r="E852" s="3" t="s">
        <v>2350</v>
      </c>
      <c r="F852" s="3" t="s">
        <v>1210</v>
      </c>
      <c r="G852" s="3" t="s">
        <v>22</v>
      </c>
      <c r="H852" s="3" t="s">
        <v>19</v>
      </c>
      <c r="I852" s="3">
        <v>603</v>
      </c>
      <c r="J852" s="3">
        <v>0</v>
      </c>
      <c r="K852" s="3">
        <v>461</v>
      </c>
      <c r="L852" s="3">
        <v>519</v>
      </c>
      <c r="M852" s="3">
        <v>2</v>
      </c>
      <c r="N852" s="14">
        <v>2075.8729669999998</v>
      </c>
      <c r="O852" s="7">
        <f t="shared" si="117"/>
        <v>0</v>
      </c>
      <c r="P852" s="14">
        <f t="shared" si="118"/>
        <v>0</v>
      </c>
      <c r="Q852" s="14">
        <f t="shared" si="119"/>
        <v>1037.9364834999999</v>
      </c>
      <c r="R852" s="4">
        <f t="shared" si="120"/>
        <v>0</v>
      </c>
      <c r="S852" s="14">
        <f t="shared" si="121"/>
        <v>3999.7552350674368</v>
      </c>
      <c r="T852" s="4">
        <f t="shared" si="122"/>
        <v>76.451077943615246</v>
      </c>
      <c r="U852" s="3">
        <f>LEN(A852) - LEN(SUBSTITUTE(A852,"&gt;","")) +1</f>
        <v>4</v>
      </c>
      <c r="V852" s="8">
        <f t="shared" si="123"/>
        <v>0</v>
      </c>
      <c r="W852" s="14">
        <f t="shared" si="124"/>
        <v>518.96824174999995</v>
      </c>
      <c r="X852" s="4">
        <f t="shared" si="125"/>
        <v>0</v>
      </c>
    </row>
    <row r="853" spans="1:24" ht="14.25" customHeight="1" x14ac:dyDescent="0.2">
      <c r="A853" s="5" t="s">
        <v>2196</v>
      </c>
      <c r="B853" s="3" t="s">
        <v>14</v>
      </c>
      <c r="C853" s="3" t="s">
        <v>29</v>
      </c>
      <c r="D853" s="3" t="s">
        <v>2362</v>
      </c>
      <c r="E853" s="3" t="s">
        <v>2352</v>
      </c>
      <c r="F853" s="3" t="s">
        <v>1271</v>
      </c>
      <c r="G853" s="3" t="s">
        <v>27</v>
      </c>
      <c r="H853" s="3" t="s">
        <v>19</v>
      </c>
      <c r="I853" s="3">
        <v>10</v>
      </c>
      <c r="J853" s="3">
        <v>0</v>
      </c>
      <c r="K853" s="3">
        <v>3</v>
      </c>
      <c r="L853" s="3">
        <v>10</v>
      </c>
      <c r="M853" s="3">
        <v>2</v>
      </c>
      <c r="N853" s="14">
        <v>2063.9158980000002</v>
      </c>
      <c r="O853" s="7">
        <f t="shared" si="117"/>
        <v>0</v>
      </c>
      <c r="P853" s="14">
        <f t="shared" si="118"/>
        <v>0</v>
      </c>
      <c r="Q853" s="14">
        <f t="shared" si="119"/>
        <v>1031.9579490000001</v>
      </c>
      <c r="R853" s="4">
        <f t="shared" si="120"/>
        <v>0</v>
      </c>
      <c r="S853" s="14">
        <f t="shared" si="121"/>
        <v>206391.58980000002</v>
      </c>
      <c r="T853" s="4">
        <f t="shared" si="122"/>
        <v>30</v>
      </c>
      <c r="U853" s="3">
        <f>LEN(A853) - LEN(SUBSTITUTE(A853,"&gt;","")) +1</f>
        <v>3</v>
      </c>
      <c r="V853" s="8">
        <f t="shared" si="123"/>
        <v>0</v>
      </c>
      <c r="W853" s="14">
        <f t="shared" si="124"/>
        <v>687.97196600000007</v>
      </c>
      <c r="X853" s="4">
        <f t="shared" si="125"/>
        <v>0</v>
      </c>
    </row>
    <row r="854" spans="1:24" ht="14.25" customHeight="1" x14ac:dyDescent="0.2">
      <c r="A854" s="5" t="s">
        <v>2197</v>
      </c>
      <c r="B854" s="3" t="s">
        <v>24</v>
      </c>
      <c r="C854" s="3" t="s">
        <v>35</v>
      </c>
      <c r="D854" s="3" t="s">
        <v>2353</v>
      </c>
      <c r="E854" s="3" t="s">
        <v>2354</v>
      </c>
      <c r="F854" s="3" t="s">
        <v>142</v>
      </c>
      <c r="G854" s="3" t="s">
        <v>27</v>
      </c>
      <c r="H854" s="3" t="s">
        <v>114</v>
      </c>
      <c r="I854" s="3">
        <v>4857</v>
      </c>
      <c r="J854" s="3">
        <v>0</v>
      </c>
      <c r="K854" s="3">
        <v>3302</v>
      </c>
      <c r="L854" s="3">
        <v>4518</v>
      </c>
      <c r="M854" s="3">
        <v>2</v>
      </c>
      <c r="N854" s="14">
        <v>2055.3323540000001</v>
      </c>
      <c r="O854" s="7">
        <f t="shared" si="117"/>
        <v>0</v>
      </c>
      <c r="P854" s="14">
        <f t="shared" si="118"/>
        <v>0</v>
      </c>
      <c r="Q854" s="14">
        <f t="shared" si="119"/>
        <v>1027.6661770000001</v>
      </c>
      <c r="R854" s="4">
        <f t="shared" si="120"/>
        <v>0</v>
      </c>
      <c r="S854" s="14">
        <f t="shared" si="121"/>
        <v>454.92083975210272</v>
      </c>
      <c r="T854" s="4">
        <f t="shared" si="122"/>
        <v>67.984352480955323</v>
      </c>
      <c r="U854" s="3">
        <f>LEN(A854) - LEN(SUBSTITUTE(A854,"&gt;","")) +1</f>
        <v>6</v>
      </c>
      <c r="V854" s="8">
        <f t="shared" si="123"/>
        <v>0</v>
      </c>
      <c r="W854" s="14">
        <f t="shared" si="124"/>
        <v>342.55539233333337</v>
      </c>
      <c r="X854" s="4">
        <f t="shared" si="125"/>
        <v>0</v>
      </c>
    </row>
    <row r="855" spans="1:24" ht="14.25" customHeight="1" x14ac:dyDescent="0.2">
      <c r="A855" s="5" t="s">
        <v>2198</v>
      </c>
      <c r="B855" s="3" t="s">
        <v>14</v>
      </c>
      <c r="C855" s="3" t="s">
        <v>35</v>
      </c>
      <c r="D855" s="3" t="s">
        <v>2362</v>
      </c>
      <c r="E855" s="3" t="s">
        <v>2352</v>
      </c>
      <c r="F855" s="3" t="s">
        <v>1274</v>
      </c>
      <c r="G855" s="3" t="s">
        <v>41</v>
      </c>
      <c r="H855" s="3" t="s">
        <v>19</v>
      </c>
      <c r="I855" s="3">
        <v>2</v>
      </c>
      <c r="J855" s="3">
        <v>0</v>
      </c>
      <c r="K855" s="3">
        <v>0</v>
      </c>
      <c r="L855" s="3">
        <v>1</v>
      </c>
      <c r="M855" s="3">
        <v>2</v>
      </c>
      <c r="N855" s="14">
        <v>2036.0680769999999</v>
      </c>
      <c r="O855" s="7">
        <f t="shared" si="117"/>
        <v>0</v>
      </c>
      <c r="P855" s="14">
        <f t="shared" si="118"/>
        <v>0</v>
      </c>
      <c r="Q855" s="14">
        <f t="shared" si="119"/>
        <v>1018.0340385</v>
      </c>
      <c r="R855" s="4">
        <f t="shared" si="120"/>
        <v>0</v>
      </c>
      <c r="S855" s="14">
        <f t="shared" si="121"/>
        <v>2036068.0769999998</v>
      </c>
      <c r="T855" s="4">
        <f t="shared" si="122"/>
        <v>0</v>
      </c>
      <c r="U855" s="3">
        <f>LEN(A855) - LEN(SUBSTITUTE(A855,"&gt;","")) +1</f>
        <v>4</v>
      </c>
      <c r="V855" s="8">
        <f t="shared" si="123"/>
        <v>0</v>
      </c>
      <c r="W855" s="14">
        <f t="shared" si="124"/>
        <v>509.01701924999998</v>
      </c>
      <c r="X855" s="4">
        <f t="shared" si="125"/>
        <v>0</v>
      </c>
    </row>
    <row r="856" spans="1:24" ht="14.25" customHeight="1" x14ac:dyDescent="0.2">
      <c r="A856" s="5" t="s">
        <v>2199</v>
      </c>
      <c r="B856" s="3" t="s">
        <v>14</v>
      </c>
      <c r="C856" s="3" t="s">
        <v>32</v>
      </c>
      <c r="D856" s="3" t="s">
        <v>2369</v>
      </c>
      <c r="E856" s="3" t="s">
        <v>2365</v>
      </c>
      <c r="F856" s="3" t="s">
        <v>1276</v>
      </c>
      <c r="G856" s="3" t="s">
        <v>18</v>
      </c>
      <c r="H856" s="3" t="s">
        <v>19</v>
      </c>
      <c r="I856" s="3">
        <v>16288</v>
      </c>
      <c r="J856" s="3">
        <v>0</v>
      </c>
      <c r="K856" s="3">
        <v>5304</v>
      </c>
      <c r="L856" s="3">
        <v>10731</v>
      </c>
      <c r="M856" s="3">
        <v>1</v>
      </c>
      <c r="N856" s="14">
        <v>2030.142709</v>
      </c>
      <c r="O856" s="7">
        <f t="shared" si="117"/>
        <v>0</v>
      </c>
      <c r="P856" s="14">
        <f t="shared" si="118"/>
        <v>0</v>
      </c>
      <c r="Q856" s="14">
        <f t="shared" si="119"/>
        <v>2030.142709</v>
      </c>
      <c r="R856" s="4">
        <f t="shared" si="120"/>
        <v>0</v>
      </c>
      <c r="S856" s="14">
        <f t="shared" si="121"/>
        <v>189.18485779517286</v>
      </c>
      <c r="T856" s="4">
        <f t="shared" si="122"/>
        <v>32.563850687622789</v>
      </c>
      <c r="U856" s="3">
        <f>LEN(A856) - LEN(SUBSTITUTE(A856,"&gt;","")) +1</f>
        <v>3</v>
      </c>
      <c r="V856" s="8">
        <f t="shared" si="123"/>
        <v>0</v>
      </c>
      <c r="W856" s="14">
        <f t="shared" si="124"/>
        <v>676.71423633333336</v>
      </c>
      <c r="X856" s="4">
        <f t="shared" si="125"/>
        <v>0</v>
      </c>
    </row>
    <row r="857" spans="1:24" ht="14.25" customHeight="1" x14ac:dyDescent="0.2">
      <c r="A857" s="5" t="s">
        <v>2200</v>
      </c>
      <c r="B857" s="3" t="s">
        <v>14</v>
      </c>
      <c r="C857" s="3" t="s">
        <v>35</v>
      </c>
      <c r="D857" s="3" t="s">
        <v>2349</v>
      </c>
      <c r="E857" s="3" t="s">
        <v>2350</v>
      </c>
      <c r="F857" s="3" t="s">
        <v>1278</v>
      </c>
      <c r="G857" s="3" t="s">
        <v>27</v>
      </c>
      <c r="H857" s="3" t="s">
        <v>19</v>
      </c>
      <c r="I857" s="3">
        <v>58</v>
      </c>
      <c r="J857" s="3">
        <v>0</v>
      </c>
      <c r="K857" s="3">
        <v>45</v>
      </c>
      <c r="L857" s="3">
        <v>57</v>
      </c>
      <c r="M857" s="3">
        <v>3</v>
      </c>
      <c r="N857" s="14">
        <v>2016.5086650000001</v>
      </c>
      <c r="O857" s="7">
        <f t="shared" si="117"/>
        <v>0</v>
      </c>
      <c r="P857" s="14">
        <f t="shared" si="118"/>
        <v>0</v>
      </c>
      <c r="Q857" s="14">
        <f t="shared" si="119"/>
        <v>672.16955500000006</v>
      </c>
      <c r="R857" s="4">
        <f t="shared" si="120"/>
        <v>0</v>
      </c>
      <c r="S857" s="14">
        <f t="shared" si="121"/>
        <v>35377.345000000001</v>
      </c>
      <c r="T857" s="4">
        <f t="shared" si="122"/>
        <v>77.58620689655173</v>
      </c>
      <c r="U857" s="3">
        <f>LEN(A857) - LEN(SUBSTITUTE(A857,"&gt;","")) +1</f>
        <v>5</v>
      </c>
      <c r="V857" s="8">
        <f t="shared" si="123"/>
        <v>0</v>
      </c>
      <c r="W857" s="14">
        <f t="shared" si="124"/>
        <v>403.30173300000001</v>
      </c>
      <c r="X857" s="4">
        <f t="shared" si="125"/>
        <v>0</v>
      </c>
    </row>
    <row r="858" spans="1:24" ht="14.25" customHeight="1" x14ac:dyDescent="0.2">
      <c r="A858" s="5" t="s">
        <v>2201</v>
      </c>
      <c r="B858" s="3" t="s">
        <v>14</v>
      </c>
      <c r="C858" s="3" t="s">
        <v>35</v>
      </c>
      <c r="D858" s="3" t="s">
        <v>2362</v>
      </c>
      <c r="E858" s="3" t="s">
        <v>2352</v>
      </c>
      <c r="F858" s="3" t="s">
        <v>1260</v>
      </c>
      <c r="G858" s="3" t="s">
        <v>27</v>
      </c>
      <c r="H858" s="3" t="s">
        <v>19</v>
      </c>
      <c r="I858" s="3">
        <v>12606</v>
      </c>
      <c r="J858" s="3">
        <v>0</v>
      </c>
      <c r="K858" s="3">
        <v>8332</v>
      </c>
      <c r="L858" s="3">
        <v>11170</v>
      </c>
      <c r="M858" s="3">
        <v>3</v>
      </c>
      <c r="N858" s="14">
        <v>2002.5379889999999</v>
      </c>
      <c r="O858" s="7">
        <f t="shared" si="117"/>
        <v>0</v>
      </c>
      <c r="P858" s="14">
        <f t="shared" si="118"/>
        <v>0</v>
      </c>
      <c r="Q858" s="14">
        <f t="shared" si="119"/>
        <v>667.51266299999997</v>
      </c>
      <c r="R858" s="4">
        <f t="shared" si="120"/>
        <v>0</v>
      </c>
      <c r="S858" s="14">
        <f t="shared" si="121"/>
        <v>179.27824431512983</v>
      </c>
      <c r="T858" s="4">
        <f t="shared" si="122"/>
        <v>66.09551007456767</v>
      </c>
      <c r="U858" s="3">
        <f>LEN(A858) - LEN(SUBSTITUTE(A858,"&gt;","")) +1</f>
        <v>4</v>
      </c>
      <c r="V858" s="8">
        <f t="shared" si="123"/>
        <v>0</v>
      </c>
      <c r="W858" s="14">
        <f t="shared" si="124"/>
        <v>500.63449724999998</v>
      </c>
      <c r="X858" s="4">
        <f t="shared" si="125"/>
        <v>0</v>
      </c>
    </row>
    <row r="859" spans="1:24" ht="14.25" customHeight="1" x14ac:dyDescent="0.2">
      <c r="A859" s="5" t="s">
        <v>2202</v>
      </c>
      <c r="B859" s="3" t="s">
        <v>24</v>
      </c>
      <c r="C859" s="3" t="s">
        <v>15</v>
      </c>
      <c r="D859" s="3" t="s">
        <v>2349</v>
      </c>
      <c r="E859" s="3" t="s">
        <v>2350</v>
      </c>
      <c r="F859" s="3" t="s">
        <v>1281</v>
      </c>
      <c r="G859" s="3" t="s">
        <v>22</v>
      </c>
      <c r="H859" s="3" t="s">
        <v>114</v>
      </c>
      <c r="I859" s="3">
        <v>3867</v>
      </c>
      <c r="J859" s="3">
        <v>0</v>
      </c>
      <c r="K859" s="3">
        <v>78</v>
      </c>
      <c r="L859" s="3">
        <v>223</v>
      </c>
      <c r="M859" s="3">
        <v>2</v>
      </c>
      <c r="N859" s="14">
        <v>1992.0004939999999</v>
      </c>
      <c r="O859" s="7">
        <f t="shared" si="117"/>
        <v>0</v>
      </c>
      <c r="P859" s="14">
        <f t="shared" si="118"/>
        <v>0</v>
      </c>
      <c r="Q859" s="14">
        <f t="shared" si="119"/>
        <v>996.00024699999994</v>
      </c>
      <c r="R859" s="4">
        <f t="shared" si="120"/>
        <v>0</v>
      </c>
      <c r="S859" s="14">
        <f t="shared" si="121"/>
        <v>8932.7376412556041</v>
      </c>
      <c r="T859" s="4">
        <f t="shared" si="122"/>
        <v>2.0170674941815361</v>
      </c>
      <c r="U859" s="3">
        <f>LEN(A859) - LEN(SUBSTITUTE(A859,"&gt;","")) +1</f>
        <v>4</v>
      </c>
      <c r="V859" s="8">
        <f t="shared" si="123"/>
        <v>0</v>
      </c>
      <c r="W859" s="14">
        <f t="shared" si="124"/>
        <v>498.00012349999997</v>
      </c>
      <c r="X859" s="4">
        <f t="shared" si="125"/>
        <v>0</v>
      </c>
    </row>
    <row r="860" spans="1:24" ht="14.25" customHeight="1" x14ac:dyDescent="0.2">
      <c r="A860" s="5" t="s">
        <v>2203</v>
      </c>
      <c r="B860" s="3" t="s">
        <v>24</v>
      </c>
      <c r="C860" s="3" t="s">
        <v>35</v>
      </c>
      <c r="D860" s="3" t="s">
        <v>2357</v>
      </c>
      <c r="E860" s="3" t="s">
        <v>2358</v>
      </c>
      <c r="F860" s="3" t="s">
        <v>72</v>
      </c>
      <c r="G860" s="3" t="s">
        <v>27</v>
      </c>
      <c r="H860" s="3" t="s">
        <v>114</v>
      </c>
      <c r="I860" s="3">
        <v>55692</v>
      </c>
      <c r="J860" s="3">
        <v>0</v>
      </c>
      <c r="K860" s="3">
        <v>3596</v>
      </c>
      <c r="L860" s="3">
        <v>51209</v>
      </c>
      <c r="M860" s="3">
        <v>11</v>
      </c>
      <c r="N860" s="14">
        <v>1981.0502879999999</v>
      </c>
      <c r="O860" s="7">
        <f t="shared" si="117"/>
        <v>0</v>
      </c>
      <c r="P860" s="14">
        <f t="shared" si="118"/>
        <v>0</v>
      </c>
      <c r="Q860" s="14">
        <f t="shared" si="119"/>
        <v>180.09548072727273</v>
      </c>
      <c r="R860" s="4">
        <f t="shared" si="120"/>
        <v>0</v>
      </c>
      <c r="S860" s="14">
        <f t="shared" si="121"/>
        <v>38.685588236442811</v>
      </c>
      <c r="T860" s="4">
        <f t="shared" si="122"/>
        <v>6.4569417510593992</v>
      </c>
      <c r="U860" s="3">
        <f>LEN(A860) - LEN(SUBSTITUTE(A860,"&gt;","")) +1</f>
        <v>4</v>
      </c>
      <c r="V860" s="8">
        <f t="shared" si="123"/>
        <v>0</v>
      </c>
      <c r="W860" s="14">
        <f t="shared" si="124"/>
        <v>495.26257199999998</v>
      </c>
      <c r="X860" s="4">
        <f t="shared" si="125"/>
        <v>0</v>
      </c>
    </row>
    <row r="861" spans="1:24" ht="14.25" customHeight="1" x14ac:dyDescent="0.2">
      <c r="A861" s="5" t="s">
        <v>2204</v>
      </c>
      <c r="B861" s="3" t="s">
        <v>24</v>
      </c>
      <c r="C861" s="3" t="s">
        <v>35</v>
      </c>
      <c r="D861" s="3" t="s">
        <v>2374</v>
      </c>
      <c r="E861" s="3" t="s">
        <v>2375</v>
      </c>
      <c r="F861" s="3" t="s">
        <v>1284</v>
      </c>
      <c r="G861" s="3" t="s">
        <v>38</v>
      </c>
      <c r="H861" s="3" t="s">
        <v>114</v>
      </c>
      <c r="I861" s="3">
        <v>849</v>
      </c>
      <c r="J861" s="3">
        <v>0</v>
      </c>
      <c r="K861" s="3">
        <v>249</v>
      </c>
      <c r="L861" s="3">
        <v>623</v>
      </c>
      <c r="M861" s="3">
        <v>2</v>
      </c>
      <c r="N861" s="14">
        <v>1974.566513</v>
      </c>
      <c r="O861" s="7">
        <f t="shared" si="117"/>
        <v>0</v>
      </c>
      <c r="P861" s="14">
        <f t="shared" si="118"/>
        <v>0</v>
      </c>
      <c r="Q861" s="14">
        <f t="shared" si="119"/>
        <v>987.28325649999999</v>
      </c>
      <c r="R861" s="4">
        <f t="shared" si="120"/>
        <v>0</v>
      </c>
      <c r="S861" s="14">
        <f t="shared" si="121"/>
        <v>3169.4486565008028</v>
      </c>
      <c r="T861" s="4">
        <f t="shared" si="122"/>
        <v>29.328621908127207</v>
      </c>
      <c r="U861" s="3">
        <f>LEN(A861) - LEN(SUBSTITUTE(A861,"&gt;","")) +1</f>
        <v>5</v>
      </c>
      <c r="V861" s="8">
        <f t="shared" si="123"/>
        <v>0</v>
      </c>
      <c r="W861" s="14">
        <f t="shared" si="124"/>
        <v>394.91330260000001</v>
      </c>
      <c r="X861" s="4">
        <f t="shared" si="125"/>
        <v>0</v>
      </c>
    </row>
    <row r="862" spans="1:24" ht="14.25" customHeight="1" x14ac:dyDescent="0.2">
      <c r="A862" s="5" t="s">
        <v>2205</v>
      </c>
      <c r="B862" s="3" t="s">
        <v>24</v>
      </c>
      <c r="C862" s="3" t="s">
        <v>32</v>
      </c>
      <c r="D862" s="3" t="s">
        <v>2353</v>
      </c>
      <c r="E862" s="3" t="s">
        <v>2354</v>
      </c>
      <c r="F862" s="3" t="s">
        <v>111</v>
      </c>
      <c r="G862" s="3" t="s">
        <v>38</v>
      </c>
      <c r="H862" s="3" t="s">
        <v>114</v>
      </c>
      <c r="I862" s="3">
        <v>4231</v>
      </c>
      <c r="J862" s="3">
        <v>0</v>
      </c>
      <c r="K862" s="3">
        <v>1168</v>
      </c>
      <c r="L862" s="3">
        <v>3589</v>
      </c>
      <c r="M862" s="3">
        <v>1</v>
      </c>
      <c r="N862" s="14">
        <v>1972.70163</v>
      </c>
      <c r="O862" s="7">
        <f t="shared" si="117"/>
        <v>0</v>
      </c>
      <c r="P862" s="14">
        <f t="shared" si="118"/>
        <v>0</v>
      </c>
      <c r="Q862" s="14">
        <f t="shared" si="119"/>
        <v>1972.70163</v>
      </c>
      <c r="R862" s="4">
        <f t="shared" si="120"/>
        <v>0</v>
      </c>
      <c r="S862" s="14">
        <f t="shared" si="121"/>
        <v>549.65216773474503</v>
      </c>
      <c r="T862" s="4">
        <f t="shared" si="122"/>
        <v>27.605766958165916</v>
      </c>
      <c r="U862" s="3">
        <f>LEN(A862) - LEN(SUBSTITUTE(A862,"&gt;","")) +1</f>
        <v>3</v>
      </c>
      <c r="V862" s="8">
        <f t="shared" si="123"/>
        <v>0</v>
      </c>
      <c r="W862" s="14">
        <f t="shared" si="124"/>
        <v>657.56721000000005</v>
      </c>
      <c r="X862" s="4">
        <f t="shared" si="125"/>
        <v>0</v>
      </c>
    </row>
    <row r="863" spans="1:24" ht="14.25" customHeight="1" x14ac:dyDescent="0.2">
      <c r="A863" s="5" t="s">
        <v>2206</v>
      </c>
      <c r="B863" s="3" t="s">
        <v>14</v>
      </c>
      <c r="C863" s="3" t="s">
        <v>32</v>
      </c>
      <c r="D863" s="3" t="s">
        <v>2351</v>
      </c>
      <c r="E863" s="3" t="s">
        <v>2352</v>
      </c>
      <c r="F863" s="3" t="s">
        <v>1068</v>
      </c>
      <c r="G863" s="3" t="s">
        <v>415</v>
      </c>
      <c r="H863" s="3" t="s">
        <v>19</v>
      </c>
      <c r="I863" s="3">
        <v>237</v>
      </c>
      <c r="J863" s="3">
        <v>0</v>
      </c>
      <c r="K863" s="3">
        <v>100</v>
      </c>
      <c r="L863" s="3">
        <v>173</v>
      </c>
      <c r="M863" s="3">
        <v>4</v>
      </c>
      <c r="N863" s="14">
        <v>1971.258292</v>
      </c>
      <c r="O863" s="7">
        <f t="shared" si="117"/>
        <v>0</v>
      </c>
      <c r="P863" s="14">
        <f t="shared" si="118"/>
        <v>0</v>
      </c>
      <c r="Q863" s="14">
        <f t="shared" si="119"/>
        <v>492.814573</v>
      </c>
      <c r="R863" s="4">
        <f t="shared" si="120"/>
        <v>0</v>
      </c>
      <c r="S863" s="14">
        <f t="shared" si="121"/>
        <v>11394.55660115607</v>
      </c>
      <c r="T863" s="4">
        <f t="shared" si="122"/>
        <v>42.194092827004219</v>
      </c>
      <c r="U863" s="3">
        <f>LEN(A863) - LEN(SUBSTITUTE(A863,"&gt;","")) +1</f>
        <v>3</v>
      </c>
      <c r="V863" s="8">
        <f t="shared" si="123"/>
        <v>0</v>
      </c>
      <c r="W863" s="14">
        <f t="shared" si="124"/>
        <v>657.08609733333333</v>
      </c>
      <c r="X863" s="4">
        <f t="shared" si="125"/>
        <v>0</v>
      </c>
    </row>
    <row r="864" spans="1:24" ht="14.25" customHeight="1" x14ac:dyDescent="0.2">
      <c r="A864" s="5" t="s">
        <v>2207</v>
      </c>
      <c r="B864" s="3" t="s">
        <v>14</v>
      </c>
      <c r="C864" s="3" t="s">
        <v>32</v>
      </c>
      <c r="D864" s="3" t="s">
        <v>2374</v>
      </c>
      <c r="E864" s="3" t="s">
        <v>2375</v>
      </c>
      <c r="F864" s="3" t="s">
        <v>1085</v>
      </c>
      <c r="G864" s="3" t="s">
        <v>22</v>
      </c>
      <c r="H864" s="3" t="s">
        <v>19</v>
      </c>
      <c r="I864" s="3">
        <v>3559</v>
      </c>
      <c r="J864" s="3">
        <v>0</v>
      </c>
      <c r="K864" s="3">
        <v>757</v>
      </c>
      <c r="L864" s="3">
        <v>3290</v>
      </c>
      <c r="M864" s="3">
        <v>21</v>
      </c>
      <c r="N864" s="14">
        <v>1960.819847</v>
      </c>
      <c r="O864" s="7">
        <f t="shared" si="117"/>
        <v>0</v>
      </c>
      <c r="P864" s="14">
        <f t="shared" si="118"/>
        <v>0</v>
      </c>
      <c r="Q864" s="14">
        <f t="shared" si="119"/>
        <v>93.372373666666661</v>
      </c>
      <c r="R864" s="4">
        <f t="shared" si="120"/>
        <v>0</v>
      </c>
      <c r="S864" s="14">
        <f t="shared" si="121"/>
        <v>595.9938744680851</v>
      </c>
      <c r="T864" s="4">
        <f t="shared" si="122"/>
        <v>21.270019668446196</v>
      </c>
      <c r="U864" s="3">
        <f>LEN(A864) - LEN(SUBSTITUTE(A864,"&gt;","")) +1</f>
        <v>4</v>
      </c>
      <c r="V864" s="8">
        <f t="shared" si="123"/>
        <v>0</v>
      </c>
      <c r="W864" s="14">
        <f t="shared" si="124"/>
        <v>490.20496175</v>
      </c>
      <c r="X864" s="4">
        <f t="shared" si="125"/>
        <v>0</v>
      </c>
    </row>
    <row r="865" spans="1:24" ht="14.25" customHeight="1" x14ac:dyDescent="0.2">
      <c r="A865" s="5" t="s">
        <v>2208</v>
      </c>
      <c r="B865" s="3" t="s">
        <v>24</v>
      </c>
      <c r="C865" s="3" t="s">
        <v>29</v>
      </c>
      <c r="D865" s="3" t="s">
        <v>2378</v>
      </c>
      <c r="E865" s="3" t="s">
        <v>2352</v>
      </c>
      <c r="F865" s="3" t="s">
        <v>1173</v>
      </c>
      <c r="G865" s="3" t="s">
        <v>22</v>
      </c>
      <c r="H865" s="3" t="s">
        <v>19</v>
      </c>
      <c r="I865" s="3">
        <v>611</v>
      </c>
      <c r="J865" s="3">
        <v>0</v>
      </c>
      <c r="K865" s="3">
        <v>335</v>
      </c>
      <c r="L865" s="3">
        <v>575</v>
      </c>
      <c r="M865" s="3">
        <v>4</v>
      </c>
      <c r="N865" s="14">
        <v>1953.4696630000001</v>
      </c>
      <c r="O865" s="7">
        <f t="shared" si="117"/>
        <v>0</v>
      </c>
      <c r="P865" s="14">
        <f t="shared" si="118"/>
        <v>0</v>
      </c>
      <c r="Q865" s="14">
        <f t="shared" si="119"/>
        <v>488.36741575000002</v>
      </c>
      <c r="R865" s="4">
        <f t="shared" si="120"/>
        <v>0</v>
      </c>
      <c r="S865" s="14">
        <f t="shared" si="121"/>
        <v>3397.3385443478264</v>
      </c>
      <c r="T865" s="4">
        <f t="shared" si="122"/>
        <v>54.828150572831426</v>
      </c>
      <c r="U865" s="3">
        <f>LEN(A865) - LEN(SUBSTITUTE(A865,"&gt;","")) +1</f>
        <v>3</v>
      </c>
      <c r="V865" s="8">
        <f t="shared" si="123"/>
        <v>0</v>
      </c>
      <c r="W865" s="14">
        <f t="shared" si="124"/>
        <v>651.15655433333336</v>
      </c>
      <c r="X865" s="4">
        <f t="shared" si="125"/>
        <v>0</v>
      </c>
    </row>
    <row r="866" spans="1:24" ht="14.25" customHeight="1" x14ac:dyDescent="0.2">
      <c r="A866" s="5" t="s">
        <v>2209</v>
      </c>
      <c r="B866" s="3" t="s">
        <v>24</v>
      </c>
      <c r="C866" s="3" t="s">
        <v>29</v>
      </c>
      <c r="D866" s="3" t="s">
        <v>2353</v>
      </c>
      <c r="E866" s="3" t="s">
        <v>2354</v>
      </c>
      <c r="F866" s="3" t="s">
        <v>1290</v>
      </c>
      <c r="G866" s="3" t="s">
        <v>33</v>
      </c>
      <c r="H866" s="3" t="s">
        <v>114</v>
      </c>
      <c r="I866" s="3">
        <v>32</v>
      </c>
      <c r="J866" s="3">
        <v>0</v>
      </c>
      <c r="K866" s="3">
        <v>2</v>
      </c>
      <c r="L866" s="3">
        <v>9</v>
      </c>
      <c r="M866" s="3">
        <v>2</v>
      </c>
      <c r="N866" s="14">
        <v>1948.727314</v>
      </c>
      <c r="O866" s="7">
        <f t="shared" si="117"/>
        <v>0</v>
      </c>
      <c r="P866" s="14">
        <f t="shared" si="118"/>
        <v>0</v>
      </c>
      <c r="Q866" s="14">
        <f t="shared" si="119"/>
        <v>974.36365699999999</v>
      </c>
      <c r="R866" s="4">
        <f t="shared" si="120"/>
        <v>0</v>
      </c>
      <c r="S866" s="14">
        <f t="shared" si="121"/>
        <v>216525.2571111111</v>
      </c>
      <c r="T866" s="4">
        <f t="shared" si="122"/>
        <v>6.25</v>
      </c>
      <c r="U866" s="3">
        <f>LEN(A866) - LEN(SUBSTITUTE(A866,"&gt;","")) +1</f>
        <v>4</v>
      </c>
      <c r="V866" s="8">
        <f t="shared" si="123"/>
        <v>0</v>
      </c>
      <c r="W866" s="14">
        <f t="shared" si="124"/>
        <v>487.18182849999999</v>
      </c>
      <c r="X866" s="4">
        <f t="shared" si="125"/>
        <v>0</v>
      </c>
    </row>
    <row r="867" spans="1:24" ht="14.25" customHeight="1" x14ac:dyDescent="0.2">
      <c r="A867" s="5" t="s">
        <v>2210</v>
      </c>
      <c r="B867" s="3" t="s">
        <v>24</v>
      </c>
      <c r="C867" s="3" t="s">
        <v>35</v>
      </c>
      <c r="D867" s="3" t="s">
        <v>2357</v>
      </c>
      <c r="E867" s="3" t="s">
        <v>2358</v>
      </c>
      <c r="F867" s="3" t="s">
        <v>72</v>
      </c>
      <c r="G867" s="3" t="s">
        <v>22</v>
      </c>
      <c r="H867" s="3" t="s">
        <v>163</v>
      </c>
      <c r="I867" s="3">
        <v>63460</v>
      </c>
      <c r="J867" s="3">
        <v>0</v>
      </c>
      <c r="K867" s="3">
        <v>26978</v>
      </c>
      <c r="L867" s="3">
        <v>59516</v>
      </c>
      <c r="M867" s="3">
        <v>2</v>
      </c>
      <c r="N867" s="14">
        <v>1945.433188</v>
      </c>
      <c r="O867" s="7">
        <f t="shared" si="117"/>
        <v>0</v>
      </c>
      <c r="P867" s="14">
        <f t="shared" si="118"/>
        <v>0</v>
      </c>
      <c r="Q867" s="14">
        <f t="shared" si="119"/>
        <v>972.71659399999999</v>
      </c>
      <c r="R867" s="4">
        <f t="shared" si="120"/>
        <v>0</v>
      </c>
      <c r="S867" s="14">
        <f t="shared" si="121"/>
        <v>32.687566167081123</v>
      </c>
      <c r="T867" s="4">
        <f t="shared" si="122"/>
        <v>42.51181846832651</v>
      </c>
      <c r="U867" s="3">
        <f>LEN(A867) - LEN(SUBSTITUTE(A867,"&gt;","")) +1</f>
        <v>6</v>
      </c>
      <c r="V867" s="8">
        <f t="shared" si="123"/>
        <v>0</v>
      </c>
      <c r="W867" s="14">
        <f t="shared" si="124"/>
        <v>324.23886466666664</v>
      </c>
      <c r="X867" s="4">
        <f t="shared" si="125"/>
        <v>0</v>
      </c>
    </row>
    <row r="868" spans="1:24" ht="14.25" customHeight="1" x14ac:dyDescent="0.2">
      <c r="A868" s="5" t="s">
        <v>2211</v>
      </c>
      <c r="B868" s="3" t="s">
        <v>24</v>
      </c>
      <c r="C868" s="3" t="s">
        <v>32</v>
      </c>
      <c r="D868" s="3" t="s">
        <v>2362</v>
      </c>
      <c r="E868" s="3" t="s">
        <v>2352</v>
      </c>
      <c r="F868" s="3" t="s">
        <v>17</v>
      </c>
      <c r="G868" s="3" t="s">
        <v>64</v>
      </c>
      <c r="H868" s="3" t="s">
        <v>163</v>
      </c>
      <c r="I868" s="3">
        <v>13075</v>
      </c>
      <c r="J868" s="3">
        <v>0</v>
      </c>
      <c r="K868" s="3">
        <v>5980</v>
      </c>
      <c r="L868" s="3">
        <v>12114</v>
      </c>
      <c r="M868" s="3">
        <v>15</v>
      </c>
      <c r="N868" s="14">
        <v>1936.1307979999999</v>
      </c>
      <c r="O868" s="7">
        <f t="shared" si="117"/>
        <v>0</v>
      </c>
      <c r="P868" s="14">
        <f t="shared" si="118"/>
        <v>0</v>
      </c>
      <c r="Q868" s="14">
        <f t="shared" si="119"/>
        <v>129.07538653333333</v>
      </c>
      <c r="R868" s="4">
        <f t="shared" si="120"/>
        <v>0</v>
      </c>
      <c r="S868" s="14">
        <f t="shared" si="121"/>
        <v>159.82588723790656</v>
      </c>
      <c r="T868" s="4">
        <f t="shared" si="122"/>
        <v>45.736137667304014</v>
      </c>
      <c r="U868" s="3">
        <f>LEN(A868) - LEN(SUBSTITUTE(A868,"&gt;","")) +1</f>
        <v>6</v>
      </c>
      <c r="V868" s="8">
        <f t="shared" si="123"/>
        <v>0</v>
      </c>
      <c r="W868" s="14">
        <f t="shared" si="124"/>
        <v>322.68846633333334</v>
      </c>
      <c r="X868" s="4">
        <f t="shared" si="125"/>
        <v>0</v>
      </c>
    </row>
    <row r="869" spans="1:24" ht="14.25" customHeight="1" x14ac:dyDescent="0.2">
      <c r="A869" s="5" t="s">
        <v>2212</v>
      </c>
      <c r="B869" s="3" t="s">
        <v>68</v>
      </c>
      <c r="C869" s="3" t="s">
        <v>29</v>
      </c>
      <c r="D869" s="3" t="s">
        <v>2381</v>
      </c>
      <c r="E869" s="3" t="s">
        <v>2365</v>
      </c>
      <c r="F869" s="3" t="s">
        <v>796</v>
      </c>
      <c r="G869" s="3" t="s">
        <v>41</v>
      </c>
      <c r="H869" s="3" t="s">
        <v>19</v>
      </c>
      <c r="I869" s="3">
        <v>23410</v>
      </c>
      <c r="J869" s="3">
        <v>0</v>
      </c>
      <c r="K869" s="3">
        <v>13626</v>
      </c>
      <c r="L869" s="3">
        <v>22109</v>
      </c>
      <c r="M869" s="3">
        <v>1</v>
      </c>
      <c r="N869" s="14">
        <v>1930.180523</v>
      </c>
      <c r="O869" s="7">
        <f t="shared" si="117"/>
        <v>0</v>
      </c>
      <c r="P869" s="14">
        <f t="shared" si="118"/>
        <v>0</v>
      </c>
      <c r="Q869" s="14">
        <f t="shared" si="119"/>
        <v>1930.180523</v>
      </c>
      <c r="R869" s="4">
        <f t="shared" si="120"/>
        <v>0</v>
      </c>
      <c r="S869" s="14">
        <f t="shared" si="121"/>
        <v>87.302931973404498</v>
      </c>
      <c r="T869" s="4">
        <f t="shared" si="122"/>
        <v>58.205894916702263</v>
      </c>
      <c r="U869" s="3">
        <f>LEN(A869) - LEN(SUBSTITUTE(A869,"&gt;","")) +1</f>
        <v>3</v>
      </c>
      <c r="V869" s="8">
        <f t="shared" si="123"/>
        <v>0</v>
      </c>
      <c r="W869" s="14">
        <f t="shared" si="124"/>
        <v>643.39350766666666</v>
      </c>
      <c r="X869" s="4">
        <f t="shared" si="125"/>
        <v>0</v>
      </c>
    </row>
    <row r="870" spans="1:24" ht="14.25" customHeight="1" x14ac:dyDescent="0.2">
      <c r="A870" s="5" t="s">
        <v>2213</v>
      </c>
      <c r="B870" s="3" t="s">
        <v>24</v>
      </c>
      <c r="C870" s="3" t="s">
        <v>29</v>
      </c>
      <c r="D870" s="3" t="s">
        <v>2357</v>
      </c>
      <c r="E870" s="3" t="s">
        <v>2358</v>
      </c>
      <c r="F870" s="3" t="s">
        <v>1295</v>
      </c>
      <c r="G870" s="3" t="s">
        <v>27</v>
      </c>
      <c r="H870" s="3" t="s">
        <v>19</v>
      </c>
      <c r="I870" s="3">
        <v>24</v>
      </c>
      <c r="J870" s="3">
        <v>0</v>
      </c>
      <c r="K870" s="3">
        <v>21</v>
      </c>
      <c r="L870" s="3">
        <v>23</v>
      </c>
      <c r="M870" s="3">
        <v>12</v>
      </c>
      <c r="N870" s="14">
        <v>1927.16443</v>
      </c>
      <c r="O870" s="7">
        <f t="shared" si="117"/>
        <v>0</v>
      </c>
      <c r="P870" s="14">
        <f t="shared" si="118"/>
        <v>0</v>
      </c>
      <c r="Q870" s="14">
        <f t="shared" si="119"/>
        <v>160.59703583333334</v>
      </c>
      <c r="R870" s="4">
        <f t="shared" si="120"/>
        <v>0</v>
      </c>
      <c r="S870" s="14">
        <f t="shared" si="121"/>
        <v>83789.757826086949</v>
      </c>
      <c r="T870" s="4">
        <f t="shared" si="122"/>
        <v>87.5</v>
      </c>
      <c r="U870" s="3">
        <f>LEN(A870) - LEN(SUBSTITUTE(A870,"&gt;","")) +1</f>
        <v>5</v>
      </c>
      <c r="V870" s="8">
        <f t="shared" si="123"/>
        <v>0</v>
      </c>
      <c r="W870" s="14">
        <f t="shared" si="124"/>
        <v>385.432886</v>
      </c>
      <c r="X870" s="4">
        <f t="shared" si="125"/>
        <v>0</v>
      </c>
    </row>
    <row r="871" spans="1:24" ht="14.25" customHeight="1" x14ac:dyDescent="0.2">
      <c r="A871" s="5" t="s">
        <v>2214</v>
      </c>
      <c r="B871" s="3" t="s">
        <v>24</v>
      </c>
      <c r="C871" s="3" t="s">
        <v>32</v>
      </c>
      <c r="D871" s="3" t="s">
        <v>2362</v>
      </c>
      <c r="E871" s="3" t="s">
        <v>2352</v>
      </c>
      <c r="F871" s="3" t="s">
        <v>1080</v>
      </c>
      <c r="G871" s="3" t="s">
        <v>22</v>
      </c>
      <c r="H871" s="3" t="s">
        <v>114</v>
      </c>
      <c r="I871" s="3">
        <v>63</v>
      </c>
      <c r="J871" s="3">
        <v>0</v>
      </c>
      <c r="K871" s="3">
        <v>44</v>
      </c>
      <c r="L871" s="3">
        <v>58</v>
      </c>
      <c r="M871" s="3">
        <v>9</v>
      </c>
      <c r="N871" s="14">
        <v>1926.8220510000001</v>
      </c>
      <c r="O871" s="7">
        <f t="shared" si="117"/>
        <v>0</v>
      </c>
      <c r="P871" s="14">
        <f t="shared" si="118"/>
        <v>0</v>
      </c>
      <c r="Q871" s="14">
        <f t="shared" si="119"/>
        <v>214.091339</v>
      </c>
      <c r="R871" s="4">
        <f t="shared" si="120"/>
        <v>0</v>
      </c>
      <c r="S871" s="14">
        <f t="shared" si="121"/>
        <v>33221.069844827587</v>
      </c>
      <c r="T871" s="4">
        <f t="shared" si="122"/>
        <v>69.841269841269835</v>
      </c>
      <c r="U871" s="3">
        <f>LEN(A871) - LEN(SUBSTITUTE(A871,"&gt;","")) +1</f>
        <v>5</v>
      </c>
      <c r="V871" s="8">
        <f t="shared" si="123"/>
        <v>0</v>
      </c>
      <c r="W871" s="14">
        <f t="shared" si="124"/>
        <v>385.36441020000001</v>
      </c>
      <c r="X871" s="4">
        <f t="shared" si="125"/>
        <v>0</v>
      </c>
    </row>
    <row r="872" spans="1:24" ht="14.25" customHeight="1" x14ac:dyDescent="0.2">
      <c r="A872" s="5" t="s">
        <v>2215</v>
      </c>
      <c r="B872" s="3" t="s">
        <v>24</v>
      </c>
      <c r="C872" s="3" t="s">
        <v>29</v>
      </c>
      <c r="D872" s="3" t="s">
        <v>2353</v>
      </c>
      <c r="E872" s="3" t="s">
        <v>2354</v>
      </c>
      <c r="F872" s="3" t="s">
        <v>244</v>
      </c>
      <c r="G872" s="3" t="s">
        <v>64</v>
      </c>
      <c r="H872" s="3" t="s">
        <v>19</v>
      </c>
      <c r="I872" s="3">
        <v>61227</v>
      </c>
      <c r="J872" s="3">
        <v>0</v>
      </c>
      <c r="K872" s="3">
        <v>10434</v>
      </c>
      <c r="L872" s="3">
        <v>53104</v>
      </c>
      <c r="M872" s="3">
        <v>8</v>
      </c>
      <c r="N872" s="14">
        <v>1919.553678</v>
      </c>
      <c r="O872" s="7">
        <f t="shared" si="117"/>
        <v>0</v>
      </c>
      <c r="P872" s="14">
        <f t="shared" si="118"/>
        <v>0</v>
      </c>
      <c r="Q872" s="14">
        <f t="shared" si="119"/>
        <v>239.94420975</v>
      </c>
      <c r="R872" s="4">
        <f t="shared" si="120"/>
        <v>0</v>
      </c>
      <c r="S872" s="14">
        <f t="shared" si="121"/>
        <v>36.147063836999095</v>
      </c>
      <c r="T872" s="4">
        <f t="shared" si="122"/>
        <v>17.041501298446761</v>
      </c>
      <c r="U872" s="3">
        <f>LEN(A872) - LEN(SUBSTITUTE(A872,"&gt;","")) +1</f>
        <v>4</v>
      </c>
      <c r="V872" s="8">
        <f t="shared" si="123"/>
        <v>0</v>
      </c>
      <c r="W872" s="14">
        <f t="shared" si="124"/>
        <v>479.8884195</v>
      </c>
      <c r="X872" s="4">
        <f t="shared" si="125"/>
        <v>0</v>
      </c>
    </row>
    <row r="873" spans="1:24" ht="14.25" customHeight="1" x14ac:dyDescent="0.2">
      <c r="A873" s="5" t="s">
        <v>2216</v>
      </c>
      <c r="B873" s="3" t="s">
        <v>14</v>
      </c>
      <c r="C873" s="3" t="s">
        <v>15</v>
      </c>
      <c r="D873" s="3" t="s">
        <v>2363</v>
      </c>
      <c r="E873" s="3" t="s">
        <v>2358</v>
      </c>
      <c r="F873" s="3" t="s">
        <v>286</v>
      </c>
      <c r="G873" s="3" t="s">
        <v>27</v>
      </c>
      <c r="H873" s="3" t="s">
        <v>19</v>
      </c>
      <c r="I873" s="3">
        <v>9059</v>
      </c>
      <c r="J873" s="3">
        <v>0</v>
      </c>
      <c r="K873" s="3">
        <v>589</v>
      </c>
      <c r="L873" s="3">
        <v>7480</v>
      </c>
      <c r="M873" s="3">
        <v>1</v>
      </c>
      <c r="N873" s="14">
        <v>1908.5261170000001</v>
      </c>
      <c r="O873" s="7">
        <f t="shared" si="117"/>
        <v>0</v>
      </c>
      <c r="P873" s="14">
        <f t="shared" si="118"/>
        <v>0</v>
      </c>
      <c r="Q873" s="14">
        <f t="shared" si="119"/>
        <v>1908.5261170000001</v>
      </c>
      <c r="R873" s="4">
        <f t="shared" si="120"/>
        <v>0</v>
      </c>
      <c r="S873" s="14">
        <f t="shared" si="121"/>
        <v>255.15055040106955</v>
      </c>
      <c r="T873" s="4">
        <f t="shared" si="122"/>
        <v>6.5018213930897444</v>
      </c>
      <c r="U873" s="3">
        <f>LEN(A873) - LEN(SUBSTITUTE(A873,"&gt;","")) +1</f>
        <v>2</v>
      </c>
      <c r="V873" s="8">
        <f t="shared" si="123"/>
        <v>0</v>
      </c>
      <c r="W873" s="14">
        <f t="shared" si="124"/>
        <v>954.26305850000006</v>
      </c>
      <c r="X873" s="4">
        <f t="shared" si="125"/>
        <v>0</v>
      </c>
    </row>
    <row r="874" spans="1:24" ht="14.25" customHeight="1" x14ac:dyDescent="0.2">
      <c r="A874" s="5" t="s">
        <v>2217</v>
      </c>
      <c r="B874" s="3" t="s">
        <v>24</v>
      </c>
      <c r="C874" s="3" t="s">
        <v>35</v>
      </c>
      <c r="D874" s="3" t="s">
        <v>2363</v>
      </c>
      <c r="E874" s="3" t="s">
        <v>2358</v>
      </c>
      <c r="F874" s="3" t="s">
        <v>269</v>
      </c>
      <c r="G874" s="3" t="s">
        <v>27</v>
      </c>
      <c r="H874" s="3" t="s">
        <v>114</v>
      </c>
      <c r="I874" s="3">
        <v>176</v>
      </c>
      <c r="J874" s="3">
        <v>0</v>
      </c>
      <c r="K874" s="3">
        <v>75</v>
      </c>
      <c r="L874" s="3">
        <v>136</v>
      </c>
      <c r="M874" s="3">
        <v>24</v>
      </c>
      <c r="N874" s="14">
        <v>1907.87202</v>
      </c>
      <c r="O874" s="7">
        <f t="shared" si="117"/>
        <v>0</v>
      </c>
      <c r="P874" s="14">
        <f t="shared" si="118"/>
        <v>0</v>
      </c>
      <c r="Q874" s="14">
        <f t="shared" si="119"/>
        <v>79.494667500000006</v>
      </c>
      <c r="R874" s="4">
        <f t="shared" si="120"/>
        <v>0</v>
      </c>
      <c r="S874" s="14">
        <f t="shared" si="121"/>
        <v>14028.470735294117</v>
      </c>
      <c r="T874" s="4">
        <f t="shared" si="122"/>
        <v>42.613636363636367</v>
      </c>
      <c r="U874" s="3">
        <f>LEN(A874) - LEN(SUBSTITUTE(A874,"&gt;","")) +1</f>
        <v>3</v>
      </c>
      <c r="V874" s="8">
        <f t="shared" si="123"/>
        <v>0</v>
      </c>
      <c r="W874" s="14">
        <f t="shared" si="124"/>
        <v>635.95734000000004</v>
      </c>
      <c r="X874" s="4">
        <f t="shared" si="125"/>
        <v>0</v>
      </c>
    </row>
    <row r="875" spans="1:24" ht="14.25" customHeight="1" x14ac:dyDescent="0.2">
      <c r="A875" s="5" t="s">
        <v>2218</v>
      </c>
      <c r="B875" s="3" t="s">
        <v>24</v>
      </c>
      <c r="C875" s="3" t="s">
        <v>35</v>
      </c>
      <c r="D875" s="3" t="s">
        <v>2357</v>
      </c>
      <c r="E875" s="3" t="s">
        <v>2358</v>
      </c>
      <c r="F875" s="3" t="s">
        <v>702</v>
      </c>
      <c r="G875" s="3" t="s">
        <v>18</v>
      </c>
      <c r="H875" s="3" t="s">
        <v>19</v>
      </c>
      <c r="I875" s="3">
        <v>8437</v>
      </c>
      <c r="J875" s="3">
        <v>0</v>
      </c>
      <c r="K875" s="3">
        <v>5271</v>
      </c>
      <c r="L875" s="3">
        <v>7065</v>
      </c>
      <c r="M875" s="3">
        <v>1</v>
      </c>
      <c r="N875" s="14">
        <v>1880.5331679999999</v>
      </c>
      <c r="O875" s="7">
        <f t="shared" si="117"/>
        <v>0</v>
      </c>
      <c r="P875" s="14">
        <f t="shared" si="118"/>
        <v>0</v>
      </c>
      <c r="Q875" s="14">
        <f t="shared" si="119"/>
        <v>1880.5331679999999</v>
      </c>
      <c r="R875" s="4">
        <f t="shared" si="120"/>
        <v>0</v>
      </c>
      <c r="S875" s="14">
        <f t="shared" si="121"/>
        <v>266.17596150035382</v>
      </c>
      <c r="T875" s="4">
        <f t="shared" si="122"/>
        <v>62.474813322270947</v>
      </c>
      <c r="U875" s="3">
        <f>LEN(A875) - LEN(SUBSTITUTE(A875,"&gt;","")) +1</f>
        <v>4</v>
      </c>
      <c r="V875" s="8">
        <f t="shared" si="123"/>
        <v>0</v>
      </c>
      <c r="W875" s="14">
        <f t="shared" si="124"/>
        <v>470.13329199999998</v>
      </c>
      <c r="X875" s="4">
        <f t="shared" si="125"/>
        <v>0</v>
      </c>
    </row>
    <row r="876" spans="1:24" ht="14.25" customHeight="1" x14ac:dyDescent="0.2">
      <c r="A876" s="5" t="s">
        <v>2219</v>
      </c>
      <c r="B876" s="3" t="s">
        <v>14</v>
      </c>
      <c r="C876" s="3" t="s">
        <v>15</v>
      </c>
      <c r="D876" s="3" t="s">
        <v>2362</v>
      </c>
      <c r="E876" s="3" t="s">
        <v>2352</v>
      </c>
      <c r="F876" s="3" t="s">
        <v>1302</v>
      </c>
      <c r="G876" s="3" t="s">
        <v>27</v>
      </c>
      <c r="H876" s="3" t="s">
        <v>19</v>
      </c>
      <c r="I876" s="3">
        <v>21</v>
      </c>
      <c r="J876" s="3">
        <v>0</v>
      </c>
      <c r="K876" s="3">
        <v>8</v>
      </c>
      <c r="L876" s="3">
        <v>17</v>
      </c>
      <c r="M876" s="3">
        <v>10</v>
      </c>
      <c r="N876" s="14">
        <v>1877.183608</v>
      </c>
      <c r="O876" s="7">
        <f t="shared" si="117"/>
        <v>0</v>
      </c>
      <c r="P876" s="14">
        <f t="shared" si="118"/>
        <v>0</v>
      </c>
      <c r="Q876" s="14">
        <f t="shared" si="119"/>
        <v>187.7183608</v>
      </c>
      <c r="R876" s="4">
        <f t="shared" si="120"/>
        <v>0</v>
      </c>
      <c r="S876" s="14">
        <f t="shared" si="121"/>
        <v>110422.56517647058</v>
      </c>
      <c r="T876" s="4">
        <f t="shared" si="122"/>
        <v>38.095238095238095</v>
      </c>
      <c r="U876" s="3">
        <f>LEN(A876) - LEN(SUBSTITUTE(A876,"&gt;","")) +1</f>
        <v>3</v>
      </c>
      <c r="V876" s="8">
        <f t="shared" si="123"/>
        <v>0</v>
      </c>
      <c r="W876" s="14">
        <f t="shared" si="124"/>
        <v>625.72786933333339</v>
      </c>
      <c r="X876" s="4">
        <f t="shared" si="125"/>
        <v>0</v>
      </c>
    </row>
    <row r="877" spans="1:24" ht="14.25" customHeight="1" x14ac:dyDescent="0.2">
      <c r="A877" s="5" t="s">
        <v>2220</v>
      </c>
      <c r="B877" s="3" t="s">
        <v>68</v>
      </c>
      <c r="C877" s="3" t="s">
        <v>35</v>
      </c>
      <c r="D877" s="3" t="s">
        <v>2388</v>
      </c>
      <c r="E877" s="3" t="s">
        <v>2356</v>
      </c>
      <c r="F877" s="3" t="s">
        <v>1304</v>
      </c>
      <c r="G877" s="3" t="s">
        <v>33</v>
      </c>
      <c r="H877" s="3" t="s">
        <v>19</v>
      </c>
      <c r="I877" s="3">
        <v>581</v>
      </c>
      <c r="J877" s="3">
        <v>0</v>
      </c>
      <c r="K877" s="3">
        <v>237</v>
      </c>
      <c r="L877" s="3">
        <v>559</v>
      </c>
      <c r="M877" s="3">
        <v>3</v>
      </c>
      <c r="N877" s="14">
        <v>1865.2028889999999</v>
      </c>
      <c r="O877" s="7">
        <f t="shared" si="117"/>
        <v>0</v>
      </c>
      <c r="P877" s="14">
        <f t="shared" si="118"/>
        <v>0</v>
      </c>
      <c r="Q877" s="14">
        <f t="shared" si="119"/>
        <v>621.7342963333333</v>
      </c>
      <c r="R877" s="4">
        <f t="shared" si="120"/>
        <v>0</v>
      </c>
      <c r="S877" s="14">
        <f t="shared" si="121"/>
        <v>3336.6777978533096</v>
      </c>
      <c r="T877" s="4">
        <f t="shared" si="122"/>
        <v>40.79173838209983</v>
      </c>
      <c r="U877" s="3">
        <f>LEN(A877) - LEN(SUBSTITUTE(A877,"&gt;","")) +1</f>
        <v>5</v>
      </c>
      <c r="V877" s="8">
        <f t="shared" si="123"/>
        <v>0</v>
      </c>
      <c r="W877" s="14">
        <f t="shared" si="124"/>
        <v>373.04057779999999</v>
      </c>
      <c r="X877" s="4">
        <f t="shared" si="125"/>
        <v>0</v>
      </c>
    </row>
    <row r="878" spans="1:24" ht="14.25" customHeight="1" x14ac:dyDescent="0.2">
      <c r="A878" s="5" t="s">
        <v>2221</v>
      </c>
      <c r="B878" s="3" t="s">
        <v>14</v>
      </c>
      <c r="C878" s="3" t="s">
        <v>29</v>
      </c>
      <c r="D878" s="3" t="s">
        <v>2362</v>
      </c>
      <c r="E878" s="3" t="s">
        <v>2352</v>
      </c>
      <c r="F878" s="3" t="s">
        <v>1210</v>
      </c>
      <c r="G878" s="3" t="s">
        <v>22</v>
      </c>
      <c r="H878" s="3" t="s">
        <v>19</v>
      </c>
      <c r="I878" s="3">
        <v>7229</v>
      </c>
      <c r="J878" s="3">
        <v>0</v>
      </c>
      <c r="K878" s="3">
        <v>1428</v>
      </c>
      <c r="L878" s="3">
        <v>5759</v>
      </c>
      <c r="M878" s="3">
        <v>1</v>
      </c>
      <c r="N878" s="14">
        <v>1859.0441519999999</v>
      </c>
      <c r="O878" s="7">
        <f t="shared" si="117"/>
        <v>0</v>
      </c>
      <c r="P878" s="14">
        <f t="shared" si="118"/>
        <v>0</v>
      </c>
      <c r="Q878" s="14">
        <f t="shared" si="119"/>
        <v>1859.0441519999999</v>
      </c>
      <c r="R878" s="4">
        <f t="shared" si="120"/>
        <v>0</v>
      </c>
      <c r="S878" s="14">
        <f t="shared" si="121"/>
        <v>322.806763674249</v>
      </c>
      <c r="T878" s="4">
        <f t="shared" si="122"/>
        <v>19.753769539355375</v>
      </c>
      <c r="U878" s="3">
        <f>LEN(A878) - LEN(SUBSTITUTE(A878,"&gt;","")) +1</f>
        <v>4</v>
      </c>
      <c r="V878" s="8">
        <f t="shared" si="123"/>
        <v>0</v>
      </c>
      <c r="W878" s="14">
        <f t="shared" si="124"/>
        <v>464.76103799999999</v>
      </c>
      <c r="X878" s="4">
        <f t="shared" si="125"/>
        <v>0</v>
      </c>
    </row>
    <row r="879" spans="1:24" ht="14.25" customHeight="1" x14ac:dyDescent="0.2">
      <c r="A879" s="5" t="s">
        <v>2222</v>
      </c>
      <c r="B879" s="3" t="s">
        <v>24</v>
      </c>
      <c r="C879" s="3" t="s">
        <v>35</v>
      </c>
      <c r="D879" s="3" t="s">
        <v>2362</v>
      </c>
      <c r="E879" s="3" t="s">
        <v>2352</v>
      </c>
      <c r="F879" s="3" t="s">
        <v>1307</v>
      </c>
      <c r="G879" s="3" t="s">
        <v>27</v>
      </c>
      <c r="H879" s="3" t="s">
        <v>114</v>
      </c>
      <c r="I879" s="3">
        <v>3645</v>
      </c>
      <c r="J879" s="3">
        <v>0</v>
      </c>
      <c r="K879" s="3">
        <v>540</v>
      </c>
      <c r="L879" s="3">
        <v>3103</v>
      </c>
      <c r="M879" s="3">
        <v>2</v>
      </c>
      <c r="N879" s="14">
        <v>1852.8041109999999</v>
      </c>
      <c r="O879" s="7">
        <f t="shared" si="117"/>
        <v>0</v>
      </c>
      <c r="P879" s="14">
        <f t="shared" si="118"/>
        <v>0</v>
      </c>
      <c r="Q879" s="14">
        <f t="shared" si="119"/>
        <v>926.40205549999996</v>
      </c>
      <c r="R879" s="4">
        <f t="shared" si="120"/>
        <v>0</v>
      </c>
      <c r="S879" s="14">
        <f t="shared" si="121"/>
        <v>597.10090589751849</v>
      </c>
      <c r="T879" s="4">
        <f t="shared" si="122"/>
        <v>14.814814814814813</v>
      </c>
      <c r="U879" s="3">
        <f>LEN(A879) - LEN(SUBSTITUTE(A879,"&gt;","")) +1</f>
        <v>4</v>
      </c>
      <c r="V879" s="8">
        <f t="shared" si="123"/>
        <v>0</v>
      </c>
      <c r="W879" s="14">
        <f t="shared" si="124"/>
        <v>463.20102774999998</v>
      </c>
      <c r="X879" s="4">
        <f t="shared" si="125"/>
        <v>0</v>
      </c>
    </row>
    <row r="880" spans="1:24" ht="14.25" customHeight="1" x14ac:dyDescent="0.2">
      <c r="A880" s="5" t="s">
        <v>2223</v>
      </c>
      <c r="B880" s="3" t="s">
        <v>14</v>
      </c>
      <c r="C880" s="3" t="s">
        <v>15</v>
      </c>
      <c r="D880" s="3" t="s">
        <v>2353</v>
      </c>
      <c r="E880" s="3" t="s">
        <v>2354</v>
      </c>
      <c r="F880" s="3" t="s">
        <v>1309</v>
      </c>
      <c r="G880" s="3" t="s">
        <v>27</v>
      </c>
      <c r="H880" s="3" t="s">
        <v>19</v>
      </c>
      <c r="I880" s="3">
        <v>1564</v>
      </c>
      <c r="J880" s="3">
        <v>0</v>
      </c>
      <c r="K880" s="3">
        <v>339</v>
      </c>
      <c r="L880" s="3">
        <v>1244</v>
      </c>
      <c r="M880" s="3">
        <v>21</v>
      </c>
      <c r="N880" s="14">
        <v>1834.4147559999999</v>
      </c>
      <c r="O880" s="7">
        <f t="shared" si="117"/>
        <v>0</v>
      </c>
      <c r="P880" s="14">
        <f t="shared" si="118"/>
        <v>0</v>
      </c>
      <c r="Q880" s="14">
        <f t="shared" si="119"/>
        <v>87.353083619047609</v>
      </c>
      <c r="R880" s="4">
        <f t="shared" si="120"/>
        <v>0</v>
      </c>
      <c r="S880" s="14">
        <f t="shared" si="121"/>
        <v>1474.6099324758841</v>
      </c>
      <c r="T880" s="4">
        <f t="shared" si="122"/>
        <v>21.675191815856778</v>
      </c>
      <c r="U880" s="3">
        <f>LEN(A880) - LEN(SUBSTITUTE(A880,"&gt;","")) +1</f>
        <v>3</v>
      </c>
      <c r="V880" s="8">
        <f t="shared" si="123"/>
        <v>0</v>
      </c>
      <c r="W880" s="14">
        <f t="shared" si="124"/>
        <v>611.47158533333334</v>
      </c>
      <c r="X880" s="4">
        <f t="shared" si="125"/>
        <v>0</v>
      </c>
    </row>
    <row r="881" spans="1:24" ht="14.25" customHeight="1" x14ac:dyDescent="0.2">
      <c r="A881" s="5" t="s">
        <v>2224</v>
      </c>
      <c r="B881" s="3" t="s">
        <v>24</v>
      </c>
      <c r="C881" s="3" t="s">
        <v>15</v>
      </c>
      <c r="D881" s="3" t="s">
        <v>2351</v>
      </c>
      <c r="E881" s="3" t="s">
        <v>2352</v>
      </c>
      <c r="F881" s="3" t="s">
        <v>1311</v>
      </c>
      <c r="G881" s="3" t="s">
        <v>27</v>
      </c>
      <c r="H881" s="3" t="s">
        <v>19</v>
      </c>
      <c r="I881" s="3">
        <v>70</v>
      </c>
      <c r="J881" s="3">
        <v>0</v>
      </c>
      <c r="K881" s="3">
        <v>28</v>
      </c>
      <c r="L881" s="3">
        <v>62</v>
      </c>
      <c r="M881" s="3">
        <v>3</v>
      </c>
      <c r="N881" s="14">
        <v>1833.11814</v>
      </c>
      <c r="O881" s="7">
        <f t="shared" si="117"/>
        <v>0</v>
      </c>
      <c r="P881" s="14">
        <f t="shared" si="118"/>
        <v>0</v>
      </c>
      <c r="Q881" s="14">
        <f t="shared" si="119"/>
        <v>611.03938000000005</v>
      </c>
      <c r="R881" s="4">
        <f t="shared" si="120"/>
        <v>0</v>
      </c>
      <c r="S881" s="14">
        <f t="shared" si="121"/>
        <v>29566.421612903228</v>
      </c>
      <c r="T881" s="4">
        <f t="shared" si="122"/>
        <v>40</v>
      </c>
      <c r="U881" s="3">
        <f>LEN(A881) - LEN(SUBSTITUTE(A881,"&gt;","")) +1</f>
        <v>4</v>
      </c>
      <c r="V881" s="8">
        <f t="shared" si="123"/>
        <v>0</v>
      </c>
      <c r="W881" s="14">
        <f t="shared" si="124"/>
        <v>458.27953500000001</v>
      </c>
      <c r="X881" s="4">
        <f t="shared" si="125"/>
        <v>0</v>
      </c>
    </row>
    <row r="882" spans="1:24" ht="14.25" customHeight="1" x14ac:dyDescent="0.2">
      <c r="A882" s="5" t="s">
        <v>2225</v>
      </c>
      <c r="B882" s="3" t="s">
        <v>24</v>
      </c>
      <c r="C882" s="3" t="s">
        <v>35</v>
      </c>
      <c r="D882" s="3" t="s">
        <v>2363</v>
      </c>
      <c r="E882" s="3" t="s">
        <v>2358</v>
      </c>
      <c r="F882" s="3" t="s">
        <v>1313</v>
      </c>
      <c r="G882" s="3" t="s">
        <v>287</v>
      </c>
      <c r="H882" s="3" t="s">
        <v>114</v>
      </c>
      <c r="I882" s="3">
        <v>3719</v>
      </c>
      <c r="J882" s="3">
        <v>0</v>
      </c>
      <c r="K882" s="3">
        <v>2092</v>
      </c>
      <c r="L882" s="3">
        <v>3456</v>
      </c>
      <c r="M882" s="3">
        <v>11</v>
      </c>
      <c r="N882" s="14">
        <v>1820.78144</v>
      </c>
      <c r="O882" s="7">
        <f t="shared" si="117"/>
        <v>0</v>
      </c>
      <c r="P882" s="14">
        <f t="shared" si="118"/>
        <v>0</v>
      </c>
      <c r="Q882" s="14">
        <f t="shared" si="119"/>
        <v>165.52558545454545</v>
      </c>
      <c r="R882" s="4">
        <f t="shared" si="120"/>
        <v>0</v>
      </c>
      <c r="S882" s="14">
        <f t="shared" si="121"/>
        <v>526.84648148148153</v>
      </c>
      <c r="T882" s="4">
        <f t="shared" si="122"/>
        <v>56.251680559290129</v>
      </c>
      <c r="U882" s="3">
        <f>LEN(A882) - LEN(SUBSTITUTE(A882,"&gt;","")) +1</f>
        <v>4</v>
      </c>
      <c r="V882" s="8">
        <f t="shared" si="123"/>
        <v>0</v>
      </c>
      <c r="W882" s="14">
        <f t="shared" si="124"/>
        <v>455.19535999999999</v>
      </c>
      <c r="X882" s="4">
        <f t="shared" si="125"/>
        <v>0</v>
      </c>
    </row>
    <row r="883" spans="1:24" ht="14.25" customHeight="1" x14ac:dyDescent="0.2">
      <c r="A883" s="5" t="s">
        <v>2226</v>
      </c>
      <c r="B883" s="3" t="s">
        <v>14</v>
      </c>
      <c r="C883" s="3" t="s">
        <v>35</v>
      </c>
      <c r="D883" s="3" t="s">
        <v>2349</v>
      </c>
      <c r="E883" s="3" t="s">
        <v>2350</v>
      </c>
      <c r="F883" s="3" t="s">
        <v>79</v>
      </c>
      <c r="G883" s="3" t="s">
        <v>41</v>
      </c>
      <c r="H883" s="3" t="s">
        <v>19</v>
      </c>
      <c r="I883" s="3">
        <v>61848</v>
      </c>
      <c r="J883" s="3">
        <v>0</v>
      </c>
      <c r="K883" s="3">
        <v>6581</v>
      </c>
      <c r="L883" s="3">
        <v>44917</v>
      </c>
      <c r="M883" s="3">
        <v>19</v>
      </c>
      <c r="N883" s="14">
        <v>1819.8936020000001</v>
      </c>
      <c r="O883" s="7">
        <f t="shared" si="117"/>
        <v>0</v>
      </c>
      <c r="P883" s="14">
        <f t="shared" si="118"/>
        <v>0</v>
      </c>
      <c r="Q883" s="14">
        <f t="shared" si="119"/>
        <v>95.783873789473688</v>
      </c>
      <c r="R883" s="4">
        <f t="shared" si="120"/>
        <v>0</v>
      </c>
      <c r="S883" s="14">
        <f t="shared" si="121"/>
        <v>40.516811051494983</v>
      </c>
      <c r="T883" s="4">
        <f t="shared" si="122"/>
        <v>10.640602768076574</v>
      </c>
      <c r="U883" s="3">
        <f>LEN(A883) - LEN(SUBSTITUTE(A883,"&gt;","")) +1</f>
        <v>4</v>
      </c>
      <c r="V883" s="8">
        <f t="shared" si="123"/>
        <v>0</v>
      </c>
      <c r="W883" s="14">
        <f t="shared" si="124"/>
        <v>454.97340050000003</v>
      </c>
      <c r="X883" s="4">
        <f t="shared" si="125"/>
        <v>0</v>
      </c>
    </row>
    <row r="884" spans="1:24" ht="14.25" customHeight="1" x14ac:dyDescent="0.2">
      <c r="A884" s="5" t="s">
        <v>2227</v>
      </c>
      <c r="B884" s="3" t="s">
        <v>24</v>
      </c>
      <c r="C884" s="3" t="s">
        <v>15</v>
      </c>
      <c r="D884" s="3" t="s">
        <v>2353</v>
      </c>
      <c r="E884" s="3" t="s">
        <v>2354</v>
      </c>
      <c r="F884" s="3" t="s">
        <v>684</v>
      </c>
      <c r="G884" s="3" t="s">
        <v>27</v>
      </c>
      <c r="H884" s="3" t="s">
        <v>19</v>
      </c>
      <c r="I884" s="3">
        <v>13132</v>
      </c>
      <c r="J884" s="3">
        <v>0</v>
      </c>
      <c r="K884" s="3">
        <v>6133</v>
      </c>
      <c r="L884" s="3">
        <v>12377</v>
      </c>
      <c r="M884" s="3">
        <v>1</v>
      </c>
      <c r="N884" s="14">
        <v>1807.6931420000001</v>
      </c>
      <c r="O884" s="7">
        <f t="shared" si="117"/>
        <v>0</v>
      </c>
      <c r="P884" s="14">
        <f t="shared" si="118"/>
        <v>0</v>
      </c>
      <c r="Q884" s="14">
        <f t="shared" si="119"/>
        <v>1807.6931420000001</v>
      </c>
      <c r="R884" s="4">
        <f t="shared" si="120"/>
        <v>0</v>
      </c>
      <c r="S884" s="14">
        <f t="shared" si="121"/>
        <v>146.05260903288359</v>
      </c>
      <c r="T884" s="4">
        <f t="shared" si="122"/>
        <v>46.702710935120315</v>
      </c>
      <c r="U884" s="3">
        <f>LEN(A884) - LEN(SUBSTITUTE(A884,"&gt;","")) +1</f>
        <v>5</v>
      </c>
      <c r="V884" s="8">
        <f t="shared" si="123"/>
        <v>0</v>
      </c>
      <c r="W884" s="14">
        <f t="shared" si="124"/>
        <v>361.53862839999999</v>
      </c>
      <c r="X884" s="4">
        <f t="shared" si="125"/>
        <v>0</v>
      </c>
    </row>
    <row r="885" spans="1:24" ht="14.25" customHeight="1" x14ac:dyDescent="0.2">
      <c r="A885" s="5" t="s">
        <v>2228</v>
      </c>
      <c r="B885" s="3" t="s">
        <v>14</v>
      </c>
      <c r="C885" s="3" t="s">
        <v>15</v>
      </c>
      <c r="D885" s="3" t="s">
        <v>2349</v>
      </c>
      <c r="E885" s="3" t="s">
        <v>2350</v>
      </c>
      <c r="F885" s="3" t="s">
        <v>618</v>
      </c>
      <c r="G885" s="3" t="s">
        <v>27</v>
      </c>
      <c r="H885" s="3" t="s">
        <v>19</v>
      </c>
      <c r="I885" s="3">
        <v>10012</v>
      </c>
      <c r="J885" s="3">
        <v>0</v>
      </c>
      <c r="K885" s="3">
        <v>5734</v>
      </c>
      <c r="L885" s="3">
        <v>9413</v>
      </c>
      <c r="M885" s="3">
        <v>1</v>
      </c>
      <c r="N885" s="14">
        <v>1805.9260859999999</v>
      </c>
      <c r="O885" s="7">
        <f t="shared" si="117"/>
        <v>0</v>
      </c>
      <c r="P885" s="14">
        <f t="shared" si="118"/>
        <v>0</v>
      </c>
      <c r="Q885" s="14">
        <f t="shared" si="119"/>
        <v>1805.9260859999999</v>
      </c>
      <c r="R885" s="4">
        <f t="shared" si="120"/>
        <v>0</v>
      </c>
      <c r="S885" s="14">
        <f t="shared" si="121"/>
        <v>191.85446573887177</v>
      </c>
      <c r="T885" s="4">
        <f t="shared" si="122"/>
        <v>57.271274470635234</v>
      </c>
      <c r="U885" s="3">
        <f>LEN(A885) - LEN(SUBSTITUTE(A885,"&gt;","")) +1</f>
        <v>4</v>
      </c>
      <c r="V885" s="8">
        <f t="shared" si="123"/>
        <v>0</v>
      </c>
      <c r="W885" s="14">
        <f t="shared" si="124"/>
        <v>451.48152149999999</v>
      </c>
      <c r="X885" s="4">
        <f t="shared" si="125"/>
        <v>0</v>
      </c>
    </row>
    <row r="886" spans="1:24" ht="14.25" customHeight="1" x14ac:dyDescent="0.2">
      <c r="A886" s="5" t="s">
        <v>2229</v>
      </c>
      <c r="B886" s="3" t="s">
        <v>68</v>
      </c>
      <c r="C886" s="3" t="s">
        <v>29</v>
      </c>
      <c r="D886" s="3" t="s">
        <v>2359</v>
      </c>
      <c r="E886" s="3" t="s">
        <v>2360</v>
      </c>
      <c r="F886" s="3" t="s">
        <v>831</v>
      </c>
      <c r="G886" s="3" t="s">
        <v>38</v>
      </c>
      <c r="H886" s="3" t="s">
        <v>19</v>
      </c>
      <c r="I886" s="3">
        <v>20417</v>
      </c>
      <c r="J886" s="3">
        <v>0</v>
      </c>
      <c r="K886" s="3">
        <v>1016</v>
      </c>
      <c r="L886" s="3">
        <v>13468</v>
      </c>
      <c r="M886" s="3">
        <v>2</v>
      </c>
      <c r="N886" s="14">
        <v>1805.6005130000001</v>
      </c>
      <c r="O886" s="7">
        <f t="shared" si="117"/>
        <v>0</v>
      </c>
      <c r="P886" s="14">
        <f t="shared" si="118"/>
        <v>0</v>
      </c>
      <c r="Q886" s="14">
        <f t="shared" si="119"/>
        <v>902.80025650000005</v>
      </c>
      <c r="R886" s="4">
        <f t="shared" si="120"/>
        <v>0</v>
      </c>
      <c r="S886" s="14">
        <f t="shared" si="121"/>
        <v>134.06597215622216</v>
      </c>
      <c r="T886" s="4">
        <f t="shared" si="122"/>
        <v>4.9762452857912525</v>
      </c>
      <c r="U886" s="3">
        <f>LEN(A886) - LEN(SUBSTITUTE(A886,"&gt;","")) +1</f>
        <v>3</v>
      </c>
      <c r="V886" s="8">
        <f t="shared" si="123"/>
        <v>0</v>
      </c>
      <c r="W886" s="14">
        <f t="shared" si="124"/>
        <v>601.8668376666667</v>
      </c>
      <c r="X886" s="4">
        <f t="shared" si="125"/>
        <v>0</v>
      </c>
    </row>
    <row r="887" spans="1:24" ht="14.25" customHeight="1" x14ac:dyDescent="0.2">
      <c r="A887" s="5" t="s">
        <v>2230</v>
      </c>
      <c r="B887" s="3" t="s">
        <v>14</v>
      </c>
      <c r="C887" s="3" t="s">
        <v>15</v>
      </c>
      <c r="D887" s="3" t="s">
        <v>2357</v>
      </c>
      <c r="E887" s="3" t="s">
        <v>2358</v>
      </c>
      <c r="F887" s="3" t="s">
        <v>1319</v>
      </c>
      <c r="G887" s="3" t="s">
        <v>27</v>
      </c>
      <c r="H887" s="3" t="s">
        <v>19</v>
      </c>
      <c r="I887" s="3">
        <v>764</v>
      </c>
      <c r="J887" s="3">
        <v>0</v>
      </c>
      <c r="K887" s="3">
        <v>628</v>
      </c>
      <c r="L887" s="3">
        <v>674</v>
      </c>
      <c r="M887" s="3">
        <v>8</v>
      </c>
      <c r="N887" s="14">
        <v>1804.2230199999999</v>
      </c>
      <c r="O887" s="7">
        <f t="shared" si="117"/>
        <v>0</v>
      </c>
      <c r="P887" s="14">
        <f t="shared" si="118"/>
        <v>0</v>
      </c>
      <c r="Q887" s="14">
        <f t="shared" si="119"/>
        <v>225.52787749999999</v>
      </c>
      <c r="R887" s="4">
        <f t="shared" si="120"/>
        <v>0</v>
      </c>
      <c r="S887" s="14">
        <f t="shared" si="121"/>
        <v>2676.8887537091987</v>
      </c>
      <c r="T887" s="4">
        <f t="shared" si="122"/>
        <v>82.198952879581157</v>
      </c>
      <c r="U887" s="3">
        <f>LEN(A887) - LEN(SUBSTITUTE(A887,"&gt;","")) +1</f>
        <v>4</v>
      </c>
      <c r="V887" s="8">
        <f t="shared" si="123"/>
        <v>0</v>
      </c>
      <c r="W887" s="14">
        <f t="shared" si="124"/>
        <v>451.05575499999998</v>
      </c>
      <c r="X887" s="4">
        <f t="shared" si="125"/>
        <v>0</v>
      </c>
    </row>
    <row r="888" spans="1:24" ht="14.25" customHeight="1" x14ac:dyDescent="0.2">
      <c r="A888" s="5" t="s">
        <v>2231</v>
      </c>
      <c r="B888" s="3" t="s">
        <v>24</v>
      </c>
      <c r="C888" s="3" t="s">
        <v>32</v>
      </c>
      <c r="D888" s="3" t="s">
        <v>2355</v>
      </c>
      <c r="E888" s="3" t="s">
        <v>2356</v>
      </c>
      <c r="F888" s="3" t="s">
        <v>1321</v>
      </c>
      <c r="G888" s="3" t="s">
        <v>22</v>
      </c>
      <c r="H888" s="3" t="s">
        <v>19</v>
      </c>
      <c r="I888" s="3">
        <v>604</v>
      </c>
      <c r="J888" s="3">
        <v>0</v>
      </c>
      <c r="K888" s="3">
        <v>323</v>
      </c>
      <c r="L888" s="3">
        <v>571</v>
      </c>
      <c r="M888" s="3">
        <v>9</v>
      </c>
      <c r="N888" s="14">
        <v>1795.7353169999999</v>
      </c>
      <c r="O888" s="7">
        <f t="shared" si="117"/>
        <v>0</v>
      </c>
      <c r="P888" s="14">
        <f t="shared" si="118"/>
        <v>0</v>
      </c>
      <c r="Q888" s="14">
        <f t="shared" si="119"/>
        <v>199.52614633333332</v>
      </c>
      <c r="R888" s="4">
        <f t="shared" si="120"/>
        <v>0</v>
      </c>
      <c r="S888" s="14">
        <f t="shared" si="121"/>
        <v>3144.8954763572679</v>
      </c>
      <c r="T888" s="4">
        <f t="shared" si="122"/>
        <v>53.476821192052981</v>
      </c>
      <c r="U888" s="3">
        <f>LEN(A888) - LEN(SUBSTITUTE(A888,"&gt;","")) +1</f>
        <v>3</v>
      </c>
      <c r="V888" s="8">
        <f t="shared" si="123"/>
        <v>0</v>
      </c>
      <c r="W888" s="14">
        <f t="shared" si="124"/>
        <v>598.578439</v>
      </c>
      <c r="X888" s="4">
        <f t="shared" si="125"/>
        <v>0</v>
      </c>
    </row>
    <row r="889" spans="1:24" ht="14.25" customHeight="1" x14ac:dyDescent="0.2">
      <c r="A889" s="5" t="s">
        <v>2232</v>
      </c>
      <c r="B889" s="3" t="s">
        <v>24</v>
      </c>
      <c r="C889" s="3" t="s">
        <v>35</v>
      </c>
      <c r="D889" s="3" t="s">
        <v>2378</v>
      </c>
      <c r="E889" s="3" t="s">
        <v>2352</v>
      </c>
      <c r="F889" s="3" t="s">
        <v>98</v>
      </c>
      <c r="G889" s="3" t="s">
        <v>64</v>
      </c>
      <c r="H889" s="3" t="s">
        <v>19</v>
      </c>
      <c r="I889" s="3">
        <v>643</v>
      </c>
      <c r="J889" s="3">
        <v>0</v>
      </c>
      <c r="K889" s="3">
        <v>287</v>
      </c>
      <c r="L889" s="3">
        <v>613</v>
      </c>
      <c r="M889" s="3">
        <v>3</v>
      </c>
      <c r="N889" s="14">
        <v>1784.165561</v>
      </c>
      <c r="O889" s="7">
        <f t="shared" si="117"/>
        <v>0</v>
      </c>
      <c r="P889" s="14">
        <f t="shared" si="118"/>
        <v>0</v>
      </c>
      <c r="Q889" s="14">
        <f t="shared" si="119"/>
        <v>594.72185366666668</v>
      </c>
      <c r="R889" s="4">
        <f t="shared" si="120"/>
        <v>0</v>
      </c>
      <c r="S889" s="14">
        <f t="shared" si="121"/>
        <v>2910.5474078303428</v>
      </c>
      <c r="T889" s="4">
        <f t="shared" si="122"/>
        <v>44.634525660964229</v>
      </c>
      <c r="U889" s="3">
        <f>LEN(A889) - LEN(SUBSTITUTE(A889,"&gt;","")) +1</f>
        <v>4</v>
      </c>
      <c r="V889" s="8">
        <f t="shared" si="123"/>
        <v>0</v>
      </c>
      <c r="W889" s="14">
        <f t="shared" si="124"/>
        <v>446.04139025000001</v>
      </c>
      <c r="X889" s="4">
        <f t="shared" si="125"/>
        <v>0</v>
      </c>
    </row>
    <row r="890" spans="1:24" ht="14.25" customHeight="1" x14ac:dyDescent="0.2">
      <c r="A890" s="5" t="s">
        <v>2233</v>
      </c>
      <c r="B890" s="3" t="s">
        <v>14</v>
      </c>
      <c r="C890" s="3" t="s">
        <v>35</v>
      </c>
      <c r="D890" s="3" t="s">
        <v>2363</v>
      </c>
      <c r="E890" s="3" t="s">
        <v>2358</v>
      </c>
      <c r="F890" s="3" t="s">
        <v>595</v>
      </c>
      <c r="G890" s="3" t="s">
        <v>22</v>
      </c>
      <c r="H890" s="3" t="s">
        <v>19</v>
      </c>
      <c r="I890" s="3">
        <v>68</v>
      </c>
      <c r="J890" s="3">
        <v>0</v>
      </c>
      <c r="K890" s="3">
        <v>4</v>
      </c>
      <c r="L890" s="3">
        <v>10</v>
      </c>
      <c r="M890" s="3">
        <v>2</v>
      </c>
      <c r="N890" s="14">
        <v>1783.6419860000001</v>
      </c>
      <c r="O890" s="7">
        <f t="shared" si="117"/>
        <v>0</v>
      </c>
      <c r="P890" s="14">
        <f t="shared" si="118"/>
        <v>0</v>
      </c>
      <c r="Q890" s="14">
        <f t="shared" si="119"/>
        <v>891.82099300000004</v>
      </c>
      <c r="R890" s="4">
        <f t="shared" si="120"/>
        <v>0</v>
      </c>
      <c r="S890" s="14">
        <f t="shared" si="121"/>
        <v>178364.1986</v>
      </c>
      <c r="T890" s="4">
        <f t="shared" si="122"/>
        <v>5.8823529411764701</v>
      </c>
      <c r="U890" s="3">
        <f>LEN(A890) - LEN(SUBSTITUTE(A890,"&gt;","")) +1</f>
        <v>5</v>
      </c>
      <c r="V890" s="8">
        <f t="shared" si="123"/>
        <v>0</v>
      </c>
      <c r="W890" s="14">
        <f t="shared" si="124"/>
        <v>356.72839720000002</v>
      </c>
      <c r="X890" s="4">
        <f t="shared" si="125"/>
        <v>0</v>
      </c>
    </row>
    <row r="891" spans="1:24" ht="14.25" customHeight="1" x14ac:dyDescent="0.2">
      <c r="A891" s="5" t="s">
        <v>2234</v>
      </c>
      <c r="B891" s="3" t="s">
        <v>14</v>
      </c>
      <c r="C891" s="3" t="s">
        <v>32</v>
      </c>
      <c r="D891" s="3" t="s">
        <v>2378</v>
      </c>
      <c r="E891" s="3" t="s">
        <v>2352</v>
      </c>
      <c r="F891" s="3" t="s">
        <v>1325</v>
      </c>
      <c r="G891" s="3" t="s">
        <v>27</v>
      </c>
      <c r="H891" s="3" t="s">
        <v>19</v>
      </c>
      <c r="I891" s="3">
        <v>0</v>
      </c>
      <c r="J891" s="3">
        <v>0</v>
      </c>
      <c r="K891" s="3">
        <v>0</v>
      </c>
      <c r="L891" s="3">
        <v>0</v>
      </c>
      <c r="M891" s="3">
        <v>2</v>
      </c>
      <c r="N891" s="14">
        <v>1765.0406700000001</v>
      </c>
      <c r="O891" s="7">
        <f t="shared" si="117"/>
        <v>0</v>
      </c>
      <c r="P891" s="14">
        <f t="shared" si="118"/>
        <v>0</v>
      </c>
      <c r="Q891" s="14">
        <f t="shared" si="119"/>
        <v>882.52033500000005</v>
      </c>
      <c r="R891" s="4">
        <f t="shared" si="120"/>
        <v>0</v>
      </c>
      <c r="S891" s="14">
        <f t="shared" si="121"/>
        <v>0</v>
      </c>
      <c r="T891" s="4" t="e">
        <f t="shared" si="122"/>
        <v>#DIV/0!</v>
      </c>
      <c r="U891" s="3">
        <f>LEN(A891) - LEN(SUBSTITUTE(A891,"&gt;","")) +1</f>
        <v>5</v>
      </c>
      <c r="V891" s="8" t="e">
        <f t="shared" si="123"/>
        <v>#DIV/0!</v>
      </c>
      <c r="W891" s="14">
        <f t="shared" si="124"/>
        <v>353.00813400000004</v>
      </c>
      <c r="X891" s="4">
        <f t="shared" si="125"/>
        <v>0</v>
      </c>
    </row>
    <row r="892" spans="1:24" ht="14.25" customHeight="1" x14ac:dyDescent="0.2">
      <c r="A892" s="5" t="s">
        <v>2235</v>
      </c>
      <c r="B892" s="3" t="s">
        <v>24</v>
      </c>
      <c r="C892" s="3" t="s">
        <v>32</v>
      </c>
      <c r="D892" s="3" t="s">
        <v>2357</v>
      </c>
      <c r="E892" s="3" t="s">
        <v>2358</v>
      </c>
      <c r="F892" s="3" t="s">
        <v>1327</v>
      </c>
      <c r="G892" s="3" t="s">
        <v>27</v>
      </c>
      <c r="H892" s="3" t="s">
        <v>19</v>
      </c>
      <c r="I892" s="3">
        <v>8944</v>
      </c>
      <c r="J892" s="3">
        <v>0</v>
      </c>
      <c r="K892" s="3">
        <v>3002</v>
      </c>
      <c r="L892" s="3">
        <v>6361</v>
      </c>
      <c r="M892" s="3">
        <v>1</v>
      </c>
      <c r="N892" s="14">
        <v>1755.4845419999999</v>
      </c>
      <c r="O892" s="7">
        <f t="shared" si="117"/>
        <v>0</v>
      </c>
      <c r="P892" s="14">
        <f t="shared" si="118"/>
        <v>0</v>
      </c>
      <c r="Q892" s="14">
        <f t="shared" si="119"/>
        <v>1755.4845419999999</v>
      </c>
      <c r="R892" s="4">
        <f t="shared" si="120"/>
        <v>0</v>
      </c>
      <c r="S892" s="14">
        <f t="shared" si="121"/>
        <v>275.9761895928313</v>
      </c>
      <c r="T892" s="4">
        <f t="shared" si="122"/>
        <v>33.564400715563508</v>
      </c>
      <c r="U892" s="3">
        <f>LEN(A892) - LEN(SUBSTITUTE(A892,"&gt;","")) +1</f>
        <v>4</v>
      </c>
      <c r="V892" s="8">
        <f t="shared" si="123"/>
        <v>0</v>
      </c>
      <c r="W892" s="14">
        <f t="shared" si="124"/>
        <v>438.87113549999998</v>
      </c>
      <c r="X892" s="4">
        <f t="shared" si="125"/>
        <v>0</v>
      </c>
    </row>
    <row r="893" spans="1:24" ht="14.25" customHeight="1" x14ac:dyDescent="0.2">
      <c r="A893" s="5" t="s">
        <v>2236</v>
      </c>
      <c r="B893" s="3" t="s">
        <v>14</v>
      </c>
      <c r="C893" s="3" t="s">
        <v>15</v>
      </c>
      <c r="D893" s="3" t="s">
        <v>2370</v>
      </c>
      <c r="E893" s="3" t="s">
        <v>2360</v>
      </c>
      <c r="F893" s="3" t="s">
        <v>1329</v>
      </c>
      <c r="G893" s="3" t="s">
        <v>27</v>
      </c>
      <c r="H893" s="3" t="s">
        <v>19</v>
      </c>
      <c r="I893" s="3">
        <v>1221</v>
      </c>
      <c r="J893" s="3">
        <v>0</v>
      </c>
      <c r="K893" s="3">
        <v>643</v>
      </c>
      <c r="L893" s="3">
        <v>1140</v>
      </c>
      <c r="M893" s="3">
        <v>1</v>
      </c>
      <c r="N893" s="14">
        <v>1752.2174090000001</v>
      </c>
      <c r="O893" s="7">
        <f t="shared" si="117"/>
        <v>0</v>
      </c>
      <c r="P893" s="14">
        <f t="shared" si="118"/>
        <v>0</v>
      </c>
      <c r="Q893" s="14">
        <f t="shared" si="119"/>
        <v>1752.2174090000001</v>
      </c>
      <c r="R893" s="4">
        <f t="shared" si="120"/>
        <v>0</v>
      </c>
      <c r="S893" s="14">
        <f t="shared" si="121"/>
        <v>1537.0328149122806</v>
      </c>
      <c r="T893" s="4">
        <f t="shared" si="122"/>
        <v>52.661752661752658</v>
      </c>
      <c r="U893" s="3">
        <f>LEN(A893) - LEN(SUBSTITUTE(A893,"&gt;","")) +1</f>
        <v>4</v>
      </c>
      <c r="V893" s="8">
        <f t="shared" si="123"/>
        <v>0</v>
      </c>
      <c r="W893" s="14">
        <f t="shared" si="124"/>
        <v>438.05435225000002</v>
      </c>
      <c r="X893" s="4">
        <f t="shared" si="125"/>
        <v>0</v>
      </c>
    </row>
    <row r="894" spans="1:24" ht="14.25" customHeight="1" x14ac:dyDescent="0.2">
      <c r="A894" s="5" t="s">
        <v>2237</v>
      </c>
      <c r="B894" s="3" t="s">
        <v>24</v>
      </c>
      <c r="C894" s="3" t="s">
        <v>32</v>
      </c>
      <c r="D894" s="3" t="s">
        <v>2386</v>
      </c>
      <c r="E894" s="3" t="s">
        <v>2387</v>
      </c>
      <c r="F894" s="3" t="s">
        <v>1331</v>
      </c>
      <c r="G894" s="3" t="s">
        <v>22</v>
      </c>
      <c r="H894" s="3" t="s">
        <v>114</v>
      </c>
      <c r="I894" s="3">
        <v>190</v>
      </c>
      <c r="J894" s="3">
        <v>0</v>
      </c>
      <c r="K894" s="3">
        <v>123</v>
      </c>
      <c r="L894" s="3">
        <v>172</v>
      </c>
      <c r="M894" s="3">
        <v>1</v>
      </c>
      <c r="N894" s="14">
        <v>1746.935526</v>
      </c>
      <c r="O894" s="7">
        <f t="shared" si="117"/>
        <v>0</v>
      </c>
      <c r="P894" s="14">
        <f t="shared" si="118"/>
        <v>0</v>
      </c>
      <c r="Q894" s="14">
        <f t="shared" si="119"/>
        <v>1746.935526</v>
      </c>
      <c r="R894" s="4">
        <f t="shared" si="120"/>
        <v>0</v>
      </c>
      <c r="S894" s="14">
        <f t="shared" si="121"/>
        <v>10156.601895348836</v>
      </c>
      <c r="T894" s="4">
        <f t="shared" si="122"/>
        <v>64.736842105263165</v>
      </c>
      <c r="U894" s="3">
        <f>LEN(A894) - LEN(SUBSTITUTE(A894,"&gt;","")) +1</f>
        <v>4</v>
      </c>
      <c r="V894" s="8">
        <f t="shared" si="123"/>
        <v>0</v>
      </c>
      <c r="W894" s="14">
        <f t="shared" si="124"/>
        <v>436.7338815</v>
      </c>
      <c r="X894" s="4">
        <f t="shared" si="125"/>
        <v>0</v>
      </c>
    </row>
    <row r="895" spans="1:24" ht="14.25" customHeight="1" x14ac:dyDescent="0.2">
      <c r="A895" s="5" t="s">
        <v>2238</v>
      </c>
      <c r="B895" s="3" t="s">
        <v>24</v>
      </c>
      <c r="C895" s="3" t="s">
        <v>32</v>
      </c>
      <c r="D895" s="3" t="s">
        <v>2368</v>
      </c>
      <c r="E895" s="3" t="s">
        <v>2352</v>
      </c>
      <c r="F895" s="3" t="s">
        <v>1217</v>
      </c>
      <c r="G895" s="3" t="s">
        <v>27</v>
      </c>
      <c r="H895" s="3" t="s">
        <v>163</v>
      </c>
      <c r="I895" s="3">
        <v>7470</v>
      </c>
      <c r="J895" s="3">
        <v>0</v>
      </c>
      <c r="K895" s="3">
        <v>6753</v>
      </c>
      <c r="L895" s="3">
        <v>7229</v>
      </c>
      <c r="M895" s="3">
        <v>1</v>
      </c>
      <c r="N895" s="14">
        <v>1738.9952820000001</v>
      </c>
      <c r="O895" s="7">
        <f t="shared" si="117"/>
        <v>0</v>
      </c>
      <c r="P895" s="14">
        <f t="shared" si="118"/>
        <v>0</v>
      </c>
      <c r="Q895" s="14">
        <f t="shared" si="119"/>
        <v>1738.9952820000001</v>
      </c>
      <c r="R895" s="4">
        <f t="shared" si="120"/>
        <v>0</v>
      </c>
      <c r="S895" s="14">
        <f t="shared" si="121"/>
        <v>240.55820749757919</v>
      </c>
      <c r="T895" s="4">
        <f t="shared" si="122"/>
        <v>90.401606425702809</v>
      </c>
      <c r="U895" s="3">
        <f>LEN(A895) - LEN(SUBSTITUTE(A895,"&gt;","")) +1</f>
        <v>5</v>
      </c>
      <c r="V895" s="8">
        <f t="shared" si="123"/>
        <v>0</v>
      </c>
      <c r="W895" s="14">
        <f t="shared" si="124"/>
        <v>347.79905640000004</v>
      </c>
      <c r="X895" s="4">
        <f t="shared" si="125"/>
        <v>0</v>
      </c>
    </row>
    <row r="896" spans="1:24" ht="14.25" customHeight="1" x14ac:dyDescent="0.2">
      <c r="A896" s="5" t="s">
        <v>2239</v>
      </c>
      <c r="B896" s="3" t="s">
        <v>24</v>
      </c>
      <c r="C896" s="3" t="s">
        <v>29</v>
      </c>
      <c r="D896" s="3" t="s">
        <v>2370</v>
      </c>
      <c r="E896" s="3" t="s">
        <v>2360</v>
      </c>
      <c r="F896" s="3" t="s">
        <v>635</v>
      </c>
      <c r="G896" s="3" t="s">
        <v>27</v>
      </c>
      <c r="H896" s="3" t="s">
        <v>19</v>
      </c>
      <c r="I896" s="3">
        <v>37554</v>
      </c>
      <c r="J896" s="3">
        <v>0</v>
      </c>
      <c r="K896" s="3">
        <v>13128</v>
      </c>
      <c r="L896" s="3">
        <v>27596</v>
      </c>
      <c r="M896" s="3">
        <v>3</v>
      </c>
      <c r="N896" s="14">
        <v>1737.8434850000001</v>
      </c>
      <c r="O896" s="7">
        <f t="shared" si="117"/>
        <v>0</v>
      </c>
      <c r="P896" s="14">
        <f t="shared" si="118"/>
        <v>0</v>
      </c>
      <c r="Q896" s="14">
        <f t="shared" si="119"/>
        <v>579.28116166666666</v>
      </c>
      <c r="R896" s="4">
        <f t="shared" si="120"/>
        <v>0</v>
      </c>
      <c r="S896" s="14">
        <f t="shared" si="121"/>
        <v>62.974470394260045</v>
      </c>
      <c r="T896" s="4">
        <f t="shared" si="122"/>
        <v>34.957660968205786</v>
      </c>
      <c r="U896" s="3">
        <f>LEN(A896) - LEN(SUBSTITUTE(A896,"&gt;","")) +1</f>
        <v>4</v>
      </c>
      <c r="V896" s="8">
        <f t="shared" si="123"/>
        <v>0</v>
      </c>
      <c r="W896" s="14">
        <f t="shared" si="124"/>
        <v>434.46087125000003</v>
      </c>
      <c r="X896" s="4">
        <f t="shared" si="125"/>
        <v>0</v>
      </c>
    </row>
    <row r="897" spans="1:24" ht="14.25" customHeight="1" x14ac:dyDescent="0.2">
      <c r="A897" s="5" t="s">
        <v>2240</v>
      </c>
      <c r="B897" s="3" t="s">
        <v>24</v>
      </c>
      <c r="C897" s="3" t="s">
        <v>35</v>
      </c>
      <c r="D897" s="3" t="s">
        <v>2366</v>
      </c>
      <c r="E897" s="3" t="s">
        <v>2352</v>
      </c>
      <c r="F897" s="3" t="s">
        <v>1335</v>
      </c>
      <c r="G897" s="3" t="s">
        <v>27</v>
      </c>
      <c r="H897" s="3" t="s">
        <v>19</v>
      </c>
      <c r="I897" s="3">
        <v>257</v>
      </c>
      <c r="J897" s="3">
        <v>0</v>
      </c>
      <c r="K897" s="3">
        <v>154</v>
      </c>
      <c r="L897" s="3">
        <v>183</v>
      </c>
      <c r="M897" s="3">
        <v>8</v>
      </c>
      <c r="N897" s="14">
        <v>1737.3540519999999</v>
      </c>
      <c r="O897" s="7">
        <f t="shared" si="117"/>
        <v>0</v>
      </c>
      <c r="P897" s="14">
        <f t="shared" si="118"/>
        <v>0</v>
      </c>
      <c r="Q897" s="14">
        <f t="shared" si="119"/>
        <v>217.16925649999999</v>
      </c>
      <c r="R897" s="4">
        <f t="shared" si="120"/>
        <v>0</v>
      </c>
      <c r="S897" s="14">
        <f t="shared" si="121"/>
        <v>9493.7379890710381</v>
      </c>
      <c r="T897" s="4">
        <f t="shared" si="122"/>
        <v>59.922178988326849</v>
      </c>
      <c r="U897" s="3">
        <f>LEN(A897) - LEN(SUBSTITUTE(A897,"&gt;","")) +1</f>
        <v>2</v>
      </c>
      <c r="V897" s="8">
        <f t="shared" si="123"/>
        <v>0</v>
      </c>
      <c r="W897" s="14">
        <f t="shared" si="124"/>
        <v>868.67702599999996</v>
      </c>
      <c r="X897" s="4">
        <f t="shared" si="125"/>
        <v>0</v>
      </c>
    </row>
    <row r="898" spans="1:24" ht="14.25" customHeight="1" x14ac:dyDescent="0.2">
      <c r="A898" s="5" t="s">
        <v>2241</v>
      </c>
      <c r="B898" s="3" t="s">
        <v>14</v>
      </c>
      <c r="C898" s="3" t="s">
        <v>35</v>
      </c>
      <c r="D898" s="3" t="s">
        <v>2357</v>
      </c>
      <c r="E898" s="3" t="s">
        <v>2358</v>
      </c>
      <c r="F898" s="3" t="s">
        <v>1337</v>
      </c>
      <c r="G898" s="3" t="s">
        <v>27</v>
      </c>
      <c r="H898" s="3" t="s">
        <v>19</v>
      </c>
      <c r="I898" s="3">
        <v>6</v>
      </c>
      <c r="J898" s="3">
        <v>0</v>
      </c>
      <c r="K898" s="3">
        <v>3</v>
      </c>
      <c r="L898" s="3">
        <v>6</v>
      </c>
      <c r="M898" s="3">
        <v>2</v>
      </c>
      <c r="N898" s="14">
        <v>1718.598804</v>
      </c>
      <c r="O898" s="7">
        <f t="shared" si="117"/>
        <v>0</v>
      </c>
      <c r="P898" s="14">
        <f t="shared" si="118"/>
        <v>0</v>
      </c>
      <c r="Q898" s="14">
        <f t="shared" si="119"/>
        <v>859.29940199999999</v>
      </c>
      <c r="R898" s="4">
        <f t="shared" si="120"/>
        <v>0</v>
      </c>
      <c r="S898" s="14">
        <f t="shared" si="121"/>
        <v>286433.13400000002</v>
      </c>
      <c r="T898" s="4">
        <f t="shared" si="122"/>
        <v>50</v>
      </c>
      <c r="U898" s="3">
        <f>LEN(A898) - LEN(SUBSTITUTE(A898,"&gt;","")) +1</f>
        <v>4</v>
      </c>
      <c r="V898" s="8">
        <f t="shared" si="123"/>
        <v>0</v>
      </c>
      <c r="W898" s="14">
        <f t="shared" si="124"/>
        <v>429.64970099999999</v>
      </c>
      <c r="X898" s="4">
        <f t="shared" si="125"/>
        <v>0</v>
      </c>
    </row>
    <row r="899" spans="1:24" ht="14.25" customHeight="1" x14ac:dyDescent="0.2">
      <c r="A899" s="5" t="s">
        <v>2242</v>
      </c>
      <c r="B899" s="3" t="s">
        <v>24</v>
      </c>
      <c r="C899" s="3" t="s">
        <v>15</v>
      </c>
      <c r="D899" s="3" t="s">
        <v>2349</v>
      </c>
      <c r="E899" s="3" t="s">
        <v>2350</v>
      </c>
      <c r="F899" s="3" t="s">
        <v>48</v>
      </c>
      <c r="G899" s="3" t="s">
        <v>22</v>
      </c>
      <c r="H899" s="3" t="s">
        <v>19</v>
      </c>
      <c r="I899" s="3">
        <v>7540</v>
      </c>
      <c r="J899" s="3">
        <v>0</v>
      </c>
      <c r="K899" s="3">
        <v>1475</v>
      </c>
      <c r="L899" s="3">
        <v>2054</v>
      </c>
      <c r="M899" s="3">
        <v>1</v>
      </c>
      <c r="N899" s="14">
        <v>1713.978863</v>
      </c>
      <c r="O899" s="7">
        <f t="shared" ref="O899:O962" si="126">IFERROR((J899/I899)*100, 0)</f>
        <v>0</v>
      </c>
      <c r="P899" s="14">
        <f t="shared" ref="P899:P962" si="127">IFERROR(N899/J899, 0)</f>
        <v>0</v>
      </c>
      <c r="Q899" s="14">
        <f t="shared" ref="Q899:Q962" si="128">IFERROR(N899/M899, 0)</f>
        <v>1713.978863</v>
      </c>
      <c r="R899" s="4">
        <f t="shared" ref="R899:R962" si="129">IFERROR((M899/J899)*100, 0)</f>
        <v>0</v>
      </c>
      <c r="S899" s="14">
        <f t="shared" ref="S899:S962" si="130">IFERROR((N899/L899)*1000, 0)</f>
        <v>834.45903748782871</v>
      </c>
      <c r="T899" s="4">
        <f t="shared" ref="T899:T962" si="131">(K899/I899)*100</f>
        <v>19.562334217506631</v>
      </c>
      <c r="U899" s="3">
        <f>LEN(A899) - LEN(SUBSTITUTE(A899,"&gt;","")) +1</f>
        <v>3</v>
      </c>
      <c r="V899" s="8">
        <f t="shared" ref="V899:V962" si="132">R899/I899</f>
        <v>0</v>
      </c>
      <c r="W899" s="14">
        <f t="shared" ref="W899:W962" si="133">N899/U899</f>
        <v>571.32628766666664</v>
      </c>
      <c r="X899" s="4">
        <f t="shared" ref="X899:X962" si="134">(O899*R899/Q899)</f>
        <v>0</v>
      </c>
    </row>
    <row r="900" spans="1:24" ht="14.25" customHeight="1" x14ac:dyDescent="0.2">
      <c r="A900" s="5" t="s">
        <v>2243</v>
      </c>
      <c r="B900" s="3" t="s">
        <v>24</v>
      </c>
      <c r="C900" s="3" t="s">
        <v>29</v>
      </c>
      <c r="D900" s="3" t="s">
        <v>2349</v>
      </c>
      <c r="E900" s="3" t="s">
        <v>2350</v>
      </c>
      <c r="F900" s="3" t="s">
        <v>1340</v>
      </c>
      <c r="G900" s="3" t="s">
        <v>27</v>
      </c>
      <c r="H900" s="3" t="s">
        <v>19</v>
      </c>
      <c r="I900" s="3">
        <v>151</v>
      </c>
      <c r="J900" s="3">
        <v>0</v>
      </c>
      <c r="K900" s="3">
        <v>98</v>
      </c>
      <c r="L900" s="3">
        <v>120</v>
      </c>
      <c r="M900" s="3">
        <v>7</v>
      </c>
      <c r="N900" s="14">
        <v>1710.104094</v>
      </c>
      <c r="O900" s="7">
        <f t="shared" si="126"/>
        <v>0</v>
      </c>
      <c r="P900" s="14">
        <f t="shared" si="127"/>
        <v>0</v>
      </c>
      <c r="Q900" s="14">
        <f t="shared" si="128"/>
        <v>244.30058485714287</v>
      </c>
      <c r="R900" s="4">
        <f t="shared" si="129"/>
        <v>0</v>
      </c>
      <c r="S900" s="14">
        <f t="shared" si="130"/>
        <v>14250.86745</v>
      </c>
      <c r="T900" s="4">
        <f t="shared" si="131"/>
        <v>64.900662251655632</v>
      </c>
      <c r="U900" s="3">
        <f>LEN(A900) - LEN(SUBSTITUTE(A900,"&gt;","")) +1</f>
        <v>2</v>
      </c>
      <c r="V900" s="8">
        <f t="shared" si="132"/>
        <v>0</v>
      </c>
      <c r="W900" s="14">
        <f t="shared" si="133"/>
        <v>855.05204700000002</v>
      </c>
      <c r="X900" s="4">
        <f t="shared" si="134"/>
        <v>0</v>
      </c>
    </row>
    <row r="901" spans="1:24" ht="14.25" customHeight="1" x14ac:dyDescent="0.2">
      <c r="A901" s="5" t="s">
        <v>2244</v>
      </c>
      <c r="B901" s="3" t="s">
        <v>14</v>
      </c>
      <c r="C901" s="3" t="s">
        <v>35</v>
      </c>
      <c r="D901" s="3" t="s">
        <v>2349</v>
      </c>
      <c r="E901" s="3" t="s">
        <v>2350</v>
      </c>
      <c r="F901" s="3" t="s">
        <v>341</v>
      </c>
      <c r="G901" s="3" t="s">
        <v>27</v>
      </c>
      <c r="H901" s="3" t="s">
        <v>19</v>
      </c>
      <c r="I901" s="3">
        <v>7197</v>
      </c>
      <c r="J901" s="3">
        <v>0</v>
      </c>
      <c r="K901" s="3">
        <v>3537</v>
      </c>
      <c r="L901" s="3">
        <v>6033</v>
      </c>
      <c r="M901" s="3">
        <v>1</v>
      </c>
      <c r="N901" s="14">
        <v>1707.045464</v>
      </c>
      <c r="O901" s="7">
        <f t="shared" si="126"/>
        <v>0</v>
      </c>
      <c r="P901" s="14">
        <f t="shared" si="127"/>
        <v>0</v>
      </c>
      <c r="Q901" s="14">
        <f t="shared" si="128"/>
        <v>1707.045464</v>
      </c>
      <c r="R901" s="4">
        <f t="shared" si="129"/>
        <v>0</v>
      </c>
      <c r="S901" s="14">
        <f t="shared" si="130"/>
        <v>282.95134493618434</v>
      </c>
      <c r="T901" s="4">
        <f t="shared" si="131"/>
        <v>49.145477282200915</v>
      </c>
      <c r="U901" s="3">
        <f>LEN(A901) - LEN(SUBSTITUTE(A901,"&gt;","")) +1</f>
        <v>3</v>
      </c>
      <c r="V901" s="8">
        <f t="shared" si="132"/>
        <v>0</v>
      </c>
      <c r="W901" s="14">
        <f t="shared" si="133"/>
        <v>569.01515466666672</v>
      </c>
      <c r="X901" s="4">
        <f t="shared" si="134"/>
        <v>0</v>
      </c>
    </row>
    <row r="902" spans="1:24" ht="14.25" customHeight="1" x14ac:dyDescent="0.2">
      <c r="A902" s="5" t="s">
        <v>2245</v>
      </c>
      <c r="B902" s="3" t="s">
        <v>24</v>
      </c>
      <c r="C902" s="3" t="s">
        <v>35</v>
      </c>
      <c r="D902" s="3" t="s">
        <v>2353</v>
      </c>
      <c r="E902" s="3" t="s">
        <v>2354</v>
      </c>
      <c r="F902" s="3" t="s">
        <v>1343</v>
      </c>
      <c r="G902" s="3" t="s">
        <v>22</v>
      </c>
      <c r="H902" s="3" t="s">
        <v>114</v>
      </c>
      <c r="I902" s="3">
        <v>0</v>
      </c>
      <c r="J902" s="3">
        <v>0</v>
      </c>
      <c r="K902" s="3">
        <v>0</v>
      </c>
      <c r="L902" s="3">
        <v>0</v>
      </c>
      <c r="M902" s="3">
        <v>3</v>
      </c>
      <c r="N902" s="14">
        <v>1705.533819</v>
      </c>
      <c r="O902" s="7">
        <f t="shared" si="126"/>
        <v>0</v>
      </c>
      <c r="P902" s="14">
        <f t="shared" si="127"/>
        <v>0</v>
      </c>
      <c r="Q902" s="14">
        <f t="shared" si="128"/>
        <v>568.51127299999996</v>
      </c>
      <c r="R902" s="4">
        <f t="shared" si="129"/>
        <v>0</v>
      </c>
      <c r="S902" s="14">
        <f t="shared" si="130"/>
        <v>0</v>
      </c>
      <c r="T902" s="4" t="e">
        <f t="shared" si="131"/>
        <v>#DIV/0!</v>
      </c>
      <c r="U902" s="3">
        <f>LEN(A902) - LEN(SUBSTITUTE(A902,"&gt;","")) +1</f>
        <v>3</v>
      </c>
      <c r="V902" s="8" t="e">
        <f t="shared" si="132"/>
        <v>#DIV/0!</v>
      </c>
      <c r="W902" s="14">
        <f t="shared" si="133"/>
        <v>568.51127299999996</v>
      </c>
      <c r="X902" s="4">
        <f t="shared" si="134"/>
        <v>0</v>
      </c>
    </row>
    <row r="903" spans="1:24" ht="14.25" customHeight="1" x14ac:dyDescent="0.2">
      <c r="A903" s="5" t="s">
        <v>2246</v>
      </c>
      <c r="B903" s="3" t="s">
        <v>14</v>
      </c>
      <c r="C903" s="3" t="s">
        <v>15</v>
      </c>
      <c r="D903" s="3" t="s">
        <v>2407</v>
      </c>
      <c r="E903" s="3" t="s">
        <v>2408</v>
      </c>
      <c r="F903" s="3" t="s">
        <v>159</v>
      </c>
      <c r="G903" s="3" t="s">
        <v>38</v>
      </c>
      <c r="H903" s="3" t="s">
        <v>19</v>
      </c>
      <c r="I903" s="3">
        <v>179</v>
      </c>
      <c r="J903" s="3">
        <v>0</v>
      </c>
      <c r="K903" s="3">
        <v>53</v>
      </c>
      <c r="L903" s="3">
        <v>148</v>
      </c>
      <c r="M903" s="3">
        <v>3</v>
      </c>
      <c r="N903" s="14">
        <v>1686.691212</v>
      </c>
      <c r="O903" s="7">
        <f t="shared" si="126"/>
        <v>0</v>
      </c>
      <c r="P903" s="14">
        <f t="shared" si="127"/>
        <v>0</v>
      </c>
      <c r="Q903" s="14">
        <f t="shared" si="128"/>
        <v>562.23040400000002</v>
      </c>
      <c r="R903" s="4">
        <f t="shared" si="129"/>
        <v>0</v>
      </c>
      <c r="S903" s="14">
        <f t="shared" si="130"/>
        <v>11396.562243243243</v>
      </c>
      <c r="T903" s="4">
        <f t="shared" si="131"/>
        <v>29.608938547486037</v>
      </c>
      <c r="U903" s="3">
        <f>LEN(A903) - LEN(SUBSTITUTE(A903,"&gt;","")) +1</f>
        <v>3</v>
      </c>
      <c r="V903" s="8">
        <f t="shared" si="132"/>
        <v>0</v>
      </c>
      <c r="W903" s="14">
        <f t="shared" si="133"/>
        <v>562.23040400000002</v>
      </c>
      <c r="X903" s="4">
        <f t="shared" si="134"/>
        <v>0</v>
      </c>
    </row>
    <row r="904" spans="1:24" ht="14.25" customHeight="1" x14ac:dyDescent="0.2">
      <c r="A904" s="5" t="s">
        <v>2247</v>
      </c>
      <c r="B904" s="3" t="s">
        <v>24</v>
      </c>
      <c r="C904" s="3" t="s">
        <v>32</v>
      </c>
      <c r="D904" s="3" t="s">
        <v>2369</v>
      </c>
      <c r="E904" s="3" t="s">
        <v>2365</v>
      </c>
      <c r="F904" s="3" t="s">
        <v>1347</v>
      </c>
      <c r="G904" s="3" t="s">
        <v>27</v>
      </c>
      <c r="H904" s="3" t="s">
        <v>114</v>
      </c>
      <c r="I904" s="3">
        <v>79</v>
      </c>
      <c r="J904" s="3">
        <v>0</v>
      </c>
      <c r="K904" s="3">
        <v>9</v>
      </c>
      <c r="L904" s="3">
        <v>72</v>
      </c>
      <c r="M904" s="3">
        <v>1</v>
      </c>
      <c r="N904" s="14">
        <v>1681.984072</v>
      </c>
      <c r="O904" s="7">
        <f t="shared" si="126"/>
        <v>0</v>
      </c>
      <c r="P904" s="14">
        <f t="shared" si="127"/>
        <v>0</v>
      </c>
      <c r="Q904" s="14">
        <f t="shared" si="128"/>
        <v>1681.984072</v>
      </c>
      <c r="R904" s="4">
        <f t="shared" si="129"/>
        <v>0</v>
      </c>
      <c r="S904" s="14">
        <f t="shared" si="130"/>
        <v>23360.889888888887</v>
      </c>
      <c r="T904" s="4">
        <f t="shared" si="131"/>
        <v>11.39240506329114</v>
      </c>
      <c r="U904" s="3">
        <f>LEN(A904) - LEN(SUBSTITUTE(A904,"&gt;","")) +1</f>
        <v>3</v>
      </c>
      <c r="V904" s="8">
        <f t="shared" si="132"/>
        <v>0</v>
      </c>
      <c r="W904" s="14">
        <f t="shared" si="133"/>
        <v>560.66135733333329</v>
      </c>
      <c r="X904" s="4">
        <f t="shared" si="134"/>
        <v>0</v>
      </c>
    </row>
    <row r="905" spans="1:24" ht="14.25" customHeight="1" x14ac:dyDescent="0.2">
      <c r="A905" s="5" t="s">
        <v>2248</v>
      </c>
      <c r="B905" s="3" t="s">
        <v>24</v>
      </c>
      <c r="C905" s="3" t="s">
        <v>15</v>
      </c>
      <c r="D905" s="3" t="s">
        <v>2363</v>
      </c>
      <c r="E905" s="3" t="s">
        <v>2358</v>
      </c>
      <c r="F905" s="3" t="s">
        <v>111</v>
      </c>
      <c r="G905" s="3" t="s">
        <v>22</v>
      </c>
      <c r="H905" s="3" t="s">
        <v>19</v>
      </c>
      <c r="I905" s="3">
        <v>10811</v>
      </c>
      <c r="J905" s="3">
        <v>0</v>
      </c>
      <c r="K905" s="3">
        <v>988</v>
      </c>
      <c r="L905" s="3">
        <v>2975</v>
      </c>
      <c r="M905" s="3">
        <v>1</v>
      </c>
      <c r="N905" s="14">
        <v>1679.833815</v>
      </c>
      <c r="O905" s="7">
        <f t="shared" si="126"/>
        <v>0</v>
      </c>
      <c r="P905" s="14">
        <f t="shared" si="127"/>
        <v>0</v>
      </c>
      <c r="Q905" s="14">
        <f t="shared" si="128"/>
        <v>1679.833815</v>
      </c>
      <c r="R905" s="4">
        <f t="shared" si="129"/>
        <v>0</v>
      </c>
      <c r="S905" s="14">
        <f t="shared" si="130"/>
        <v>564.65002184873947</v>
      </c>
      <c r="T905" s="4">
        <f t="shared" si="131"/>
        <v>9.1388400702987695</v>
      </c>
      <c r="U905" s="3">
        <f>LEN(A905) - LEN(SUBSTITUTE(A905,"&gt;","")) +1</f>
        <v>4</v>
      </c>
      <c r="V905" s="8">
        <f t="shared" si="132"/>
        <v>0</v>
      </c>
      <c r="W905" s="14">
        <f t="shared" si="133"/>
        <v>419.95845374999999</v>
      </c>
      <c r="X905" s="4">
        <f t="shared" si="134"/>
        <v>0</v>
      </c>
    </row>
    <row r="906" spans="1:24" ht="14.25" customHeight="1" x14ac:dyDescent="0.2">
      <c r="A906" s="5" t="s">
        <v>2249</v>
      </c>
      <c r="B906" s="3" t="s">
        <v>14</v>
      </c>
      <c r="C906" s="3" t="s">
        <v>35</v>
      </c>
      <c r="D906" s="3" t="s">
        <v>2357</v>
      </c>
      <c r="E906" s="3" t="s">
        <v>2358</v>
      </c>
      <c r="F906" s="3" t="s">
        <v>1281</v>
      </c>
      <c r="G906" s="3" t="s">
        <v>33</v>
      </c>
      <c r="H906" s="3" t="s">
        <v>19</v>
      </c>
      <c r="I906" s="3">
        <v>4250</v>
      </c>
      <c r="J906" s="3">
        <v>0</v>
      </c>
      <c r="K906" s="3">
        <v>755</v>
      </c>
      <c r="L906" s="3">
        <v>2183</v>
      </c>
      <c r="M906" s="3">
        <v>24</v>
      </c>
      <c r="N906" s="14">
        <v>1678.707498</v>
      </c>
      <c r="O906" s="7">
        <f t="shared" si="126"/>
        <v>0</v>
      </c>
      <c r="P906" s="14">
        <f t="shared" si="127"/>
        <v>0</v>
      </c>
      <c r="Q906" s="14">
        <f t="shared" si="128"/>
        <v>69.946145749999999</v>
      </c>
      <c r="R906" s="4">
        <f t="shared" si="129"/>
        <v>0</v>
      </c>
      <c r="S906" s="14">
        <f t="shared" si="130"/>
        <v>768.99106642235461</v>
      </c>
      <c r="T906" s="4">
        <f t="shared" si="131"/>
        <v>17.764705882352942</v>
      </c>
      <c r="U906" s="3">
        <f>LEN(A906) - LEN(SUBSTITUTE(A906,"&gt;","")) +1</f>
        <v>3</v>
      </c>
      <c r="V906" s="8">
        <f t="shared" si="132"/>
        <v>0</v>
      </c>
      <c r="W906" s="14">
        <f t="shared" si="133"/>
        <v>559.569166</v>
      </c>
      <c r="X906" s="4">
        <f t="shared" si="134"/>
        <v>0</v>
      </c>
    </row>
    <row r="907" spans="1:24" ht="14.25" customHeight="1" x14ac:dyDescent="0.2">
      <c r="A907" s="5" t="s">
        <v>2250</v>
      </c>
      <c r="B907" s="3" t="s">
        <v>14</v>
      </c>
      <c r="C907" s="3" t="s">
        <v>35</v>
      </c>
      <c r="D907" s="3" t="s">
        <v>2366</v>
      </c>
      <c r="E907" s="3" t="s">
        <v>2352</v>
      </c>
      <c r="F907" s="3" t="s">
        <v>1351</v>
      </c>
      <c r="G907" s="3" t="s">
        <v>22</v>
      </c>
      <c r="H907" s="3" t="s">
        <v>19</v>
      </c>
      <c r="I907" s="3">
        <v>10992</v>
      </c>
      <c r="J907" s="3">
        <v>0</v>
      </c>
      <c r="K907" s="3">
        <v>6677</v>
      </c>
      <c r="L907" s="3">
        <v>10132</v>
      </c>
      <c r="M907" s="3">
        <v>1</v>
      </c>
      <c r="N907" s="14">
        <v>1675.987427</v>
      </c>
      <c r="O907" s="7">
        <f t="shared" si="126"/>
        <v>0</v>
      </c>
      <c r="P907" s="14">
        <f t="shared" si="127"/>
        <v>0</v>
      </c>
      <c r="Q907" s="14">
        <f t="shared" si="128"/>
        <v>1675.987427</v>
      </c>
      <c r="R907" s="4">
        <f t="shared" si="129"/>
        <v>0</v>
      </c>
      <c r="S907" s="14">
        <f t="shared" si="130"/>
        <v>165.41526125148044</v>
      </c>
      <c r="T907" s="4">
        <f t="shared" si="131"/>
        <v>60.744177583697237</v>
      </c>
      <c r="U907" s="3">
        <f>LEN(A907) - LEN(SUBSTITUTE(A907,"&gt;","")) +1</f>
        <v>5</v>
      </c>
      <c r="V907" s="8">
        <f t="shared" si="132"/>
        <v>0</v>
      </c>
      <c r="W907" s="14">
        <f t="shared" si="133"/>
        <v>335.19748540000001</v>
      </c>
      <c r="X907" s="4">
        <f t="shared" si="134"/>
        <v>0</v>
      </c>
    </row>
    <row r="908" spans="1:24" ht="14.25" customHeight="1" x14ac:dyDescent="0.2">
      <c r="A908" s="5" t="s">
        <v>2251</v>
      </c>
      <c r="B908" s="3" t="s">
        <v>14</v>
      </c>
      <c r="C908" s="3" t="s">
        <v>35</v>
      </c>
      <c r="D908" s="3" t="s">
        <v>2349</v>
      </c>
      <c r="E908" s="3" t="s">
        <v>2350</v>
      </c>
      <c r="F908" s="3" t="s">
        <v>1353</v>
      </c>
      <c r="G908" s="3" t="s">
        <v>76</v>
      </c>
      <c r="H908" s="3" t="s">
        <v>19</v>
      </c>
      <c r="I908" s="3">
        <v>40</v>
      </c>
      <c r="J908" s="3">
        <v>0</v>
      </c>
      <c r="K908" s="3">
        <v>24</v>
      </c>
      <c r="L908" s="3">
        <v>38</v>
      </c>
      <c r="M908" s="3">
        <v>21</v>
      </c>
      <c r="N908" s="14">
        <v>1675.855515</v>
      </c>
      <c r="O908" s="7">
        <f t="shared" si="126"/>
        <v>0</v>
      </c>
      <c r="P908" s="14">
        <f t="shared" si="127"/>
        <v>0</v>
      </c>
      <c r="Q908" s="14">
        <f t="shared" si="128"/>
        <v>79.802643571428575</v>
      </c>
      <c r="R908" s="4">
        <f t="shared" si="129"/>
        <v>0</v>
      </c>
      <c r="S908" s="14">
        <f t="shared" si="130"/>
        <v>44101.460921052625</v>
      </c>
      <c r="T908" s="4">
        <f t="shared" si="131"/>
        <v>60</v>
      </c>
      <c r="U908" s="3">
        <f>LEN(A908) - LEN(SUBSTITUTE(A908,"&gt;","")) +1</f>
        <v>3</v>
      </c>
      <c r="V908" s="8">
        <f t="shared" si="132"/>
        <v>0</v>
      </c>
      <c r="W908" s="14">
        <f t="shared" si="133"/>
        <v>558.61850500000003</v>
      </c>
      <c r="X908" s="4">
        <f t="shared" si="134"/>
        <v>0</v>
      </c>
    </row>
    <row r="909" spans="1:24" ht="14.25" customHeight="1" x14ac:dyDescent="0.2">
      <c r="A909" s="5" t="s">
        <v>2252</v>
      </c>
      <c r="B909" s="3" t="s">
        <v>24</v>
      </c>
      <c r="C909" s="3" t="s">
        <v>15</v>
      </c>
      <c r="D909" s="3" t="s">
        <v>2353</v>
      </c>
      <c r="E909" s="3" t="s">
        <v>2354</v>
      </c>
      <c r="F909" s="3" t="s">
        <v>1355</v>
      </c>
      <c r="G909" s="3" t="s">
        <v>81</v>
      </c>
      <c r="H909" s="3" t="s">
        <v>114</v>
      </c>
      <c r="I909" s="3">
        <v>1835</v>
      </c>
      <c r="J909" s="3">
        <v>0</v>
      </c>
      <c r="K909" s="3">
        <v>604</v>
      </c>
      <c r="L909" s="3">
        <v>1546</v>
      </c>
      <c r="M909" s="3">
        <v>24</v>
      </c>
      <c r="N909" s="14">
        <v>1673.4899439999999</v>
      </c>
      <c r="O909" s="7">
        <f t="shared" si="126"/>
        <v>0</v>
      </c>
      <c r="P909" s="14">
        <f t="shared" si="127"/>
        <v>0</v>
      </c>
      <c r="Q909" s="14">
        <f t="shared" si="128"/>
        <v>69.728747666666663</v>
      </c>
      <c r="R909" s="4">
        <f t="shared" si="129"/>
        <v>0</v>
      </c>
      <c r="S909" s="14">
        <f t="shared" si="130"/>
        <v>1082.4643880983183</v>
      </c>
      <c r="T909" s="4">
        <f t="shared" si="131"/>
        <v>32.915531335149865</v>
      </c>
      <c r="U909" s="3">
        <f>LEN(A909) - LEN(SUBSTITUTE(A909,"&gt;","")) +1</f>
        <v>4</v>
      </c>
      <c r="V909" s="8">
        <f t="shared" si="132"/>
        <v>0</v>
      </c>
      <c r="W909" s="14">
        <f t="shared" si="133"/>
        <v>418.37248599999998</v>
      </c>
      <c r="X909" s="4">
        <f t="shared" si="134"/>
        <v>0</v>
      </c>
    </row>
    <row r="910" spans="1:24" ht="14.25" customHeight="1" x14ac:dyDescent="0.2">
      <c r="A910" s="5" t="s">
        <v>2253</v>
      </c>
      <c r="B910" s="3" t="s">
        <v>24</v>
      </c>
      <c r="C910" s="3" t="s">
        <v>15</v>
      </c>
      <c r="D910" s="3" t="s">
        <v>2349</v>
      </c>
      <c r="E910" s="3" t="s">
        <v>2350</v>
      </c>
      <c r="F910" s="3" t="s">
        <v>1357</v>
      </c>
      <c r="G910" s="3" t="s">
        <v>81</v>
      </c>
      <c r="H910" s="3" t="s">
        <v>19</v>
      </c>
      <c r="I910" s="3">
        <v>135</v>
      </c>
      <c r="J910" s="3">
        <v>0</v>
      </c>
      <c r="K910" s="3">
        <v>82</v>
      </c>
      <c r="L910" s="3">
        <v>123</v>
      </c>
      <c r="M910" s="3">
        <v>3</v>
      </c>
      <c r="N910" s="14">
        <v>1672.26622</v>
      </c>
      <c r="O910" s="7">
        <f t="shared" si="126"/>
        <v>0</v>
      </c>
      <c r="P910" s="14">
        <f t="shared" si="127"/>
        <v>0</v>
      </c>
      <c r="Q910" s="14">
        <f t="shared" si="128"/>
        <v>557.42207333333329</v>
      </c>
      <c r="R910" s="4">
        <f t="shared" si="129"/>
        <v>0</v>
      </c>
      <c r="S910" s="14">
        <f t="shared" si="130"/>
        <v>13595.660325203251</v>
      </c>
      <c r="T910" s="4">
        <f t="shared" si="131"/>
        <v>60.74074074074074</v>
      </c>
      <c r="U910" s="3">
        <f>LEN(A910) - LEN(SUBSTITUTE(A910,"&gt;","")) +1</f>
        <v>3</v>
      </c>
      <c r="V910" s="8">
        <f t="shared" si="132"/>
        <v>0</v>
      </c>
      <c r="W910" s="14">
        <f t="shared" si="133"/>
        <v>557.42207333333329</v>
      </c>
      <c r="X910" s="4">
        <f t="shared" si="134"/>
        <v>0</v>
      </c>
    </row>
    <row r="911" spans="1:24" ht="14.25" customHeight="1" x14ac:dyDescent="0.2">
      <c r="A911" s="5" t="s">
        <v>2254</v>
      </c>
      <c r="B911" s="3" t="s">
        <v>24</v>
      </c>
      <c r="C911" s="3" t="s">
        <v>29</v>
      </c>
      <c r="D911" s="3" t="s">
        <v>2349</v>
      </c>
      <c r="E911" s="3" t="s">
        <v>2350</v>
      </c>
      <c r="F911" s="3" t="s">
        <v>1359</v>
      </c>
      <c r="G911" s="3" t="s">
        <v>41</v>
      </c>
      <c r="H911" s="3" t="s">
        <v>114</v>
      </c>
      <c r="I911" s="3">
        <v>1416</v>
      </c>
      <c r="J911" s="3">
        <v>0</v>
      </c>
      <c r="K911" s="3">
        <v>296</v>
      </c>
      <c r="L911" s="3">
        <v>1323</v>
      </c>
      <c r="M911" s="3">
        <v>21</v>
      </c>
      <c r="N911" s="14">
        <v>1670.664632</v>
      </c>
      <c r="O911" s="7">
        <f t="shared" si="126"/>
        <v>0</v>
      </c>
      <c r="P911" s="14">
        <f t="shared" si="127"/>
        <v>0</v>
      </c>
      <c r="Q911" s="14">
        <f t="shared" si="128"/>
        <v>79.555458666666667</v>
      </c>
      <c r="R911" s="4">
        <f t="shared" si="129"/>
        <v>0</v>
      </c>
      <c r="S911" s="14">
        <f t="shared" si="130"/>
        <v>1262.7850582010583</v>
      </c>
      <c r="T911" s="4">
        <f t="shared" si="131"/>
        <v>20.903954802259886</v>
      </c>
      <c r="U911" s="3">
        <f>LEN(A911) - LEN(SUBSTITUTE(A911,"&gt;","")) +1</f>
        <v>4</v>
      </c>
      <c r="V911" s="8">
        <f t="shared" si="132"/>
        <v>0</v>
      </c>
      <c r="W911" s="14">
        <f t="shared" si="133"/>
        <v>417.666158</v>
      </c>
      <c r="X911" s="4">
        <f t="shared" si="134"/>
        <v>0</v>
      </c>
    </row>
    <row r="912" spans="1:24" ht="14.25" customHeight="1" x14ac:dyDescent="0.2">
      <c r="A912" s="5" t="s">
        <v>2255</v>
      </c>
      <c r="B912" s="3" t="s">
        <v>24</v>
      </c>
      <c r="C912" s="3" t="s">
        <v>35</v>
      </c>
      <c r="D912" s="3" t="s">
        <v>2353</v>
      </c>
      <c r="E912" s="3" t="s">
        <v>2354</v>
      </c>
      <c r="F912" s="3" t="s">
        <v>831</v>
      </c>
      <c r="G912" s="3" t="s">
        <v>22</v>
      </c>
      <c r="H912" s="3" t="s">
        <v>19</v>
      </c>
      <c r="I912" s="3">
        <v>57917</v>
      </c>
      <c r="J912" s="3">
        <v>0</v>
      </c>
      <c r="K912" s="3">
        <v>3650</v>
      </c>
      <c r="L912" s="3">
        <v>55128</v>
      </c>
      <c r="M912" s="3">
        <v>3</v>
      </c>
      <c r="N912" s="14">
        <v>1669.7289049999999</v>
      </c>
      <c r="O912" s="7">
        <f t="shared" si="126"/>
        <v>0</v>
      </c>
      <c r="P912" s="14">
        <f t="shared" si="127"/>
        <v>0</v>
      </c>
      <c r="Q912" s="14">
        <f t="shared" si="128"/>
        <v>556.57630166666661</v>
      </c>
      <c r="R912" s="4">
        <f t="shared" si="129"/>
        <v>0</v>
      </c>
      <c r="S912" s="14">
        <f t="shared" si="130"/>
        <v>30.288218418952258</v>
      </c>
      <c r="T912" s="4">
        <f t="shared" si="131"/>
        <v>6.3021220021755271</v>
      </c>
      <c r="U912" s="3">
        <f>LEN(A912) - LEN(SUBSTITUTE(A912,"&gt;","")) +1</f>
        <v>5</v>
      </c>
      <c r="V912" s="8">
        <f t="shared" si="132"/>
        <v>0</v>
      </c>
      <c r="W912" s="14">
        <f t="shared" si="133"/>
        <v>333.94578100000001</v>
      </c>
      <c r="X912" s="4">
        <f t="shared" si="134"/>
        <v>0</v>
      </c>
    </row>
    <row r="913" spans="1:24" ht="14.25" customHeight="1" x14ac:dyDescent="0.2">
      <c r="A913" s="5" t="s">
        <v>2256</v>
      </c>
      <c r="B913" s="3" t="s">
        <v>14</v>
      </c>
      <c r="C913" s="3" t="s">
        <v>15</v>
      </c>
      <c r="D913" s="3" t="s">
        <v>2366</v>
      </c>
      <c r="E913" s="3" t="s">
        <v>2352</v>
      </c>
      <c r="F913" s="3" t="s">
        <v>1362</v>
      </c>
      <c r="G913" s="3" t="s">
        <v>27</v>
      </c>
      <c r="H913" s="3" t="s">
        <v>19</v>
      </c>
      <c r="I913" s="3">
        <v>780</v>
      </c>
      <c r="J913" s="3">
        <v>0</v>
      </c>
      <c r="K913" s="3">
        <v>516</v>
      </c>
      <c r="L913" s="3">
        <v>734</v>
      </c>
      <c r="M913" s="3">
        <v>15</v>
      </c>
      <c r="N913" s="14">
        <v>1665.1853160000001</v>
      </c>
      <c r="O913" s="7">
        <f t="shared" si="126"/>
        <v>0</v>
      </c>
      <c r="P913" s="14">
        <f t="shared" si="127"/>
        <v>0</v>
      </c>
      <c r="Q913" s="14">
        <f t="shared" si="128"/>
        <v>111.01235440000001</v>
      </c>
      <c r="R913" s="4">
        <f t="shared" si="129"/>
        <v>0</v>
      </c>
      <c r="S913" s="14">
        <f t="shared" si="130"/>
        <v>2268.6448446866489</v>
      </c>
      <c r="T913" s="4">
        <f t="shared" si="131"/>
        <v>66.153846153846146</v>
      </c>
      <c r="U913" s="3">
        <f>LEN(A913) - LEN(SUBSTITUTE(A913,"&gt;","")) +1</f>
        <v>3</v>
      </c>
      <c r="V913" s="8">
        <f t="shared" si="132"/>
        <v>0</v>
      </c>
      <c r="W913" s="14">
        <f t="shared" si="133"/>
        <v>555.06177200000002</v>
      </c>
      <c r="X913" s="4">
        <f t="shared" si="134"/>
        <v>0</v>
      </c>
    </row>
    <row r="914" spans="1:24" ht="14.25" customHeight="1" x14ac:dyDescent="0.2">
      <c r="A914" s="5" t="s">
        <v>1363</v>
      </c>
      <c r="B914" s="3" t="s">
        <v>24</v>
      </c>
      <c r="C914" s="3" t="s">
        <v>29</v>
      </c>
      <c r="D914" s="3" t="s">
        <v>2353</v>
      </c>
      <c r="E914" s="3" t="s">
        <v>2354</v>
      </c>
      <c r="F914" s="3" t="s">
        <v>1364</v>
      </c>
      <c r="G914" s="3" t="s">
        <v>64</v>
      </c>
      <c r="H914" s="3" t="s">
        <v>19</v>
      </c>
      <c r="I914" s="3">
        <v>11289</v>
      </c>
      <c r="J914" s="3">
        <v>0</v>
      </c>
      <c r="K914" s="3">
        <v>1345</v>
      </c>
      <c r="L914" s="3">
        <v>8187</v>
      </c>
      <c r="M914" s="3">
        <v>3</v>
      </c>
      <c r="N914" s="14">
        <v>1665.160445</v>
      </c>
      <c r="O914" s="7">
        <f t="shared" si="126"/>
        <v>0</v>
      </c>
      <c r="P914" s="14">
        <f t="shared" si="127"/>
        <v>0</v>
      </c>
      <c r="Q914" s="14">
        <f t="shared" si="128"/>
        <v>555.0534816666667</v>
      </c>
      <c r="R914" s="4">
        <f t="shared" si="129"/>
        <v>0</v>
      </c>
      <c r="S914" s="14">
        <f t="shared" si="130"/>
        <v>203.39079577378772</v>
      </c>
      <c r="T914" s="4">
        <f t="shared" si="131"/>
        <v>11.914252812472318</v>
      </c>
      <c r="U914" s="3">
        <f>LEN(A914) - LEN(SUBSTITUTE(A914,"&gt;","")) +1</f>
        <v>1</v>
      </c>
      <c r="V914" s="8">
        <f t="shared" si="132"/>
        <v>0</v>
      </c>
      <c r="W914" s="14">
        <f t="shared" si="133"/>
        <v>1665.160445</v>
      </c>
      <c r="X914" s="4">
        <f t="shared" si="134"/>
        <v>0</v>
      </c>
    </row>
    <row r="915" spans="1:24" ht="14.25" customHeight="1" x14ac:dyDescent="0.2">
      <c r="A915" s="5" t="s">
        <v>2257</v>
      </c>
      <c r="B915" s="3" t="s">
        <v>24</v>
      </c>
      <c r="C915" s="3" t="s">
        <v>15</v>
      </c>
      <c r="D915" s="3" t="s">
        <v>2369</v>
      </c>
      <c r="E915" s="3" t="s">
        <v>2365</v>
      </c>
      <c r="F915" s="3" t="s">
        <v>1366</v>
      </c>
      <c r="G915" s="3" t="s">
        <v>22</v>
      </c>
      <c r="H915" s="3" t="s">
        <v>114</v>
      </c>
      <c r="I915" s="3">
        <v>1849</v>
      </c>
      <c r="J915" s="3">
        <v>0</v>
      </c>
      <c r="K915" s="3">
        <v>225</v>
      </c>
      <c r="L915" s="3">
        <v>1511</v>
      </c>
      <c r="M915" s="3">
        <v>1</v>
      </c>
      <c r="N915" s="14">
        <v>1660.108103</v>
      </c>
      <c r="O915" s="7">
        <f t="shared" si="126"/>
        <v>0</v>
      </c>
      <c r="P915" s="14">
        <f t="shared" si="127"/>
        <v>0</v>
      </c>
      <c r="Q915" s="14">
        <f t="shared" si="128"/>
        <v>1660.108103</v>
      </c>
      <c r="R915" s="4">
        <f t="shared" si="129"/>
        <v>0</v>
      </c>
      <c r="S915" s="14">
        <f t="shared" si="130"/>
        <v>1098.6817359364661</v>
      </c>
      <c r="T915" s="4">
        <f t="shared" si="131"/>
        <v>12.168739859383452</v>
      </c>
      <c r="U915" s="3">
        <f>LEN(A915) - LEN(SUBSTITUTE(A915,"&gt;","")) +1</f>
        <v>3</v>
      </c>
      <c r="V915" s="8">
        <f t="shared" si="132"/>
        <v>0</v>
      </c>
      <c r="W915" s="14">
        <f t="shared" si="133"/>
        <v>553.36936766666668</v>
      </c>
      <c r="X915" s="4">
        <f t="shared" si="134"/>
        <v>0</v>
      </c>
    </row>
    <row r="916" spans="1:24" ht="14.25" customHeight="1" x14ac:dyDescent="0.2">
      <c r="A916" s="5" t="s">
        <v>2258</v>
      </c>
      <c r="B916" s="3" t="s">
        <v>14</v>
      </c>
      <c r="C916" s="3" t="s">
        <v>32</v>
      </c>
      <c r="D916" s="3" t="s">
        <v>2357</v>
      </c>
      <c r="E916" s="3" t="s">
        <v>2358</v>
      </c>
      <c r="F916" s="3" t="s">
        <v>1368</v>
      </c>
      <c r="G916" s="3" t="s">
        <v>27</v>
      </c>
      <c r="H916" s="3" t="s">
        <v>19</v>
      </c>
      <c r="I916" s="3">
        <v>36</v>
      </c>
      <c r="J916" s="3">
        <v>0</v>
      </c>
      <c r="K916" s="3">
        <v>21</v>
      </c>
      <c r="L916" s="3">
        <v>26</v>
      </c>
      <c r="M916" s="3">
        <v>15</v>
      </c>
      <c r="N916" s="14">
        <v>1659.111257</v>
      </c>
      <c r="O916" s="7">
        <f t="shared" si="126"/>
        <v>0</v>
      </c>
      <c r="P916" s="14">
        <f t="shared" si="127"/>
        <v>0</v>
      </c>
      <c r="Q916" s="14">
        <f t="shared" si="128"/>
        <v>110.60741713333333</v>
      </c>
      <c r="R916" s="4">
        <f t="shared" si="129"/>
        <v>0</v>
      </c>
      <c r="S916" s="14">
        <f t="shared" si="130"/>
        <v>63811.971423076924</v>
      </c>
      <c r="T916" s="4">
        <f t="shared" si="131"/>
        <v>58.333333333333336</v>
      </c>
      <c r="U916" s="3">
        <f>LEN(A916) - LEN(SUBSTITUTE(A916,"&gt;","")) +1</f>
        <v>2</v>
      </c>
      <c r="V916" s="8">
        <f t="shared" si="132"/>
        <v>0</v>
      </c>
      <c r="W916" s="14">
        <f t="shared" si="133"/>
        <v>829.55562850000001</v>
      </c>
      <c r="X916" s="4">
        <f t="shared" si="134"/>
        <v>0</v>
      </c>
    </row>
    <row r="917" spans="1:24" ht="14.25" customHeight="1" x14ac:dyDescent="0.2">
      <c r="A917" s="5" t="s">
        <v>2259</v>
      </c>
      <c r="B917" s="3" t="s">
        <v>24</v>
      </c>
      <c r="C917" s="3" t="s">
        <v>29</v>
      </c>
      <c r="D917" s="3" t="s">
        <v>2374</v>
      </c>
      <c r="E917" s="3" t="s">
        <v>2375</v>
      </c>
      <c r="F917" s="3" t="s">
        <v>403</v>
      </c>
      <c r="G917" s="3" t="s">
        <v>38</v>
      </c>
      <c r="H917" s="3" t="s">
        <v>114</v>
      </c>
      <c r="I917" s="3">
        <v>16669</v>
      </c>
      <c r="J917" s="3">
        <v>0</v>
      </c>
      <c r="K917" s="3">
        <v>10961</v>
      </c>
      <c r="L917" s="3">
        <v>15451</v>
      </c>
      <c r="M917" s="3">
        <v>2</v>
      </c>
      <c r="N917" s="14">
        <v>1658.358536</v>
      </c>
      <c r="O917" s="7">
        <f t="shared" si="126"/>
        <v>0</v>
      </c>
      <c r="P917" s="14">
        <f t="shared" si="127"/>
        <v>0</v>
      </c>
      <c r="Q917" s="14">
        <f t="shared" si="128"/>
        <v>829.17926799999998</v>
      </c>
      <c r="R917" s="4">
        <f t="shared" si="129"/>
        <v>0</v>
      </c>
      <c r="S917" s="14">
        <f t="shared" si="130"/>
        <v>107.33017513429552</v>
      </c>
      <c r="T917" s="4">
        <f t="shared" si="131"/>
        <v>65.756794048833171</v>
      </c>
      <c r="U917" s="3">
        <f>LEN(A917) - LEN(SUBSTITUTE(A917,"&gt;","")) +1</f>
        <v>4</v>
      </c>
      <c r="V917" s="8">
        <f t="shared" si="132"/>
        <v>0</v>
      </c>
      <c r="W917" s="14">
        <f t="shared" si="133"/>
        <v>414.58963399999999</v>
      </c>
      <c r="X917" s="4">
        <f t="shared" si="134"/>
        <v>0</v>
      </c>
    </row>
    <row r="918" spans="1:24" ht="14.25" customHeight="1" x14ac:dyDescent="0.2">
      <c r="A918" s="5" t="s">
        <v>2260</v>
      </c>
      <c r="B918" s="3" t="s">
        <v>68</v>
      </c>
      <c r="C918" s="3" t="s">
        <v>15</v>
      </c>
      <c r="D918" s="3" t="s">
        <v>2397</v>
      </c>
      <c r="E918" s="3" t="s">
        <v>2360</v>
      </c>
      <c r="F918" s="3" t="s">
        <v>583</v>
      </c>
      <c r="G918" s="3" t="s">
        <v>38</v>
      </c>
      <c r="H918" s="3" t="s">
        <v>19</v>
      </c>
      <c r="I918" s="3">
        <v>6421</v>
      </c>
      <c r="J918" s="3">
        <v>0</v>
      </c>
      <c r="K918" s="3">
        <v>4367</v>
      </c>
      <c r="L918" s="3">
        <v>5947</v>
      </c>
      <c r="M918" s="3">
        <v>2</v>
      </c>
      <c r="N918" s="14">
        <v>1657.9039399999999</v>
      </c>
      <c r="O918" s="7">
        <f t="shared" si="126"/>
        <v>0</v>
      </c>
      <c r="P918" s="14">
        <f t="shared" si="127"/>
        <v>0</v>
      </c>
      <c r="Q918" s="14">
        <f t="shared" si="128"/>
        <v>828.95196999999996</v>
      </c>
      <c r="R918" s="4">
        <f t="shared" si="129"/>
        <v>0</v>
      </c>
      <c r="S918" s="14">
        <f t="shared" si="130"/>
        <v>278.77987893055325</v>
      </c>
      <c r="T918" s="4">
        <f t="shared" si="131"/>
        <v>68.01121320666563</v>
      </c>
      <c r="U918" s="3">
        <f>LEN(A918) - LEN(SUBSTITUTE(A918,"&gt;","")) +1</f>
        <v>4</v>
      </c>
      <c r="V918" s="8">
        <f t="shared" si="132"/>
        <v>0</v>
      </c>
      <c r="W918" s="14">
        <f t="shared" si="133"/>
        <v>414.47598499999998</v>
      </c>
      <c r="X918" s="4">
        <f t="shared" si="134"/>
        <v>0</v>
      </c>
    </row>
    <row r="919" spans="1:24" ht="14.25" customHeight="1" x14ac:dyDescent="0.2">
      <c r="A919" s="5" t="s">
        <v>2261</v>
      </c>
      <c r="B919" s="3" t="s">
        <v>24</v>
      </c>
      <c r="C919" s="3" t="s">
        <v>15</v>
      </c>
      <c r="D919" s="3" t="s">
        <v>2369</v>
      </c>
      <c r="E919" s="3" t="s">
        <v>2365</v>
      </c>
      <c r="F919" s="3" t="s">
        <v>403</v>
      </c>
      <c r="G919" s="3" t="s">
        <v>27</v>
      </c>
      <c r="H919" s="3" t="s">
        <v>19</v>
      </c>
      <c r="I919" s="3">
        <v>9130</v>
      </c>
      <c r="J919" s="3">
        <v>0</v>
      </c>
      <c r="K919" s="3">
        <v>3721</v>
      </c>
      <c r="L919" s="3">
        <v>5564</v>
      </c>
      <c r="M919" s="3">
        <v>1</v>
      </c>
      <c r="N919" s="14">
        <v>1655.7928569999999</v>
      </c>
      <c r="O919" s="7">
        <f t="shared" si="126"/>
        <v>0</v>
      </c>
      <c r="P919" s="14">
        <f t="shared" si="127"/>
        <v>0</v>
      </c>
      <c r="Q919" s="14">
        <f t="shared" si="128"/>
        <v>1655.7928569999999</v>
      </c>
      <c r="R919" s="4">
        <f t="shared" si="129"/>
        <v>0</v>
      </c>
      <c r="S919" s="14">
        <f t="shared" si="130"/>
        <v>297.59037688713153</v>
      </c>
      <c r="T919" s="4">
        <f t="shared" si="131"/>
        <v>40.755750273822564</v>
      </c>
      <c r="U919" s="3">
        <f>LEN(A919) - LEN(SUBSTITUTE(A919,"&gt;","")) +1</f>
        <v>2</v>
      </c>
      <c r="V919" s="8">
        <f t="shared" si="132"/>
        <v>0</v>
      </c>
      <c r="W919" s="14">
        <f t="shared" si="133"/>
        <v>827.89642849999996</v>
      </c>
      <c r="X919" s="4">
        <f t="shared" si="134"/>
        <v>0</v>
      </c>
    </row>
    <row r="920" spans="1:24" ht="14.25" customHeight="1" x14ac:dyDescent="0.2">
      <c r="A920" s="5" t="s">
        <v>2262</v>
      </c>
      <c r="B920" s="3" t="s">
        <v>24</v>
      </c>
      <c r="C920" s="3" t="s">
        <v>15</v>
      </c>
      <c r="D920" s="3" t="s">
        <v>2368</v>
      </c>
      <c r="E920" s="3" t="s">
        <v>2352</v>
      </c>
      <c r="F920" s="3" t="s">
        <v>149</v>
      </c>
      <c r="G920" s="3" t="s">
        <v>64</v>
      </c>
      <c r="H920" s="3" t="s">
        <v>19</v>
      </c>
      <c r="I920" s="3">
        <v>15033</v>
      </c>
      <c r="J920" s="3">
        <v>0</v>
      </c>
      <c r="K920" s="3">
        <v>5495</v>
      </c>
      <c r="L920" s="3">
        <v>7050</v>
      </c>
      <c r="M920" s="3">
        <v>3</v>
      </c>
      <c r="N920" s="14">
        <v>1650.7230099999999</v>
      </c>
      <c r="O920" s="7">
        <f t="shared" si="126"/>
        <v>0</v>
      </c>
      <c r="P920" s="14">
        <f t="shared" si="127"/>
        <v>0</v>
      </c>
      <c r="Q920" s="14">
        <f t="shared" si="128"/>
        <v>550.24100333333331</v>
      </c>
      <c r="R920" s="4">
        <f t="shared" si="129"/>
        <v>0</v>
      </c>
      <c r="S920" s="14">
        <f t="shared" si="130"/>
        <v>234.14510780141842</v>
      </c>
      <c r="T920" s="4">
        <f t="shared" si="131"/>
        <v>36.552916916117873</v>
      </c>
      <c r="U920" s="3">
        <f>LEN(A920) - LEN(SUBSTITUTE(A920,"&gt;","")) +1</f>
        <v>3</v>
      </c>
      <c r="V920" s="8">
        <f t="shared" si="132"/>
        <v>0</v>
      </c>
      <c r="W920" s="14">
        <f t="shared" si="133"/>
        <v>550.24100333333331</v>
      </c>
      <c r="X920" s="4">
        <f t="shared" si="134"/>
        <v>0</v>
      </c>
    </row>
    <row r="921" spans="1:24" ht="14.25" customHeight="1" x14ac:dyDescent="0.2">
      <c r="A921" s="5" t="s">
        <v>2263</v>
      </c>
      <c r="B921" s="3" t="s">
        <v>14</v>
      </c>
      <c r="C921" s="3" t="s">
        <v>32</v>
      </c>
      <c r="D921" s="3" t="s">
        <v>2367</v>
      </c>
      <c r="E921" s="3" t="s">
        <v>2352</v>
      </c>
      <c r="F921" s="3" t="s">
        <v>1374</v>
      </c>
      <c r="G921" s="3" t="s">
        <v>27</v>
      </c>
      <c r="H921" s="3" t="s">
        <v>19</v>
      </c>
      <c r="I921" s="3">
        <v>68</v>
      </c>
      <c r="J921" s="3">
        <v>0</v>
      </c>
      <c r="K921" s="3">
        <v>31</v>
      </c>
      <c r="L921" s="3">
        <v>47</v>
      </c>
      <c r="M921" s="3">
        <v>2</v>
      </c>
      <c r="N921" s="14">
        <v>1650.328792</v>
      </c>
      <c r="O921" s="7">
        <f t="shared" si="126"/>
        <v>0</v>
      </c>
      <c r="P921" s="14">
        <f t="shared" si="127"/>
        <v>0</v>
      </c>
      <c r="Q921" s="14">
        <f t="shared" si="128"/>
        <v>825.16439600000001</v>
      </c>
      <c r="R921" s="4">
        <f t="shared" si="129"/>
        <v>0</v>
      </c>
      <c r="S921" s="14">
        <f t="shared" si="130"/>
        <v>35113.378553191491</v>
      </c>
      <c r="T921" s="4">
        <f t="shared" si="131"/>
        <v>45.588235294117645</v>
      </c>
      <c r="U921" s="3">
        <f>LEN(A921) - LEN(SUBSTITUTE(A921,"&gt;","")) +1</f>
        <v>5</v>
      </c>
      <c r="V921" s="8">
        <f t="shared" si="132"/>
        <v>0</v>
      </c>
      <c r="W921" s="14">
        <f t="shared" si="133"/>
        <v>330.06575839999999</v>
      </c>
      <c r="X921" s="4">
        <f t="shared" si="134"/>
        <v>0</v>
      </c>
    </row>
    <row r="922" spans="1:24" ht="14.25" customHeight="1" x14ac:dyDescent="0.2">
      <c r="A922" s="5" t="s">
        <v>2264</v>
      </c>
      <c r="B922" s="3" t="s">
        <v>24</v>
      </c>
      <c r="C922" s="3" t="s">
        <v>15</v>
      </c>
      <c r="D922" s="3" t="s">
        <v>2349</v>
      </c>
      <c r="E922" s="3" t="s">
        <v>2350</v>
      </c>
      <c r="F922" s="3" t="s">
        <v>643</v>
      </c>
      <c r="G922" s="3" t="s">
        <v>27</v>
      </c>
      <c r="H922" s="3" t="s">
        <v>114</v>
      </c>
      <c r="I922" s="3">
        <v>16175</v>
      </c>
      <c r="J922" s="3">
        <v>0</v>
      </c>
      <c r="K922" s="3">
        <v>1923</v>
      </c>
      <c r="L922" s="3">
        <v>15085</v>
      </c>
      <c r="M922" s="3">
        <v>2</v>
      </c>
      <c r="N922" s="14">
        <v>1649.069475</v>
      </c>
      <c r="O922" s="7">
        <f t="shared" si="126"/>
        <v>0</v>
      </c>
      <c r="P922" s="14">
        <f t="shared" si="127"/>
        <v>0</v>
      </c>
      <c r="Q922" s="14">
        <f t="shared" si="128"/>
        <v>824.53473750000001</v>
      </c>
      <c r="R922" s="4">
        <f t="shared" si="129"/>
        <v>0</v>
      </c>
      <c r="S922" s="14">
        <f t="shared" si="130"/>
        <v>109.31849353662579</v>
      </c>
      <c r="T922" s="4">
        <f t="shared" si="131"/>
        <v>11.888717156105102</v>
      </c>
      <c r="U922" s="3">
        <f>LEN(A922) - LEN(SUBSTITUTE(A922,"&gt;","")) +1</f>
        <v>4</v>
      </c>
      <c r="V922" s="8">
        <f t="shared" si="132"/>
        <v>0</v>
      </c>
      <c r="W922" s="14">
        <f t="shared" si="133"/>
        <v>412.26736875</v>
      </c>
      <c r="X922" s="4">
        <f t="shared" si="134"/>
        <v>0</v>
      </c>
    </row>
    <row r="923" spans="1:24" ht="14.25" customHeight="1" x14ac:dyDescent="0.2">
      <c r="A923" s="5" t="s">
        <v>2265</v>
      </c>
      <c r="B923" s="3" t="s">
        <v>24</v>
      </c>
      <c r="C923" s="3" t="s">
        <v>35</v>
      </c>
      <c r="D923" s="3" t="s">
        <v>2349</v>
      </c>
      <c r="E923" s="3" t="s">
        <v>2350</v>
      </c>
      <c r="F923" s="3" t="s">
        <v>119</v>
      </c>
      <c r="G923" s="3" t="s">
        <v>27</v>
      </c>
      <c r="H923" s="3" t="s">
        <v>114</v>
      </c>
      <c r="I923" s="3">
        <v>1445</v>
      </c>
      <c r="J923" s="3">
        <v>0</v>
      </c>
      <c r="K923" s="3">
        <v>353</v>
      </c>
      <c r="L923" s="3">
        <v>627</v>
      </c>
      <c r="M923" s="3">
        <v>1</v>
      </c>
      <c r="N923" s="14">
        <v>1648.422155</v>
      </c>
      <c r="O923" s="7">
        <f t="shared" si="126"/>
        <v>0</v>
      </c>
      <c r="P923" s="14">
        <f t="shared" si="127"/>
        <v>0</v>
      </c>
      <c r="Q923" s="14">
        <f t="shared" si="128"/>
        <v>1648.422155</v>
      </c>
      <c r="R923" s="4">
        <f t="shared" si="129"/>
        <v>0</v>
      </c>
      <c r="S923" s="14">
        <f t="shared" si="130"/>
        <v>2629.0624481658692</v>
      </c>
      <c r="T923" s="4">
        <f t="shared" si="131"/>
        <v>24.429065743944637</v>
      </c>
      <c r="U923" s="3">
        <f>LEN(A923) - LEN(SUBSTITUTE(A923,"&gt;","")) +1</f>
        <v>4</v>
      </c>
      <c r="V923" s="8">
        <f t="shared" si="132"/>
        <v>0</v>
      </c>
      <c r="W923" s="14">
        <f t="shared" si="133"/>
        <v>412.10553874999999</v>
      </c>
      <c r="X923" s="4">
        <f t="shared" si="134"/>
        <v>0</v>
      </c>
    </row>
    <row r="924" spans="1:24" ht="14.25" customHeight="1" x14ac:dyDescent="0.2">
      <c r="A924" s="5" t="s">
        <v>2266</v>
      </c>
      <c r="B924" s="3" t="s">
        <v>24</v>
      </c>
      <c r="C924" s="3" t="s">
        <v>32</v>
      </c>
      <c r="D924" s="3" t="s">
        <v>2353</v>
      </c>
      <c r="E924" s="3" t="s">
        <v>2354</v>
      </c>
      <c r="F924" s="3" t="s">
        <v>1166</v>
      </c>
      <c r="G924" s="3" t="s">
        <v>27</v>
      </c>
      <c r="H924" s="3" t="s">
        <v>114</v>
      </c>
      <c r="I924" s="3">
        <v>1399</v>
      </c>
      <c r="J924" s="3">
        <v>0</v>
      </c>
      <c r="K924" s="3">
        <v>895</v>
      </c>
      <c r="L924" s="3">
        <v>1255</v>
      </c>
      <c r="M924" s="3">
        <v>10</v>
      </c>
      <c r="N924" s="14">
        <v>1637.084347</v>
      </c>
      <c r="O924" s="7">
        <f t="shared" si="126"/>
        <v>0</v>
      </c>
      <c r="P924" s="14">
        <f t="shared" si="127"/>
        <v>0</v>
      </c>
      <c r="Q924" s="14">
        <f t="shared" si="128"/>
        <v>163.7084347</v>
      </c>
      <c r="R924" s="4">
        <f t="shared" si="129"/>
        <v>0</v>
      </c>
      <c r="S924" s="14">
        <f t="shared" si="130"/>
        <v>1304.4496788844622</v>
      </c>
      <c r="T924" s="4">
        <f t="shared" si="131"/>
        <v>63.974267333809863</v>
      </c>
      <c r="U924" s="3">
        <f>LEN(A924) - LEN(SUBSTITUTE(A924,"&gt;","")) +1</f>
        <v>2</v>
      </c>
      <c r="V924" s="8">
        <f t="shared" si="132"/>
        <v>0</v>
      </c>
      <c r="W924" s="14">
        <f t="shared" si="133"/>
        <v>818.54217349999999</v>
      </c>
      <c r="X924" s="4">
        <f t="shared" si="134"/>
        <v>0</v>
      </c>
    </row>
    <row r="925" spans="1:24" ht="14.25" customHeight="1" x14ac:dyDescent="0.2">
      <c r="A925" s="5" t="s">
        <v>2267</v>
      </c>
      <c r="B925" s="3" t="s">
        <v>24</v>
      </c>
      <c r="C925" s="3" t="s">
        <v>15</v>
      </c>
      <c r="D925" s="3" t="s">
        <v>2363</v>
      </c>
      <c r="E925" s="3" t="s">
        <v>2358</v>
      </c>
      <c r="F925" s="3" t="s">
        <v>831</v>
      </c>
      <c r="G925" s="3" t="s">
        <v>27</v>
      </c>
      <c r="H925" s="3" t="s">
        <v>19</v>
      </c>
      <c r="I925" s="3">
        <v>141157</v>
      </c>
      <c r="J925" s="3">
        <v>0</v>
      </c>
      <c r="K925" s="3">
        <v>8280</v>
      </c>
      <c r="L925" s="3">
        <v>107935</v>
      </c>
      <c r="M925" s="3">
        <v>4</v>
      </c>
      <c r="N925" s="14">
        <v>1631.7829489999999</v>
      </c>
      <c r="O925" s="7">
        <f t="shared" si="126"/>
        <v>0</v>
      </c>
      <c r="P925" s="14">
        <f t="shared" si="127"/>
        <v>0</v>
      </c>
      <c r="Q925" s="14">
        <f t="shared" si="128"/>
        <v>407.94573724999998</v>
      </c>
      <c r="R925" s="4">
        <f t="shared" si="129"/>
        <v>0</v>
      </c>
      <c r="S925" s="14">
        <f t="shared" si="130"/>
        <v>15.118200296474731</v>
      </c>
      <c r="T925" s="4">
        <f t="shared" si="131"/>
        <v>5.8658089928235935</v>
      </c>
      <c r="U925" s="3">
        <f>LEN(A925) - LEN(SUBSTITUTE(A925,"&gt;","")) +1</f>
        <v>4</v>
      </c>
      <c r="V925" s="8">
        <f t="shared" si="132"/>
        <v>0</v>
      </c>
      <c r="W925" s="14">
        <f t="shared" si="133"/>
        <v>407.94573724999998</v>
      </c>
      <c r="X925" s="4">
        <f t="shared" si="134"/>
        <v>0</v>
      </c>
    </row>
    <row r="926" spans="1:24" ht="14.25" customHeight="1" x14ac:dyDescent="0.2">
      <c r="A926" s="5" t="s">
        <v>2268</v>
      </c>
      <c r="B926" s="3" t="s">
        <v>14</v>
      </c>
      <c r="C926" s="3" t="s">
        <v>35</v>
      </c>
      <c r="D926" s="3" t="s">
        <v>2359</v>
      </c>
      <c r="E926" s="3" t="s">
        <v>2360</v>
      </c>
      <c r="F926" s="3" t="s">
        <v>865</v>
      </c>
      <c r="G926" s="3" t="s">
        <v>22</v>
      </c>
      <c r="H926" s="3" t="s">
        <v>19</v>
      </c>
      <c r="I926" s="3">
        <v>597</v>
      </c>
      <c r="J926" s="3">
        <v>0</v>
      </c>
      <c r="K926" s="3">
        <v>157</v>
      </c>
      <c r="L926" s="3">
        <v>296</v>
      </c>
      <c r="M926" s="3">
        <v>8</v>
      </c>
      <c r="N926" s="14">
        <v>1624.2956489999999</v>
      </c>
      <c r="O926" s="7">
        <f t="shared" si="126"/>
        <v>0</v>
      </c>
      <c r="P926" s="14">
        <f t="shared" si="127"/>
        <v>0</v>
      </c>
      <c r="Q926" s="14">
        <f t="shared" si="128"/>
        <v>203.03695612499999</v>
      </c>
      <c r="R926" s="4">
        <f t="shared" si="129"/>
        <v>0</v>
      </c>
      <c r="S926" s="14">
        <f t="shared" si="130"/>
        <v>5487.4853006756748</v>
      </c>
      <c r="T926" s="4">
        <f t="shared" si="131"/>
        <v>26.298157453936348</v>
      </c>
      <c r="U926" s="3">
        <f>LEN(A926) - LEN(SUBSTITUTE(A926,"&gt;","")) +1</f>
        <v>4</v>
      </c>
      <c r="V926" s="8">
        <f t="shared" si="132"/>
        <v>0</v>
      </c>
      <c r="W926" s="14">
        <f t="shared" si="133"/>
        <v>406.07391224999998</v>
      </c>
      <c r="X926" s="4">
        <f t="shared" si="134"/>
        <v>0</v>
      </c>
    </row>
    <row r="927" spans="1:24" ht="14.25" customHeight="1" x14ac:dyDescent="0.2">
      <c r="A927" s="5" t="s">
        <v>2269</v>
      </c>
      <c r="B927" s="3" t="s">
        <v>14</v>
      </c>
      <c r="C927" s="3" t="s">
        <v>29</v>
      </c>
      <c r="D927" s="3" t="s">
        <v>2349</v>
      </c>
      <c r="E927" s="3" t="s">
        <v>2350</v>
      </c>
      <c r="F927" s="3" t="s">
        <v>1381</v>
      </c>
      <c r="G927" s="3" t="s">
        <v>27</v>
      </c>
      <c r="H927" s="3" t="s">
        <v>19</v>
      </c>
      <c r="I927" s="3">
        <v>809</v>
      </c>
      <c r="J927" s="3">
        <v>0</v>
      </c>
      <c r="K927" s="3">
        <v>663</v>
      </c>
      <c r="L927" s="3">
        <v>757</v>
      </c>
      <c r="M927" s="3">
        <v>24</v>
      </c>
      <c r="N927" s="14">
        <v>1622.983583</v>
      </c>
      <c r="O927" s="7">
        <f t="shared" si="126"/>
        <v>0</v>
      </c>
      <c r="P927" s="14">
        <f t="shared" si="127"/>
        <v>0</v>
      </c>
      <c r="Q927" s="14">
        <f t="shared" si="128"/>
        <v>67.624315958333327</v>
      </c>
      <c r="R927" s="4">
        <f t="shared" si="129"/>
        <v>0</v>
      </c>
      <c r="S927" s="14">
        <f t="shared" si="130"/>
        <v>2143.967745046235</v>
      </c>
      <c r="T927" s="4">
        <f t="shared" si="131"/>
        <v>81.953028430160686</v>
      </c>
      <c r="U927" s="3">
        <f>LEN(A927) - LEN(SUBSTITUTE(A927,"&gt;","")) +1</f>
        <v>4</v>
      </c>
      <c r="V927" s="8">
        <f t="shared" si="132"/>
        <v>0</v>
      </c>
      <c r="W927" s="14">
        <f t="shared" si="133"/>
        <v>405.74589574999999</v>
      </c>
      <c r="X927" s="4">
        <f t="shared" si="134"/>
        <v>0</v>
      </c>
    </row>
    <row r="928" spans="1:24" ht="14.25" customHeight="1" x14ac:dyDescent="0.2">
      <c r="A928" s="5" t="s">
        <v>2270</v>
      </c>
      <c r="B928" s="3" t="s">
        <v>24</v>
      </c>
      <c r="C928" s="3" t="s">
        <v>29</v>
      </c>
      <c r="D928" s="3" t="s">
        <v>2367</v>
      </c>
      <c r="E928" s="3" t="s">
        <v>2352</v>
      </c>
      <c r="F928" s="3" t="s">
        <v>1383</v>
      </c>
      <c r="G928" s="3" t="s">
        <v>27</v>
      </c>
      <c r="H928" s="3" t="s">
        <v>114</v>
      </c>
      <c r="I928" s="3">
        <v>96</v>
      </c>
      <c r="J928" s="3">
        <v>0</v>
      </c>
      <c r="K928" s="3">
        <v>52</v>
      </c>
      <c r="L928" s="3">
        <v>91</v>
      </c>
      <c r="M928" s="3">
        <v>9</v>
      </c>
      <c r="N928" s="14">
        <v>1621.4337829999999</v>
      </c>
      <c r="O928" s="7">
        <f t="shared" si="126"/>
        <v>0</v>
      </c>
      <c r="P928" s="14">
        <f t="shared" si="127"/>
        <v>0</v>
      </c>
      <c r="Q928" s="14">
        <f t="shared" si="128"/>
        <v>180.15930922222222</v>
      </c>
      <c r="R928" s="4">
        <f t="shared" si="129"/>
        <v>0</v>
      </c>
      <c r="S928" s="14">
        <f t="shared" si="130"/>
        <v>17817.953659340659</v>
      </c>
      <c r="T928" s="4">
        <f t="shared" si="131"/>
        <v>54.166666666666664</v>
      </c>
      <c r="U928" s="3">
        <f>LEN(A928) - LEN(SUBSTITUTE(A928,"&gt;","")) +1</f>
        <v>4</v>
      </c>
      <c r="V928" s="8">
        <f t="shared" si="132"/>
        <v>0</v>
      </c>
      <c r="W928" s="14">
        <f t="shared" si="133"/>
        <v>405.35844574999999</v>
      </c>
      <c r="X928" s="4">
        <f t="shared" si="134"/>
        <v>0</v>
      </c>
    </row>
    <row r="929" spans="1:24" ht="14.25" customHeight="1" x14ac:dyDescent="0.2">
      <c r="A929" s="5" t="s">
        <v>2271</v>
      </c>
      <c r="B929" s="3" t="s">
        <v>24</v>
      </c>
      <c r="C929" s="3" t="s">
        <v>29</v>
      </c>
      <c r="D929" s="3" t="s">
        <v>2363</v>
      </c>
      <c r="E929" s="3" t="s">
        <v>2358</v>
      </c>
      <c r="F929" s="3" t="s">
        <v>1385</v>
      </c>
      <c r="G929" s="3" t="s">
        <v>64</v>
      </c>
      <c r="H929" s="3" t="s">
        <v>19</v>
      </c>
      <c r="I929" s="3">
        <v>538</v>
      </c>
      <c r="J929" s="3">
        <v>0</v>
      </c>
      <c r="K929" s="3">
        <v>435</v>
      </c>
      <c r="L929" s="3">
        <v>499</v>
      </c>
      <c r="M929" s="3">
        <v>3</v>
      </c>
      <c r="N929" s="14">
        <v>1621.341758</v>
      </c>
      <c r="O929" s="7">
        <f t="shared" si="126"/>
        <v>0</v>
      </c>
      <c r="P929" s="14">
        <f t="shared" si="127"/>
        <v>0</v>
      </c>
      <c r="Q929" s="14">
        <f t="shared" si="128"/>
        <v>540.44725266666671</v>
      </c>
      <c r="R929" s="4">
        <f t="shared" si="129"/>
        <v>0</v>
      </c>
      <c r="S929" s="14">
        <f t="shared" si="130"/>
        <v>3249.1818797595192</v>
      </c>
      <c r="T929" s="4">
        <f t="shared" si="131"/>
        <v>80.85501858736059</v>
      </c>
      <c r="U929" s="3">
        <f>LEN(A929) - LEN(SUBSTITUTE(A929,"&gt;","")) +1</f>
        <v>5</v>
      </c>
      <c r="V929" s="8">
        <f t="shared" si="132"/>
        <v>0</v>
      </c>
      <c r="W929" s="14">
        <f t="shared" si="133"/>
        <v>324.26835160000002</v>
      </c>
      <c r="X929" s="4">
        <f t="shared" si="134"/>
        <v>0</v>
      </c>
    </row>
    <row r="930" spans="1:24" ht="14.25" customHeight="1" x14ac:dyDescent="0.2">
      <c r="A930" s="5" t="s">
        <v>2272</v>
      </c>
      <c r="B930" s="3" t="s">
        <v>14</v>
      </c>
      <c r="C930" s="3" t="s">
        <v>32</v>
      </c>
      <c r="D930" s="3" t="s">
        <v>2349</v>
      </c>
      <c r="E930" s="3" t="s">
        <v>2350</v>
      </c>
      <c r="F930" s="3" t="s">
        <v>159</v>
      </c>
      <c r="G930" s="3" t="s">
        <v>27</v>
      </c>
      <c r="H930" s="3" t="s">
        <v>19</v>
      </c>
      <c r="I930" s="3">
        <v>15441</v>
      </c>
      <c r="J930" s="3">
        <v>0</v>
      </c>
      <c r="K930" s="3">
        <v>7626</v>
      </c>
      <c r="L930" s="3">
        <v>14456</v>
      </c>
      <c r="M930" s="3">
        <v>19</v>
      </c>
      <c r="N930" s="14">
        <v>1614.309013</v>
      </c>
      <c r="O930" s="7">
        <f t="shared" si="126"/>
        <v>0</v>
      </c>
      <c r="P930" s="14">
        <f t="shared" si="127"/>
        <v>0</v>
      </c>
      <c r="Q930" s="14">
        <f t="shared" si="128"/>
        <v>84.963632263157891</v>
      </c>
      <c r="R930" s="4">
        <f t="shared" si="129"/>
        <v>0</v>
      </c>
      <c r="S930" s="14">
        <f t="shared" si="130"/>
        <v>111.67051833148865</v>
      </c>
      <c r="T930" s="4">
        <f t="shared" si="131"/>
        <v>49.38799300563435</v>
      </c>
      <c r="U930" s="3">
        <f>LEN(A930) - LEN(SUBSTITUTE(A930,"&gt;","")) +1</f>
        <v>2</v>
      </c>
      <c r="V930" s="8">
        <f t="shared" si="132"/>
        <v>0</v>
      </c>
      <c r="W930" s="14">
        <f t="shared" si="133"/>
        <v>807.15450650000002</v>
      </c>
      <c r="X930" s="4">
        <f t="shared" si="134"/>
        <v>0</v>
      </c>
    </row>
    <row r="931" spans="1:24" ht="14.25" customHeight="1" x14ac:dyDescent="0.2">
      <c r="A931" s="5" t="s">
        <v>2273</v>
      </c>
      <c r="B931" s="3" t="s">
        <v>14</v>
      </c>
      <c r="C931" s="3" t="s">
        <v>15</v>
      </c>
      <c r="D931" s="3" t="s">
        <v>2357</v>
      </c>
      <c r="E931" s="3" t="s">
        <v>2358</v>
      </c>
      <c r="F931" s="3" t="s">
        <v>1388</v>
      </c>
      <c r="G931" s="3" t="s">
        <v>33</v>
      </c>
      <c r="H931" s="3" t="s">
        <v>19</v>
      </c>
      <c r="I931" s="3">
        <v>37617</v>
      </c>
      <c r="J931" s="3">
        <v>0</v>
      </c>
      <c r="K931" s="3">
        <v>5092</v>
      </c>
      <c r="L931" s="3">
        <v>34373</v>
      </c>
      <c r="M931" s="3">
        <v>1</v>
      </c>
      <c r="N931" s="14">
        <v>1608.8829519999999</v>
      </c>
      <c r="O931" s="7">
        <f t="shared" si="126"/>
        <v>0</v>
      </c>
      <c r="P931" s="14">
        <f t="shared" si="127"/>
        <v>0</v>
      </c>
      <c r="Q931" s="14">
        <f t="shared" si="128"/>
        <v>1608.8829519999999</v>
      </c>
      <c r="R931" s="4">
        <f t="shared" si="129"/>
        <v>0</v>
      </c>
      <c r="S931" s="14">
        <f t="shared" si="130"/>
        <v>46.806590987111974</v>
      </c>
      <c r="T931" s="4">
        <f t="shared" si="131"/>
        <v>13.536432995720022</v>
      </c>
      <c r="U931" s="3">
        <f>LEN(A931) - LEN(SUBSTITUTE(A931,"&gt;","")) +1</f>
        <v>3</v>
      </c>
      <c r="V931" s="8">
        <f t="shared" si="132"/>
        <v>0</v>
      </c>
      <c r="W931" s="14">
        <f t="shared" si="133"/>
        <v>536.29431733333331</v>
      </c>
      <c r="X931" s="4">
        <f t="shared" si="134"/>
        <v>0</v>
      </c>
    </row>
    <row r="932" spans="1:24" ht="14.25" customHeight="1" x14ac:dyDescent="0.2">
      <c r="A932" s="5" t="s">
        <v>2274</v>
      </c>
      <c r="B932" s="3" t="s">
        <v>24</v>
      </c>
      <c r="C932" s="3" t="s">
        <v>35</v>
      </c>
      <c r="D932" s="3" t="s">
        <v>2370</v>
      </c>
      <c r="E932" s="3" t="s">
        <v>2360</v>
      </c>
      <c r="F932" s="3" t="s">
        <v>1390</v>
      </c>
      <c r="G932" s="3" t="s">
        <v>64</v>
      </c>
      <c r="H932" s="3" t="s">
        <v>114</v>
      </c>
      <c r="I932" s="3">
        <v>1352</v>
      </c>
      <c r="J932" s="3">
        <v>0</v>
      </c>
      <c r="K932" s="3">
        <v>328</v>
      </c>
      <c r="L932" s="3">
        <v>448</v>
      </c>
      <c r="M932" s="3">
        <v>2</v>
      </c>
      <c r="N932" s="14">
        <v>1607.552972</v>
      </c>
      <c r="O932" s="7">
        <f t="shared" si="126"/>
        <v>0</v>
      </c>
      <c r="P932" s="14">
        <f t="shared" si="127"/>
        <v>0</v>
      </c>
      <c r="Q932" s="14">
        <f t="shared" si="128"/>
        <v>803.77648599999998</v>
      </c>
      <c r="R932" s="4">
        <f t="shared" si="129"/>
        <v>0</v>
      </c>
      <c r="S932" s="14">
        <f t="shared" si="130"/>
        <v>3588.2878839285713</v>
      </c>
      <c r="T932" s="4">
        <f t="shared" si="131"/>
        <v>24.260355029585799</v>
      </c>
      <c r="U932" s="3">
        <f>LEN(A932) - LEN(SUBSTITUTE(A932,"&gt;","")) +1</f>
        <v>5</v>
      </c>
      <c r="V932" s="8">
        <f t="shared" si="132"/>
        <v>0</v>
      </c>
      <c r="W932" s="14">
        <f t="shared" si="133"/>
        <v>321.5105944</v>
      </c>
      <c r="X932" s="4">
        <f t="shared" si="134"/>
        <v>0</v>
      </c>
    </row>
    <row r="933" spans="1:24" ht="14.25" customHeight="1" x14ac:dyDescent="0.2">
      <c r="A933" s="5" t="s">
        <v>2275</v>
      </c>
      <c r="B933" s="3" t="s">
        <v>24</v>
      </c>
      <c r="C933" s="3" t="s">
        <v>35</v>
      </c>
      <c r="D933" s="3" t="s">
        <v>2367</v>
      </c>
      <c r="E933" s="3" t="s">
        <v>2352</v>
      </c>
      <c r="F933" s="3" t="s">
        <v>1392</v>
      </c>
      <c r="G933" s="3" t="s">
        <v>33</v>
      </c>
      <c r="H933" s="3" t="s">
        <v>19</v>
      </c>
      <c r="I933" s="3">
        <v>135</v>
      </c>
      <c r="J933" s="3">
        <v>0</v>
      </c>
      <c r="K933" s="3">
        <v>62</v>
      </c>
      <c r="L933" s="3">
        <v>110</v>
      </c>
      <c r="M933" s="3">
        <v>5</v>
      </c>
      <c r="N933" s="14">
        <v>1597.9572929999999</v>
      </c>
      <c r="O933" s="7">
        <f t="shared" si="126"/>
        <v>0</v>
      </c>
      <c r="P933" s="14">
        <f t="shared" si="127"/>
        <v>0</v>
      </c>
      <c r="Q933" s="14">
        <f t="shared" si="128"/>
        <v>319.59145860000001</v>
      </c>
      <c r="R933" s="4">
        <f t="shared" si="129"/>
        <v>0</v>
      </c>
      <c r="S933" s="14">
        <f t="shared" si="130"/>
        <v>14526.884481818181</v>
      </c>
      <c r="T933" s="4">
        <f t="shared" si="131"/>
        <v>45.925925925925924</v>
      </c>
      <c r="U933" s="3">
        <f>LEN(A933) - LEN(SUBSTITUTE(A933,"&gt;","")) +1</f>
        <v>4</v>
      </c>
      <c r="V933" s="8">
        <f t="shared" si="132"/>
        <v>0</v>
      </c>
      <c r="W933" s="14">
        <f t="shared" si="133"/>
        <v>399.48932324999998</v>
      </c>
      <c r="X933" s="4">
        <f t="shared" si="134"/>
        <v>0</v>
      </c>
    </row>
    <row r="934" spans="1:24" ht="14.25" customHeight="1" x14ac:dyDescent="0.2">
      <c r="A934" s="5" t="s">
        <v>2276</v>
      </c>
      <c r="B934" s="3" t="s">
        <v>14</v>
      </c>
      <c r="C934" s="3" t="s">
        <v>15</v>
      </c>
      <c r="D934" s="3" t="s">
        <v>2368</v>
      </c>
      <c r="E934" s="3" t="s">
        <v>2352</v>
      </c>
      <c r="F934" s="3" t="s">
        <v>543</v>
      </c>
      <c r="G934" s="3" t="s">
        <v>27</v>
      </c>
      <c r="H934" s="3" t="s">
        <v>19</v>
      </c>
      <c r="I934" s="3">
        <v>304377</v>
      </c>
      <c r="J934" s="3">
        <v>0</v>
      </c>
      <c r="K934" s="3">
        <v>27519</v>
      </c>
      <c r="L934" s="3">
        <v>270098</v>
      </c>
      <c r="M934" s="3">
        <v>63</v>
      </c>
      <c r="N934" s="14">
        <v>1595.48714</v>
      </c>
      <c r="O934" s="7">
        <f t="shared" si="126"/>
        <v>0</v>
      </c>
      <c r="P934" s="14">
        <f t="shared" si="127"/>
        <v>0</v>
      </c>
      <c r="Q934" s="14">
        <f t="shared" si="128"/>
        <v>25.325192698412696</v>
      </c>
      <c r="R934" s="4">
        <f t="shared" si="129"/>
        <v>0</v>
      </c>
      <c r="S934" s="14">
        <f t="shared" si="130"/>
        <v>5.9070675828773256</v>
      </c>
      <c r="T934" s="4">
        <f t="shared" si="131"/>
        <v>9.041090489754481</v>
      </c>
      <c r="U934" s="3">
        <f>LEN(A934) - LEN(SUBSTITUTE(A934,"&gt;","")) +1</f>
        <v>4</v>
      </c>
      <c r="V934" s="8">
        <f t="shared" si="132"/>
        <v>0</v>
      </c>
      <c r="W934" s="14">
        <f t="shared" si="133"/>
        <v>398.87178499999999</v>
      </c>
      <c r="X934" s="4">
        <f t="shared" si="134"/>
        <v>0</v>
      </c>
    </row>
    <row r="935" spans="1:24" ht="14.25" customHeight="1" x14ac:dyDescent="0.2">
      <c r="A935" s="5" t="s">
        <v>2277</v>
      </c>
      <c r="B935" s="3" t="s">
        <v>68</v>
      </c>
      <c r="C935" s="3" t="s">
        <v>35</v>
      </c>
      <c r="D935" s="3" t="s">
        <v>2367</v>
      </c>
      <c r="E935" s="3" t="s">
        <v>2352</v>
      </c>
      <c r="F935" s="3" t="s">
        <v>618</v>
      </c>
      <c r="G935" s="3" t="s">
        <v>1395</v>
      </c>
      <c r="H935" s="3" t="s">
        <v>19</v>
      </c>
      <c r="I935" s="3">
        <v>12459</v>
      </c>
      <c r="J935" s="3">
        <v>0</v>
      </c>
      <c r="K935" s="3">
        <v>7290</v>
      </c>
      <c r="L935" s="3">
        <v>11731</v>
      </c>
      <c r="M935" s="3">
        <v>14</v>
      </c>
      <c r="N935" s="14">
        <v>1593.010399</v>
      </c>
      <c r="O935" s="7">
        <f t="shared" si="126"/>
        <v>0</v>
      </c>
      <c r="P935" s="14">
        <f t="shared" si="127"/>
        <v>0</v>
      </c>
      <c r="Q935" s="14">
        <f t="shared" si="128"/>
        <v>113.78645707142857</v>
      </c>
      <c r="R935" s="4">
        <f t="shared" si="129"/>
        <v>0</v>
      </c>
      <c r="S935" s="14">
        <f t="shared" si="130"/>
        <v>135.79493640780836</v>
      </c>
      <c r="T935" s="4">
        <f t="shared" si="131"/>
        <v>58.511919094630386</v>
      </c>
      <c r="U935" s="3">
        <f>LEN(A935) - LEN(SUBSTITUTE(A935,"&gt;","")) +1</f>
        <v>4</v>
      </c>
      <c r="V935" s="8">
        <f t="shared" si="132"/>
        <v>0</v>
      </c>
      <c r="W935" s="14">
        <f t="shared" si="133"/>
        <v>398.25259975</v>
      </c>
      <c r="X935" s="4">
        <f t="shared" si="134"/>
        <v>0</v>
      </c>
    </row>
    <row r="936" spans="1:24" ht="14.25" customHeight="1" x14ac:dyDescent="0.2">
      <c r="A936" s="5" t="s">
        <v>2278</v>
      </c>
      <c r="B936" s="3" t="s">
        <v>24</v>
      </c>
      <c r="C936" s="3" t="s">
        <v>35</v>
      </c>
      <c r="D936" s="3" t="s">
        <v>2369</v>
      </c>
      <c r="E936" s="3" t="s">
        <v>2365</v>
      </c>
      <c r="F936" s="3" t="s">
        <v>1397</v>
      </c>
      <c r="G936" s="3" t="s">
        <v>41</v>
      </c>
      <c r="H936" s="3" t="s">
        <v>114</v>
      </c>
      <c r="I936" s="3">
        <v>136</v>
      </c>
      <c r="J936" s="3">
        <v>0</v>
      </c>
      <c r="K936" s="3">
        <v>109</v>
      </c>
      <c r="L936" s="3">
        <v>131</v>
      </c>
      <c r="M936" s="3">
        <v>2</v>
      </c>
      <c r="N936" s="14">
        <v>1592.109907</v>
      </c>
      <c r="O936" s="7">
        <f t="shared" si="126"/>
        <v>0</v>
      </c>
      <c r="P936" s="14">
        <f t="shared" si="127"/>
        <v>0</v>
      </c>
      <c r="Q936" s="14">
        <f t="shared" si="128"/>
        <v>796.05495350000001</v>
      </c>
      <c r="R936" s="4">
        <f t="shared" si="129"/>
        <v>0</v>
      </c>
      <c r="S936" s="14">
        <f t="shared" si="130"/>
        <v>12153.510740458016</v>
      </c>
      <c r="T936" s="4">
        <f t="shared" si="131"/>
        <v>80.14705882352942</v>
      </c>
      <c r="U936" s="3">
        <f>LEN(A936) - LEN(SUBSTITUTE(A936,"&gt;","")) +1</f>
        <v>3</v>
      </c>
      <c r="V936" s="8">
        <f t="shared" si="132"/>
        <v>0</v>
      </c>
      <c r="W936" s="14">
        <f t="shared" si="133"/>
        <v>530.70330233333334</v>
      </c>
      <c r="X936" s="4">
        <f t="shared" si="134"/>
        <v>0</v>
      </c>
    </row>
    <row r="937" spans="1:24" ht="14.25" customHeight="1" x14ac:dyDescent="0.2">
      <c r="A937" s="5" t="s">
        <v>2279</v>
      </c>
      <c r="B937" s="3" t="s">
        <v>24</v>
      </c>
      <c r="C937" s="3" t="s">
        <v>32</v>
      </c>
      <c r="D937" s="3" t="s">
        <v>2366</v>
      </c>
      <c r="E937" s="3" t="s">
        <v>2352</v>
      </c>
      <c r="F937" s="3" t="s">
        <v>998</v>
      </c>
      <c r="G937" s="3" t="s">
        <v>27</v>
      </c>
      <c r="H937" s="3" t="s">
        <v>163</v>
      </c>
      <c r="I937" s="3">
        <v>16719</v>
      </c>
      <c r="J937" s="3">
        <v>0</v>
      </c>
      <c r="K937" s="3">
        <v>9944</v>
      </c>
      <c r="L937" s="3">
        <v>15714</v>
      </c>
      <c r="M937" s="3">
        <v>13</v>
      </c>
      <c r="N937" s="14">
        <v>1588.6475</v>
      </c>
      <c r="O937" s="7">
        <f t="shared" si="126"/>
        <v>0</v>
      </c>
      <c r="P937" s="14">
        <f t="shared" si="127"/>
        <v>0</v>
      </c>
      <c r="Q937" s="14">
        <f t="shared" si="128"/>
        <v>122.20365384615386</v>
      </c>
      <c r="R937" s="4">
        <f t="shared" si="129"/>
        <v>0</v>
      </c>
      <c r="S937" s="14">
        <f t="shared" si="130"/>
        <v>101.09758813796614</v>
      </c>
      <c r="T937" s="4">
        <f t="shared" si="131"/>
        <v>59.477241461809918</v>
      </c>
      <c r="U937" s="3">
        <f>LEN(A937) - LEN(SUBSTITUTE(A937,"&gt;","")) +1</f>
        <v>3</v>
      </c>
      <c r="V937" s="8">
        <f t="shared" si="132"/>
        <v>0</v>
      </c>
      <c r="W937" s="14">
        <f t="shared" si="133"/>
        <v>529.54916666666668</v>
      </c>
      <c r="X937" s="4">
        <f t="shared" si="134"/>
        <v>0</v>
      </c>
    </row>
    <row r="938" spans="1:24" ht="14.25" customHeight="1" x14ac:dyDescent="0.2">
      <c r="A938" s="5" t="s">
        <v>2280</v>
      </c>
      <c r="B938" s="3" t="s">
        <v>24</v>
      </c>
      <c r="C938" s="3" t="s">
        <v>15</v>
      </c>
      <c r="D938" s="3" t="s">
        <v>2362</v>
      </c>
      <c r="E938" s="3" t="s">
        <v>2352</v>
      </c>
      <c r="F938" s="3" t="s">
        <v>1400</v>
      </c>
      <c r="G938" s="3" t="s">
        <v>27</v>
      </c>
      <c r="H938" s="3" t="s">
        <v>114</v>
      </c>
      <c r="I938" s="3">
        <v>54</v>
      </c>
      <c r="J938" s="3">
        <v>0</v>
      </c>
      <c r="K938" s="3">
        <v>32</v>
      </c>
      <c r="L938" s="3">
        <v>48</v>
      </c>
      <c r="M938" s="3">
        <v>2</v>
      </c>
      <c r="N938" s="14">
        <v>1586.6604420000001</v>
      </c>
      <c r="O938" s="7">
        <f t="shared" si="126"/>
        <v>0</v>
      </c>
      <c r="P938" s="14">
        <f t="shared" si="127"/>
        <v>0</v>
      </c>
      <c r="Q938" s="14">
        <f t="shared" si="128"/>
        <v>793.33022100000005</v>
      </c>
      <c r="R938" s="4">
        <f t="shared" si="129"/>
        <v>0</v>
      </c>
      <c r="S938" s="14">
        <f t="shared" si="130"/>
        <v>33055.425875000008</v>
      </c>
      <c r="T938" s="4">
        <f t="shared" si="131"/>
        <v>59.259259259259252</v>
      </c>
      <c r="U938" s="3">
        <f>LEN(A938) - LEN(SUBSTITUTE(A938,"&gt;","")) +1</f>
        <v>3</v>
      </c>
      <c r="V938" s="8">
        <f t="shared" si="132"/>
        <v>0</v>
      </c>
      <c r="W938" s="14">
        <f t="shared" si="133"/>
        <v>528.88681400000007</v>
      </c>
      <c r="X938" s="4">
        <f t="shared" si="134"/>
        <v>0</v>
      </c>
    </row>
    <row r="939" spans="1:24" ht="14.25" customHeight="1" x14ac:dyDescent="0.2">
      <c r="A939" s="5" t="s">
        <v>2281</v>
      </c>
      <c r="B939" s="3" t="s">
        <v>14</v>
      </c>
      <c r="C939" s="3" t="s">
        <v>15</v>
      </c>
      <c r="D939" s="3" t="s">
        <v>2353</v>
      </c>
      <c r="E939" s="3" t="s">
        <v>2354</v>
      </c>
      <c r="F939" s="3" t="s">
        <v>263</v>
      </c>
      <c r="G939" s="3" t="s">
        <v>27</v>
      </c>
      <c r="H939" s="3" t="s">
        <v>19</v>
      </c>
      <c r="I939" s="3">
        <v>9222</v>
      </c>
      <c r="J939" s="3">
        <v>0</v>
      </c>
      <c r="K939" s="3">
        <v>5352</v>
      </c>
      <c r="L939" s="3">
        <v>8141</v>
      </c>
      <c r="M939" s="3">
        <v>1</v>
      </c>
      <c r="N939" s="14">
        <v>1583.1643019999999</v>
      </c>
      <c r="O939" s="7">
        <f t="shared" si="126"/>
        <v>0</v>
      </c>
      <c r="P939" s="14">
        <f t="shared" si="127"/>
        <v>0</v>
      </c>
      <c r="Q939" s="14">
        <f t="shared" si="128"/>
        <v>1583.1643019999999</v>
      </c>
      <c r="R939" s="4">
        <f t="shared" si="129"/>
        <v>0</v>
      </c>
      <c r="S939" s="14">
        <f t="shared" si="130"/>
        <v>194.46803857020021</v>
      </c>
      <c r="T939" s="4">
        <f t="shared" si="131"/>
        <v>58.035133376707869</v>
      </c>
      <c r="U939" s="3">
        <f>LEN(A939) - LEN(SUBSTITUTE(A939,"&gt;","")) +1</f>
        <v>3</v>
      </c>
      <c r="V939" s="8">
        <f t="shared" si="132"/>
        <v>0</v>
      </c>
      <c r="W939" s="14">
        <f t="shared" si="133"/>
        <v>527.72143399999993</v>
      </c>
      <c r="X939" s="4">
        <f t="shared" si="134"/>
        <v>0</v>
      </c>
    </row>
    <row r="940" spans="1:24" ht="14.25" customHeight="1" x14ac:dyDescent="0.2">
      <c r="A940" s="5" t="s">
        <v>2282</v>
      </c>
      <c r="B940" s="3" t="s">
        <v>24</v>
      </c>
      <c r="C940" s="3" t="s">
        <v>29</v>
      </c>
      <c r="D940" s="3" t="s">
        <v>2355</v>
      </c>
      <c r="E940" s="3" t="s">
        <v>2356</v>
      </c>
      <c r="F940" s="3" t="s">
        <v>535</v>
      </c>
      <c r="G940" s="3" t="s">
        <v>41</v>
      </c>
      <c r="H940" s="3" t="s">
        <v>19</v>
      </c>
      <c r="I940" s="3">
        <v>14922</v>
      </c>
      <c r="J940" s="3">
        <v>0</v>
      </c>
      <c r="K940" s="3">
        <v>10713</v>
      </c>
      <c r="L940" s="3">
        <v>13992</v>
      </c>
      <c r="M940" s="3">
        <v>1</v>
      </c>
      <c r="N940" s="14">
        <v>1578.876432</v>
      </c>
      <c r="O940" s="7">
        <f t="shared" si="126"/>
        <v>0</v>
      </c>
      <c r="P940" s="14">
        <f t="shared" si="127"/>
        <v>0</v>
      </c>
      <c r="Q940" s="14">
        <f t="shared" si="128"/>
        <v>1578.876432</v>
      </c>
      <c r="R940" s="4">
        <f t="shared" si="129"/>
        <v>0</v>
      </c>
      <c r="S940" s="14">
        <f t="shared" si="130"/>
        <v>112.84136878216124</v>
      </c>
      <c r="T940" s="4">
        <f t="shared" si="131"/>
        <v>71.793325291515885</v>
      </c>
      <c r="U940" s="3">
        <f>LEN(A940) - LEN(SUBSTITUTE(A940,"&gt;","")) +1</f>
        <v>5</v>
      </c>
      <c r="V940" s="8">
        <f t="shared" si="132"/>
        <v>0</v>
      </c>
      <c r="W940" s="14">
        <f t="shared" si="133"/>
        <v>315.77528640000003</v>
      </c>
      <c r="X940" s="4">
        <f t="shared" si="134"/>
        <v>0</v>
      </c>
    </row>
    <row r="941" spans="1:24" ht="14.25" customHeight="1" x14ac:dyDescent="0.2">
      <c r="A941" s="5" t="s">
        <v>2283</v>
      </c>
      <c r="B941" s="3" t="s">
        <v>24</v>
      </c>
      <c r="C941" s="3" t="s">
        <v>15</v>
      </c>
      <c r="D941" s="3" t="s">
        <v>2369</v>
      </c>
      <c r="E941" s="3" t="s">
        <v>2365</v>
      </c>
      <c r="F941" s="3" t="s">
        <v>250</v>
      </c>
      <c r="G941" s="3" t="s">
        <v>41</v>
      </c>
      <c r="H941" s="3" t="s">
        <v>163</v>
      </c>
      <c r="I941" s="3">
        <v>11269</v>
      </c>
      <c r="J941" s="3">
        <v>0</v>
      </c>
      <c r="K941" s="3">
        <v>4992</v>
      </c>
      <c r="L941" s="3">
        <v>10245</v>
      </c>
      <c r="M941" s="3">
        <v>1</v>
      </c>
      <c r="N941" s="14">
        <v>1576.38921</v>
      </c>
      <c r="O941" s="7">
        <f t="shared" si="126"/>
        <v>0</v>
      </c>
      <c r="P941" s="14">
        <f t="shared" si="127"/>
        <v>0</v>
      </c>
      <c r="Q941" s="14">
        <f t="shared" si="128"/>
        <v>1576.38921</v>
      </c>
      <c r="R941" s="4">
        <f t="shared" si="129"/>
        <v>0</v>
      </c>
      <c r="S941" s="14">
        <f t="shared" si="130"/>
        <v>153.86912737920937</v>
      </c>
      <c r="T941" s="4">
        <f t="shared" si="131"/>
        <v>44.298518058390272</v>
      </c>
      <c r="U941" s="3">
        <f>LEN(A941) - LEN(SUBSTITUTE(A941,"&gt;","")) +1</f>
        <v>2</v>
      </c>
      <c r="V941" s="8">
        <f t="shared" si="132"/>
        <v>0</v>
      </c>
      <c r="W941" s="14">
        <f t="shared" si="133"/>
        <v>788.19460500000002</v>
      </c>
      <c r="X941" s="4">
        <f t="shared" si="134"/>
        <v>0</v>
      </c>
    </row>
    <row r="942" spans="1:24" ht="14.25" customHeight="1" x14ac:dyDescent="0.2">
      <c r="A942" s="5" t="s">
        <v>2284</v>
      </c>
      <c r="B942" s="3" t="s">
        <v>24</v>
      </c>
      <c r="C942" s="3" t="s">
        <v>35</v>
      </c>
      <c r="D942" s="3" t="s">
        <v>2357</v>
      </c>
      <c r="E942" s="3" t="s">
        <v>2358</v>
      </c>
      <c r="F942" s="3" t="s">
        <v>119</v>
      </c>
      <c r="G942" s="3" t="s">
        <v>27</v>
      </c>
      <c r="H942" s="3" t="s">
        <v>114</v>
      </c>
      <c r="I942" s="3">
        <v>16808</v>
      </c>
      <c r="J942" s="3">
        <v>0</v>
      </c>
      <c r="K942" s="3">
        <v>9211</v>
      </c>
      <c r="L942" s="3">
        <v>13372</v>
      </c>
      <c r="M942" s="3">
        <v>1</v>
      </c>
      <c r="N942" s="14">
        <v>1574.7912799999999</v>
      </c>
      <c r="O942" s="7">
        <f t="shared" si="126"/>
        <v>0</v>
      </c>
      <c r="P942" s="14">
        <f t="shared" si="127"/>
        <v>0</v>
      </c>
      <c r="Q942" s="14">
        <f t="shared" si="128"/>
        <v>1574.7912799999999</v>
      </c>
      <c r="R942" s="4">
        <f t="shared" si="129"/>
        <v>0</v>
      </c>
      <c r="S942" s="14">
        <f t="shared" si="130"/>
        <v>117.76781932396051</v>
      </c>
      <c r="T942" s="4">
        <f t="shared" si="131"/>
        <v>54.801285102332223</v>
      </c>
      <c r="U942" s="3">
        <f>LEN(A942) - LEN(SUBSTITUTE(A942,"&gt;","")) +1</f>
        <v>4</v>
      </c>
      <c r="V942" s="8">
        <f t="shared" si="132"/>
        <v>0</v>
      </c>
      <c r="W942" s="14">
        <f t="shared" si="133"/>
        <v>393.69781999999998</v>
      </c>
      <c r="X942" s="4">
        <f t="shared" si="134"/>
        <v>0</v>
      </c>
    </row>
    <row r="943" spans="1:24" ht="14.25" customHeight="1" x14ac:dyDescent="0.2">
      <c r="A943" s="5" t="s">
        <v>2285</v>
      </c>
      <c r="B943" s="3" t="s">
        <v>24</v>
      </c>
      <c r="C943" s="3" t="s">
        <v>35</v>
      </c>
      <c r="D943" s="3" t="s">
        <v>2349</v>
      </c>
      <c r="E943" s="3" t="s">
        <v>2350</v>
      </c>
      <c r="F943" s="3" t="s">
        <v>818</v>
      </c>
      <c r="G943" s="3" t="s">
        <v>22</v>
      </c>
      <c r="H943" s="3" t="s">
        <v>163</v>
      </c>
      <c r="I943" s="3">
        <v>18028</v>
      </c>
      <c r="J943" s="3">
        <v>0</v>
      </c>
      <c r="K943" s="3">
        <v>1851</v>
      </c>
      <c r="L943" s="3">
        <v>14926</v>
      </c>
      <c r="M943" s="3">
        <v>24</v>
      </c>
      <c r="N943" s="14">
        <v>1572.24171</v>
      </c>
      <c r="O943" s="7">
        <f t="shared" si="126"/>
        <v>0</v>
      </c>
      <c r="P943" s="14">
        <f t="shared" si="127"/>
        <v>0</v>
      </c>
      <c r="Q943" s="14">
        <f t="shared" si="128"/>
        <v>65.510071249999996</v>
      </c>
      <c r="R943" s="4">
        <f t="shared" si="129"/>
        <v>0</v>
      </c>
      <c r="S943" s="14">
        <f t="shared" si="130"/>
        <v>105.33577046764037</v>
      </c>
      <c r="T943" s="4">
        <f t="shared" si="131"/>
        <v>10.267361881517639</v>
      </c>
      <c r="U943" s="3">
        <f>LEN(A943) - LEN(SUBSTITUTE(A943,"&gt;","")) +1</f>
        <v>5</v>
      </c>
      <c r="V943" s="8">
        <f t="shared" si="132"/>
        <v>0</v>
      </c>
      <c r="W943" s="14">
        <f t="shared" si="133"/>
        <v>314.44834200000003</v>
      </c>
      <c r="X943" s="4">
        <f t="shared" si="134"/>
        <v>0</v>
      </c>
    </row>
    <row r="944" spans="1:24" ht="14.25" customHeight="1" x14ac:dyDescent="0.2">
      <c r="A944" s="5" t="s">
        <v>2286</v>
      </c>
      <c r="B944" s="3" t="s">
        <v>14</v>
      </c>
      <c r="C944" s="3" t="s">
        <v>29</v>
      </c>
      <c r="D944" s="3" t="s">
        <v>2374</v>
      </c>
      <c r="E944" s="3" t="s">
        <v>2375</v>
      </c>
      <c r="F944" s="3" t="s">
        <v>1381</v>
      </c>
      <c r="G944" s="3" t="s">
        <v>27</v>
      </c>
      <c r="H944" s="3" t="s">
        <v>19</v>
      </c>
      <c r="I944" s="3">
        <v>208</v>
      </c>
      <c r="J944" s="3">
        <v>0</v>
      </c>
      <c r="K944" s="3">
        <v>159</v>
      </c>
      <c r="L944" s="3">
        <v>198</v>
      </c>
      <c r="M944" s="3">
        <v>3</v>
      </c>
      <c r="N944" s="14">
        <v>1567.583439</v>
      </c>
      <c r="O944" s="7">
        <f t="shared" si="126"/>
        <v>0</v>
      </c>
      <c r="P944" s="14">
        <f t="shared" si="127"/>
        <v>0</v>
      </c>
      <c r="Q944" s="14">
        <f t="shared" si="128"/>
        <v>522.52781300000004</v>
      </c>
      <c r="R944" s="4">
        <f t="shared" si="129"/>
        <v>0</v>
      </c>
      <c r="S944" s="14">
        <f t="shared" si="130"/>
        <v>7917.088075757576</v>
      </c>
      <c r="T944" s="4">
        <f t="shared" si="131"/>
        <v>76.442307692307693</v>
      </c>
      <c r="U944" s="3">
        <f>LEN(A944) - LEN(SUBSTITUTE(A944,"&gt;","")) +1</f>
        <v>4</v>
      </c>
      <c r="V944" s="8">
        <f t="shared" si="132"/>
        <v>0</v>
      </c>
      <c r="W944" s="14">
        <f t="shared" si="133"/>
        <v>391.89585975</v>
      </c>
      <c r="X944" s="4">
        <f t="shared" si="134"/>
        <v>0</v>
      </c>
    </row>
    <row r="945" spans="1:24" ht="14.25" customHeight="1" x14ac:dyDescent="0.2">
      <c r="A945" s="5" t="s">
        <v>1505</v>
      </c>
      <c r="B945" s="3" t="s">
        <v>24</v>
      </c>
      <c r="C945" s="3" t="s">
        <v>35</v>
      </c>
      <c r="D945" s="3" t="s">
        <v>2362</v>
      </c>
      <c r="E945" s="3" t="s">
        <v>2352</v>
      </c>
      <c r="F945" s="3" t="s">
        <v>1408</v>
      </c>
      <c r="G945" s="3" t="s">
        <v>22</v>
      </c>
      <c r="H945" s="3" t="s">
        <v>114</v>
      </c>
      <c r="I945" s="3">
        <v>35</v>
      </c>
      <c r="J945" s="3">
        <v>0</v>
      </c>
      <c r="K945" s="3">
        <v>28</v>
      </c>
      <c r="L945" s="3">
        <v>34</v>
      </c>
      <c r="M945" s="3">
        <v>2</v>
      </c>
      <c r="N945" s="14">
        <v>1562.442601</v>
      </c>
      <c r="O945" s="7">
        <f t="shared" si="126"/>
        <v>0</v>
      </c>
      <c r="P945" s="14">
        <f t="shared" si="127"/>
        <v>0</v>
      </c>
      <c r="Q945" s="14">
        <f t="shared" si="128"/>
        <v>781.22130049999998</v>
      </c>
      <c r="R945" s="4">
        <f t="shared" si="129"/>
        <v>0</v>
      </c>
      <c r="S945" s="14">
        <f t="shared" si="130"/>
        <v>45954.194147058821</v>
      </c>
      <c r="T945" s="4">
        <f t="shared" si="131"/>
        <v>80</v>
      </c>
      <c r="U945" s="3">
        <f>LEN(A945) - LEN(SUBSTITUTE(A945,"&gt;","")) +1</f>
        <v>2</v>
      </c>
      <c r="V945" s="8">
        <f t="shared" si="132"/>
        <v>0</v>
      </c>
      <c r="W945" s="14">
        <f t="shared" si="133"/>
        <v>781.22130049999998</v>
      </c>
      <c r="X945" s="4">
        <f t="shared" si="134"/>
        <v>0</v>
      </c>
    </row>
    <row r="946" spans="1:24" ht="14.25" customHeight="1" x14ac:dyDescent="0.2">
      <c r="A946" s="5" t="s">
        <v>2287</v>
      </c>
      <c r="B946" s="3" t="s">
        <v>24</v>
      </c>
      <c r="C946" s="3" t="s">
        <v>32</v>
      </c>
      <c r="D946" s="3" t="s">
        <v>2349</v>
      </c>
      <c r="E946" s="3" t="s">
        <v>2350</v>
      </c>
      <c r="F946" s="3" t="s">
        <v>1410</v>
      </c>
      <c r="G946" s="3" t="s">
        <v>27</v>
      </c>
      <c r="H946" s="3" t="s">
        <v>19</v>
      </c>
      <c r="I946" s="3">
        <v>183</v>
      </c>
      <c r="J946" s="3">
        <v>0</v>
      </c>
      <c r="K946" s="3">
        <v>140</v>
      </c>
      <c r="L946" s="3">
        <v>162</v>
      </c>
      <c r="M946" s="3">
        <v>3</v>
      </c>
      <c r="N946" s="14">
        <v>1561.9987329999999</v>
      </c>
      <c r="O946" s="7">
        <f t="shared" si="126"/>
        <v>0</v>
      </c>
      <c r="P946" s="14">
        <f t="shared" si="127"/>
        <v>0</v>
      </c>
      <c r="Q946" s="14">
        <f t="shared" si="128"/>
        <v>520.66624433333334</v>
      </c>
      <c r="R946" s="4">
        <f t="shared" si="129"/>
        <v>0</v>
      </c>
      <c r="S946" s="14">
        <f t="shared" si="130"/>
        <v>9641.9674876543195</v>
      </c>
      <c r="T946" s="4">
        <f t="shared" si="131"/>
        <v>76.502732240437155</v>
      </c>
      <c r="U946" s="3">
        <f>LEN(A946) - LEN(SUBSTITUTE(A946,"&gt;","")) +1</f>
        <v>2</v>
      </c>
      <c r="V946" s="8">
        <f t="shared" si="132"/>
        <v>0</v>
      </c>
      <c r="W946" s="14">
        <f t="shared" si="133"/>
        <v>780.99936649999995</v>
      </c>
      <c r="X946" s="4">
        <f t="shared" si="134"/>
        <v>0</v>
      </c>
    </row>
    <row r="947" spans="1:24" ht="14.25" customHeight="1" x14ac:dyDescent="0.2">
      <c r="A947" s="5" t="s">
        <v>2288</v>
      </c>
      <c r="B947" s="3" t="s">
        <v>24</v>
      </c>
      <c r="C947" s="3" t="s">
        <v>35</v>
      </c>
      <c r="D947" s="3" t="s">
        <v>2359</v>
      </c>
      <c r="E947" s="3" t="s">
        <v>2360</v>
      </c>
      <c r="F947" s="3" t="s">
        <v>177</v>
      </c>
      <c r="G947" s="3" t="s">
        <v>22</v>
      </c>
      <c r="H947" s="3" t="s">
        <v>19</v>
      </c>
      <c r="I947" s="3">
        <v>7402</v>
      </c>
      <c r="J947" s="3">
        <v>0</v>
      </c>
      <c r="K947" s="3">
        <v>3860</v>
      </c>
      <c r="L947" s="3">
        <v>6406</v>
      </c>
      <c r="M947" s="3">
        <v>1</v>
      </c>
      <c r="N947" s="14">
        <v>1560.449936</v>
      </c>
      <c r="O947" s="7">
        <f t="shared" si="126"/>
        <v>0</v>
      </c>
      <c r="P947" s="14">
        <f t="shared" si="127"/>
        <v>0</v>
      </c>
      <c r="Q947" s="14">
        <f t="shared" si="128"/>
        <v>1560.449936</v>
      </c>
      <c r="R947" s="4">
        <f t="shared" si="129"/>
        <v>0</v>
      </c>
      <c r="S947" s="14">
        <f t="shared" si="130"/>
        <v>243.59193506088042</v>
      </c>
      <c r="T947" s="4">
        <f t="shared" si="131"/>
        <v>52.14806808970549</v>
      </c>
      <c r="U947" s="3">
        <f>LEN(A947) - LEN(SUBSTITUTE(A947,"&gt;","")) +1</f>
        <v>5</v>
      </c>
      <c r="V947" s="8">
        <f t="shared" si="132"/>
        <v>0</v>
      </c>
      <c r="W947" s="14">
        <f t="shared" si="133"/>
        <v>312.0899872</v>
      </c>
      <c r="X947" s="4">
        <f t="shared" si="134"/>
        <v>0</v>
      </c>
    </row>
    <row r="948" spans="1:24" ht="14.25" customHeight="1" x14ac:dyDescent="0.2">
      <c r="A948" s="5" t="s">
        <v>2289</v>
      </c>
      <c r="B948" s="3" t="s">
        <v>14</v>
      </c>
      <c r="C948" s="3" t="s">
        <v>32</v>
      </c>
      <c r="D948" s="3" t="s">
        <v>2357</v>
      </c>
      <c r="E948" s="3" t="s">
        <v>2358</v>
      </c>
      <c r="F948" s="3" t="s">
        <v>825</v>
      </c>
      <c r="G948" s="3" t="s">
        <v>81</v>
      </c>
      <c r="H948" s="3" t="s">
        <v>19</v>
      </c>
      <c r="I948" s="3">
        <v>13592</v>
      </c>
      <c r="J948" s="3">
        <v>0</v>
      </c>
      <c r="K948" s="3">
        <v>7747</v>
      </c>
      <c r="L948" s="3">
        <v>10690</v>
      </c>
      <c r="M948" s="3">
        <v>1</v>
      </c>
      <c r="N948" s="14">
        <v>1555.1120780000001</v>
      </c>
      <c r="O948" s="7">
        <f t="shared" si="126"/>
        <v>0</v>
      </c>
      <c r="P948" s="14">
        <f t="shared" si="127"/>
        <v>0</v>
      </c>
      <c r="Q948" s="14">
        <f t="shared" si="128"/>
        <v>1555.1120780000001</v>
      </c>
      <c r="R948" s="4">
        <f t="shared" si="129"/>
        <v>0</v>
      </c>
      <c r="S948" s="14">
        <f t="shared" si="130"/>
        <v>145.47353395696913</v>
      </c>
      <c r="T948" s="4">
        <f t="shared" si="131"/>
        <v>56.996762801648025</v>
      </c>
      <c r="U948" s="3">
        <f>LEN(A948) - LEN(SUBSTITUTE(A948,"&gt;","")) +1</f>
        <v>4</v>
      </c>
      <c r="V948" s="8">
        <f t="shared" si="132"/>
        <v>0</v>
      </c>
      <c r="W948" s="14">
        <f t="shared" si="133"/>
        <v>388.77801950000003</v>
      </c>
      <c r="X948" s="4">
        <f t="shared" si="134"/>
        <v>0</v>
      </c>
    </row>
    <row r="949" spans="1:24" ht="14.25" customHeight="1" x14ac:dyDescent="0.2">
      <c r="A949" s="5" t="s">
        <v>2290</v>
      </c>
      <c r="B949" s="3" t="s">
        <v>24</v>
      </c>
      <c r="C949" s="3" t="s">
        <v>15</v>
      </c>
      <c r="D949" s="3" t="s">
        <v>2369</v>
      </c>
      <c r="E949" s="3" t="s">
        <v>2365</v>
      </c>
      <c r="F949" s="3" t="s">
        <v>984</v>
      </c>
      <c r="G949" s="3" t="s">
        <v>27</v>
      </c>
      <c r="H949" s="3" t="s">
        <v>19</v>
      </c>
      <c r="I949" s="3">
        <v>11214</v>
      </c>
      <c r="J949" s="3">
        <v>0</v>
      </c>
      <c r="K949" s="3">
        <v>5523</v>
      </c>
      <c r="L949" s="3">
        <v>10267</v>
      </c>
      <c r="M949" s="3">
        <v>1</v>
      </c>
      <c r="N949" s="14">
        <v>1554.3892149999999</v>
      </c>
      <c r="O949" s="7">
        <f t="shared" si="126"/>
        <v>0</v>
      </c>
      <c r="P949" s="14">
        <f t="shared" si="127"/>
        <v>0</v>
      </c>
      <c r="Q949" s="14">
        <f t="shared" si="128"/>
        <v>1554.3892149999999</v>
      </c>
      <c r="R949" s="4">
        <f t="shared" si="129"/>
        <v>0</v>
      </c>
      <c r="S949" s="14">
        <f t="shared" si="130"/>
        <v>151.39663144053765</v>
      </c>
      <c r="T949" s="4">
        <f t="shared" si="131"/>
        <v>49.250936329588015</v>
      </c>
      <c r="U949" s="3">
        <f>LEN(A949) - LEN(SUBSTITUTE(A949,"&gt;","")) +1</f>
        <v>5</v>
      </c>
      <c r="V949" s="8">
        <f t="shared" si="132"/>
        <v>0</v>
      </c>
      <c r="W949" s="14">
        <f t="shared" si="133"/>
        <v>310.87784299999998</v>
      </c>
      <c r="X949" s="4">
        <f t="shared" si="134"/>
        <v>0</v>
      </c>
    </row>
    <row r="950" spans="1:24" ht="14.25" customHeight="1" x14ac:dyDescent="0.2">
      <c r="A950" s="5" t="s">
        <v>2291</v>
      </c>
      <c r="B950" s="3" t="s">
        <v>24</v>
      </c>
      <c r="C950" s="3" t="s">
        <v>29</v>
      </c>
      <c r="D950" s="3" t="s">
        <v>2349</v>
      </c>
      <c r="E950" s="3" t="s">
        <v>2350</v>
      </c>
      <c r="F950" s="3" t="s">
        <v>1415</v>
      </c>
      <c r="G950" s="3" t="s">
        <v>50</v>
      </c>
      <c r="H950" s="3" t="s">
        <v>114</v>
      </c>
      <c r="I950" s="3">
        <v>3323</v>
      </c>
      <c r="J950" s="3">
        <v>0</v>
      </c>
      <c r="K950" s="3">
        <v>1368</v>
      </c>
      <c r="L950" s="3">
        <v>3159</v>
      </c>
      <c r="M950" s="3">
        <v>1</v>
      </c>
      <c r="N950" s="14">
        <v>1553.592901</v>
      </c>
      <c r="O950" s="7">
        <f t="shared" si="126"/>
        <v>0</v>
      </c>
      <c r="P950" s="14">
        <f t="shared" si="127"/>
        <v>0</v>
      </c>
      <c r="Q950" s="14">
        <f t="shared" si="128"/>
        <v>1553.592901</v>
      </c>
      <c r="R950" s="4">
        <f t="shared" si="129"/>
        <v>0</v>
      </c>
      <c r="S950" s="14">
        <f t="shared" si="130"/>
        <v>491.7989556821779</v>
      </c>
      <c r="T950" s="4">
        <f t="shared" si="131"/>
        <v>41.16761962082456</v>
      </c>
      <c r="U950" s="3">
        <f>LEN(A950) - LEN(SUBSTITUTE(A950,"&gt;","")) +1</f>
        <v>2</v>
      </c>
      <c r="V950" s="8">
        <f t="shared" si="132"/>
        <v>0</v>
      </c>
      <c r="W950" s="14">
        <f t="shared" si="133"/>
        <v>776.79645049999999</v>
      </c>
      <c r="X950" s="4">
        <f t="shared" si="134"/>
        <v>0</v>
      </c>
    </row>
    <row r="951" spans="1:24" ht="14.25" customHeight="1" x14ac:dyDescent="0.2">
      <c r="A951" s="5" t="s">
        <v>1506</v>
      </c>
      <c r="B951" s="3" t="s">
        <v>24</v>
      </c>
      <c r="C951" s="3" t="s">
        <v>29</v>
      </c>
      <c r="D951" s="3" t="s">
        <v>2357</v>
      </c>
      <c r="E951" s="3" t="s">
        <v>2358</v>
      </c>
      <c r="F951" s="3" t="s">
        <v>1417</v>
      </c>
      <c r="G951" s="3" t="s">
        <v>27</v>
      </c>
      <c r="H951" s="3" t="s">
        <v>19</v>
      </c>
      <c r="I951" s="3">
        <v>113</v>
      </c>
      <c r="J951" s="3">
        <v>0</v>
      </c>
      <c r="K951" s="3">
        <v>52</v>
      </c>
      <c r="L951" s="3">
        <v>84</v>
      </c>
      <c r="M951" s="3">
        <v>3</v>
      </c>
      <c r="N951" s="14">
        <v>1552.9681149999999</v>
      </c>
      <c r="O951" s="7">
        <f t="shared" si="126"/>
        <v>0</v>
      </c>
      <c r="P951" s="14">
        <f t="shared" si="127"/>
        <v>0</v>
      </c>
      <c r="Q951" s="14">
        <f t="shared" si="128"/>
        <v>517.6560383333333</v>
      </c>
      <c r="R951" s="4">
        <f t="shared" si="129"/>
        <v>0</v>
      </c>
      <c r="S951" s="14">
        <f t="shared" si="130"/>
        <v>18487.715654761902</v>
      </c>
      <c r="T951" s="4">
        <f t="shared" si="131"/>
        <v>46.017699115044245</v>
      </c>
      <c r="U951" s="3">
        <f>LEN(A951) - LEN(SUBSTITUTE(A951,"&gt;","")) +1</f>
        <v>2</v>
      </c>
      <c r="V951" s="8">
        <f t="shared" si="132"/>
        <v>0</v>
      </c>
      <c r="W951" s="14">
        <f t="shared" si="133"/>
        <v>776.48405749999995</v>
      </c>
      <c r="X951" s="4">
        <f t="shared" si="134"/>
        <v>0</v>
      </c>
    </row>
    <row r="952" spans="1:24" ht="14.25" customHeight="1" x14ac:dyDescent="0.2">
      <c r="A952" s="5" t="s">
        <v>2292</v>
      </c>
      <c r="B952" s="3" t="s">
        <v>24</v>
      </c>
      <c r="C952" s="3" t="s">
        <v>29</v>
      </c>
      <c r="D952" s="3" t="s">
        <v>2349</v>
      </c>
      <c r="E952" s="3" t="s">
        <v>2350</v>
      </c>
      <c r="F952" s="3" t="s">
        <v>543</v>
      </c>
      <c r="G952" s="3" t="s">
        <v>27</v>
      </c>
      <c r="H952" s="3" t="s">
        <v>19</v>
      </c>
      <c r="I952" s="3">
        <v>312206</v>
      </c>
      <c r="J952" s="3">
        <v>0</v>
      </c>
      <c r="K952" s="3">
        <v>35661</v>
      </c>
      <c r="L952" s="3">
        <v>292992</v>
      </c>
      <c r="M952" s="3">
        <v>4</v>
      </c>
      <c r="N952" s="14">
        <v>1550.938318</v>
      </c>
      <c r="O952" s="7">
        <f t="shared" si="126"/>
        <v>0</v>
      </c>
      <c r="P952" s="14">
        <f t="shared" si="127"/>
        <v>0</v>
      </c>
      <c r="Q952" s="14">
        <f t="shared" si="128"/>
        <v>387.7345795</v>
      </c>
      <c r="R952" s="4">
        <f t="shared" si="129"/>
        <v>0</v>
      </c>
      <c r="S952" s="14">
        <f t="shared" si="130"/>
        <v>5.2934493706312793</v>
      </c>
      <c r="T952" s="4">
        <f t="shared" si="131"/>
        <v>11.422266067916697</v>
      </c>
      <c r="U952" s="3">
        <f>LEN(A952) - LEN(SUBSTITUTE(A952,"&gt;","")) +1</f>
        <v>4</v>
      </c>
      <c r="V952" s="8">
        <f t="shared" si="132"/>
        <v>0</v>
      </c>
      <c r="W952" s="14">
        <f t="shared" si="133"/>
        <v>387.7345795</v>
      </c>
      <c r="X952" s="4">
        <f t="shared" si="134"/>
        <v>0</v>
      </c>
    </row>
    <row r="953" spans="1:24" ht="14.25" customHeight="1" x14ac:dyDescent="0.2">
      <c r="A953" s="5" t="s">
        <v>2293</v>
      </c>
      <c r="B953" s="3" t="s">
        <v>14</v>
      </c>
      <c r="C953" s="3" t="s">
        <v>29</v>
      </c>
      <c r="D953" s="3" t="s">
        <v>2349</v>
      </c>
      <c r="E953" s="3" t="s">
        <v>2350</v>
      </c>
      <c r="F953" s="3" t="s">
        <v>1351</v>
      </c>
      <c r="G953" s="3" t="s">
        <v>41</v>
      </c>
      <c r="H953" s="3" t="s">
        <v>19</v>
      </c>
      <c r="I953" s="3">
        <v>6114</v>
      </c>
      <c r="J953" s="3">
        <v>0</v>
      </c>
      <c r="K953" s="3">
        <v>3803</v>
      </c>
      <c r="L953" s="3">
        <v>5667</v>
      </c>
      <c r="M953" s="3">
        <v>2</v>
      </c>
      <c r="N953" s="14">
        <v>1541.792535</v>
      </c>
      <c r="O953" s="7">
        <f t="shared" si="126"/>
        <v>0</v>
      </c>
      <c r="P953" s="14">
        <f t="shared" si="127"/>
        <v>0</v>
      </c>
      <c r="Q953" s="14">
        <f t="shared" si="128"/>
        <v>770.89626750000002</v>
      </c>
      <c r="R953" s="4">
        <f t="shared" si="129"/>
        <v>0</v>
      </c>
      <c r="S953" s="14">
        <f t="shared" si="130"/>
        <v>272.06503176283746</v>
      </c>
      <c r="T953" s="4">
        <f t="shared" si="131"/>
        <v>62.201504743212297</v>
      </c>
      <c r="U953" s="3">
        <f>LEN(A953) - LEN(SUBSTITUTE(A953,"&gt;","")) +1</f>
        <v>3</v>
      </c>
      <c r="V953" s="8">
        <f t="shared" si="132"/>
        <v>0</v>
      </c>
      <c r="W953" s="14">
        <f t="shared" si="133"/>
        <v>513.93084499999998</v>
      </c>
      <c r="X953" s="4">
        <f t="shared" si="134"/>
        <v>0</v>
      </c>
    </row>
    <row r="954" spans="1:24" ht="14.25" customHeight="1" x14ac:dyDescent="0.2">
      <c r="A954" s="5" t="s">
        <v>2294</v>
      </c>
      <c r="B954" s="3" t="s">
        <v>24</v>
      </c>
      <c r="C954" s="3" t="s">
        <v>15</v>
      </c>
      <c r="D954" s="3" t="s">
        <v>2359</v>
      </c>
      <c r="E954" s="3" t="s">
        <v>2360</v>
      </c>
      <c r="F954" s="3" t="s">
        <v>1421</v>
      </c>
      <c r="G954" s="3" t="s">
        <v>27</v>
      </c>
      <c r="H954" s="3" t="s">
        <v>19</v>
      </c>
      <c r="I954" s="3">
        <v>2972</v>
      </c>
      <c r="J954" s="3">
        <v>0</v>
      </c>
      <c r="K954" s="3">
        <v>1701</v>
      </c>
      <c r="L954" s="3">
        <v>2675</v>
      </c>
      <c r="M954" s="3">
        <v>13</v>
      </c>
      <c r="N954" s="14">
        <v>1534.5344930000001</v>
      </c>
      <c r="O954" s="7">
        <f t="shared" si="126"/>
        <v>0</v>
      </c>
      <c r="P954" s="14">
        <f t="shared" si="127"/>
        <v>0</v>
      </c>
      <c r="Q954" s="14">
        <f t="shared" si="128"/>
        <v>118.04111484615386</v>
      </c>
      <c r="R954" s="4">
        <f t="shared" si="129"/>
        <v>0</v>
      </c>
      <c r="S954" s="14">
        <f t="shared" si="130"/>
        <v>573.65775439252343</v>
      </c>
      <c r="T954" s="4">
        <f t="shared" si="131"/>
        <v>57.234185733512788</v>
      </c>
      <c r="U954" s="3">
        <f>LEN(A954) - LEN(SUBSTITUTE(A954,"&gt;","")) +1</f>
        <v>4</v>
      </c>
      <c r="V954" s="8">
        <f t="shared" si="132"/>
        <v>0</v>
      </c>
      <c r="W954" s="14">
        <f t="shared" si="133"/>
        <v>383.63362325000003</v>
      </c>
      <c r="X954" s="4">
        <f t="shared" si="134"/>
        <v>0</v>
      </c>
    </row>
    <row r="955" spans="1:24" ht="14.25" customHeight="1" x14ac:dyDescent="0.2">
      <c r="A955" s="5" t="s">
        <v>2295</v>
      </c>
      <c r="B955" s="3" t="s">
        <v>24</v>
      </c>
      <c r="C955" s="3" t="s">
        <v>29</v>
      </c>
      <c r="D955" s="3" t="s">
        <v>2361</v>
      </c>
      <c r="E955" s="3" t="s">
        <v>2360</v>
      </c>
      <c r="F955" s="3" t="s">
        <v>1423</v>
      </c>
      <c r="G955" s="3" t="s">
        <v>41</v>
      </c>
      <c r="H955" s="3" t="s">
        <v>19</v>
      </c>
      <c r="I955" s="3">
        <v>694</v>
      </c>
      <c r="J955" s="3">
        <v>0</v>
      </c>
      <c r="K955" s="3">
        <v>154</v>
      </c>
      <c r="L955" s="3">
        <v>625</v>
      </c>
      <c r="M955" s="3">
        <v>3</v>
      </c>
      <c r="N955" s="14">
        <v>1534.041837</v>
      </c>
      <c r="O955" s="7">
        <f t="shared" si="126"/>
        <v>0</v>
      </c>
      <c r="P955" s="14">
        <f t="shared" si="127"/>
        <v>0</v>
      </c>
      <c r="Q955" s="14">
        <f t="shared" si="128"/>
        <v>511.34727900000001</v>
      </c>
      <c r="R955" s="4">
        <f t="shared" si="129"/>
        <v>0</v>
      </c>
      <c r="S955" s="14">
        <f t="shared" si="130"/>
        <v>2454.4669392000001</v>
      </c>
      <c r="T955" s="4">
        <f t="shared" si="131"/>
        <v>22.190201729106629</v>
      </c>
      <c r="U955" s="3">
        <f>LEN(A955) - LEN(SUBSTITUTE(A955,"&gt;","")) +1</f>
        <v>4</v>
      </c>
      <c r="V955" s="8">
        <f t="shared" si="132"/>
        <v>0</v>
      </c>
      <c r="W955" s="14">
        <f t="shared" si="133"/>
        <v>383.51045925</v>
      </c>
      <c r="X955" s="4">
        <f t="shared" si="134"/>
        <v>0</v>
      </c>
    </row>
    <row r="956" spans="1:24" ht="14.25" customHeight="1" x14ac:dyDescent="0.2">
      <c r="A956" s="5" t="s">
        <v>2296</v>
      </c>
      <c r="B956" s="3" t="s">
        <v>14</v>
      </c>
      <c r="C956" s="3" t="s">
        <v>15</v>
      </c>
      <c r="D956" s="3" t="s">
        <v>2397</v>
      </c>
      <c r="E956" s="3" t="s">
        <v>2360</v>
      </c>
      <c r="F956" s="3" t="s">
        <v>1425</v>
      </c>
      <c r="G956" s="3" t="s">
        <v>22</v>
      </c>
      <c r="H956" s="3" t="s">
        <v>19</v>
      </c>
      <c r="I956" s="3">
        <v>43</v>
      </c>
      <c r="J956" s="3">
        <v>0</v>
      </c>
      <c r="K956" s="3">
        <v>26</v>
      </c>
      <c r="L956" s="3">
        <v>40</v>
      </c>
      <c r="M956" s="3">
        <v>10</v>
      </c>
      <c r="N956" s="14">
        <v>1533.0003939999999</v>
      </c>
      <c r="O956" s="7">
        <f t="shared" si="126"/>
        <v>0</v>
      </c>
      <c r="P956" s="14">
        <f t="shared" si="127"/>
        <v>0</v>
      </c>
      <c r="Q956" s="14">
        <f t="shared" si="128"/>
        <v>153.3000394</v>
      </c>
      <c r="R956" s="4">
        <f t="shared" si="129"/>
        <v>0</v>
      </c>
      <c r="S956" s="14">
        <f t="shared" si="130"/>
        <v>38325.009850000002</v>
      </c>
      <c r="T956" s="4">
        <f t="shared" si="131"/>
        <v>60.465116279069761</v>
      </c>
      <c r="U956" s="3">
        <f>LEN(A956) - LEN(SUBSTITUTE(A956,"&gt;","")) +1</f>
        <v>3</v>
      </c>
      <c r="V956" s="8">
        <f t="shared" si="132"/>
        <v>0</v>
      </c>
      <c r="W956" s="14">
        <f t="shared" si="133"/>
        <v>511.00013133333329</v>
      </c>
      <c r="X956" s="4">
        <f t="shared" si="134"/>
        <v>0</v>
      </c>
    </row>
    <row r="957" spans="1:24" ht="14.25" customHeight="1" x14ac:dyDescent="0.2">
      <c r="A957" s="5" t="s">
        <v>2297</v>
      </c>
      <c r="B957" s="3" t="s">
        <v>14</v>
      </c>
      <c r="C957" s="3" t="s">
        <v>29</v>
      </c>
      <c r="D957" s="3" t="s">
        <v>2353</v>
      </c>
      <c r="E957" s="3" t="s">
        <v>2354</v>
      </c>
      <c r="F957" s="3" t="s">
        <v>1427</v>
      </c>
      <c r="G957" s="3" t="s">
        <v>27</v>
      </c>
      <c r="H957" s="3" t="s">
        <v>19</v>
      </c>
      <c r="I957" s="3">
        <v>1575</v>
      </c>
      <c r="J957" s="3">
        <v>0</v>
      </c>
      <c r="K957" s="3">
        <v>833</v>
      </c>
      <c r="L957" s="3">
        <v>1487</v>
      </c>
      <c r="M957" s="3">
        <v>24</v>
      </c>
      <c r="N957" s="14">
        <v>1526.831549</v>
      </c>
      <c r="O957" s="7">
        <f t="shared" si="126"/>
        <v>0</v>
      </c>
      <c r="P957" s="14">
        <f t="shared" si="127"/>
        <v>0</v>
      </c>
      <c r="Q957" s="14">
        <f t="shared" si="128"/>
        <v>63.617981208333333</v>
      </c>
      <c r="R957" s="4">
        <f t="shared" si="129"/>
        <v>0</v>
      </c>
      <c r="S957" s="14">
        <f t="shared" si="130"/>
        <v>1026.7865158036316</v>
      </c>
      <c r="T957" s="4">
        <f t="shared" si="131"/>
        <v>52.888888888888886</v>
      </c>
      <c r="U957" s="3">
        <f>LEN(A957) - LEN(SUBSTITUTE(A957,"&gt;","")) +1</f>
        <v>4</v>
      </c>
      <c r="V957" s="8">
        <f t="shared" si="132"/>
        <v>0</v>
      </c>
      <c r="W957" s="14">
        <f t="shared" si="133"/>
        <v>381.70788725</v>
      </c>
      <c r="X957" s="4">
        <f t="shared" si="134"/>
        <v>0</v>
      </c>
    </row>
    <row r="958" spans="1:24" ht="14.25" customHeight="1" x14ac:dyDescent="0.2">
      <c r="A958" s="5" t="s">
        <v>2298</v>
      </c>
      <c r="B958" s="3" t="s">
        <v>68</v>
      </c>
      <c r="C958" s="3" t="s">
        <v>15</v>
      </c>
      <c r="D958" s="3" t="s">
        <v>2395</v>
      </c>
      <c r="E958" s="3" t="s">
        <v>2354</v>
      </c>
      <c r="F958" s="3" t="s">
        <v>1429</v>
      </c>
      <c r="G958" s="3" t="s">
        <v>27</v>
      </c>
      <c r="H958" s="3" t="s">
        <v>19</v>
      </c>
      <c r="I958" s="3">
        <v>9946</v>
      </c>
      <c r="J958" s="3">
        <v>0</v>
      </c>
      <c r="K958" s="3">
        <v>4818</v>
      </c>
      <c r="L958" s="3">
        <v>7382</v>
      </c>
      <c r="M958" s="3">
        <v>1</v>
      </c>
      <c r="N958" s="14">
        <v>1525.962329</v>
      </c>
      <c r="O958" s="7">
        <f t="shared" si="126"/>
        <v>0</v>
      </c>
      <c r="P958" s="14">
        <f t="shared" si="127"/>
        <v>0</v>
      </c>
      <c r="Q958" s="14">
        <f t="shared" si="128"/>
        <v>1525.962329</v>
      </c>
      <c r="R958" s="4">
        <f t="shared" si="129"/>
        <v>0</v>
      </c>
      <c r="S958" s="14">
        <f t="shared" si="130"/>
        <v>206.71394324031428</v>
      </c>
      <c r="T958" s="4">
        <f t="shared" si="131"/>
        <v>48.441584556605669</v>
      </c>
      <c r="U958" s="3">
        <f>LEN(A958) - LEN(SUBSTITUTE(A958,"&gt;","")) +1</f>
        <v>4</v>
      </c>
      <c r="V958" s="8">
        <f t="shared" si="132"/>
        <v>0</v>
      </c>
      <c r="W958" s="14">
        <f t="shared" si="133"/>
        <v>381.49058224999999</v>
      </c>
      <c r="X958" s="4">
        <f t="shared" si="134"/>
        <v>0</v>
      </c>
    </row>
    <row r="959" spans="1:24" ht="14.25" customHeight="1" x14ac:dyDescent="0.2">
      <c r="A959" s="5" t="s">
        <v>2299</v>
      </c>
      <c r="B959" s="3" t="s">
        <v>24</v>
      </c>
      <c r="C959" s="3" t="s">
        <v>29</v>
      </c>
      <c r="D959" s="3" t="s">
        <v>2359</v>
      </c>
      <c r="E959" s="3" t="s">
        <v>2360</v>
      </c>
      <c r="F959" s="3" t="s">
        <v>1431</v>
      </c>
      <c r="G959" s="3" t="s">
        <v>27</v>
      </c>
      <c r="H959" s="3" t="s">
        <v>19</v>
      </c>
      <c r="I959" s="3">
        <v>195</v>
      </c>
      <c r="J959" s="3">
        <v>0</v>
      </c>
      <c r="K959" s="3">
        <v>145</v>
      </c>
      <c r="L959" s="3">
        <v>185</v>
      </c>
      <c r="M959" s="3">
        <v>8</v>
      </c>
      <c r="N959" s="14">
        <v>1523.092191</v>
      </c>
      <c r="O959" s="7">
        <f t="shared" si="126"/>
        <v>0</v>
      </c>
      <c r="P959" s="14">
        <f t="shared" si="127"/>
        <v>0</v>
      </c>
      <c r="Q959" s="14">
        <f t="shared" si="128"/>
        <v>190.38652387499999</v>
      </c>
      <c r="R959" s="4">
        <f t="shared" si="129"/>
        <v>0</v>
      </c>
      <c r="S959" s="14">
        <f t="shared" si="130"/>
        <v>8232.9307621621629</v>
      </c>
      <c r="T959" s="4">
        <f t="shared" si="131"/>
        <v>74.358974358974365</v>
      </c>
      <c r="U959" s="3">
        <f>LEN(A959) - LEN(SUBSTITUTE(A959,"&gt;","")) +1</f>
        <v>4</v>
      </c>
      <c r="V959" s="8">
        <f t="shared" si="132"/>
        <v>0</v>
      </c>
      <c r="W959" s="14">
        <f t="shared" si="133"/>
        <v>380.77304774999999</v>
      </c>
      <c r="X959" s="4">
        <f t="shared" si="134"/>
        <v>0</v>
      </c>
    </row>
    <row r="960" spans="1:24" ht="14.25" customHeight="1" x14ac:dyDescent="0.2">
      <c r="A960" s="5" t="s">
        <v>2300</v>
      </c>
      <c r="B960" s="3" t="s">
        <v>14</v>
      </c>
      <c r="C960" s="3" t="s">
        <v>15</v>
      </c>
      <c r="D960" s="3" t="s">
        <v>2367</v>
      </c>
      <c r="E960" s="3" t="s">
        <v>2352</v>
      </c>
      <c r="F960" s="3" t="s">
        <v>998</v>
      </c>
      <c r="G960" s="3" t="s">
        <v>41</v>
      </c>
      <c r="H960" s="3" t="s">
        <v>19</v>
      </c>
      <c r="I960" s="3">
        <v>12592</v>
      </c>
      <c r="J960" s="3">
        <v>0</v>
      </c>
      <c r="K960" s="3">
        <v>7472</v>
      </c>
      <c r="L960" s="3">
        <v>11687</v>
      </c>
      <c r="M960" s="3">
        <v>1</v>
      </c>
      <c r="N960" s="14">
        <v>1521.185189</v>
      </c>
      <c r="O960" s="7">
        <f t="shared" si="126"/>
        <v>0</v>
      </c>
      <c r="P960" s="14">
        <f t="shared" si="127"/>
        <v>0</v>
      </c>
      <c r="Q960" s="14">
        <f t="shared" si="128"/>
        <v>1521.185189</v>
      </c>
      <c r="R960" s="4">
        <f t="shared" si="129"/>
        <v>0</v>
      </c>
      <c r="S960" s="14">
        <f t="shared" si="130"/>
        <v>130.1604508428168</v>
      </c>
      <c r="T960" s="4">
        <f t="shared" si="131"/>
        <v>59.339263024142305</v>
      </c>
      <c r="U960" s="3">
        <f>LEN(A960) - LEN(SUBSTITUTE(A960,"&gt;","")) +1</f>
        <v>4</v>
      </c>
      <c r="V960" s="8">
        <f t="shared" si="132"/>
        <v>0</v>
      </c>
      <c r="W960" s="14">
        <f t="shared" si="133"/>
        <v>380.29629725000001</v>
      </c>
      <c r="X960" s="4">
        <f t="shared" si="134"/>
        <v>0</v>
      </c>
    </row>
    <row r="961" spans="1:24" ht="14.25" customHeight="1" x14ac:dyDescent="0.2">
      <c r="A961" s="5" t="s">
        <v>2301</v>
      </c>
      <c r="B961" s="3" t="s">
        <v>24</v>
      </c>
      <c r="C961" s="3" t="s">
        <v>29</v>
      </c>
      <c r="D961" s="3" t="s">
        <v>2371</v>
      </c>
      <c r="E961" s="3" t="s">
        <v>2372</v>
      </c>
      <c r="F961" s="3" t="s">
        <v>1434</v>
      </c>
      <c r="G961" s="3" t="s">
        <v>33</v>
      </c>
      <c r="H961" s="3" t="s">
        <v>114</v>
      </c>
      <c r="I961" s="3">
        <v>1530</v>
      </c>
      <c r="J961" s="3">
        <v>0</v>
      </c>
      <c r="K961" s="3">
        <v>999</v>
      </c>
      <c r="L961" s="3">
        <v>1423</v>
      </c>
      <c r="M961" s="3">
        <v>15</v>
      </c>
      <c r="N961" s="14">
        <v>1518.6707140000001</v>
      </c>
      <c r="O961" s="7">
        <f t="shared" si="126"/>
        <v>0</v>
      </c>
      <c r="P961" s="14">
        <f t="shared" si="127"/>
        <v>0</v>
      </c>
      <c r="Q961" s="14">
        <f t="shared" si="128"/>
        <v>101.24471426666668</v>
      </c>
      <c r="R961" s="4">
        <f t="shared" si="129"/>
        <v>0</v>
      </c>
      <c r="S961" s="14">
        <f t="shared" si="130"/>
        <v>1067.2317034434295</v>
      </c>
      <c r="T961" s="4">
        <f t="shared" si="131"/>
        <v>65.294117647058826</v>
      </c>
      <c r="U961" s="3">
        <f>LEN(A961) - LEN(SUBSTITUTE(A961,"&gt;","")) +1</f>
        <v>3</v>
      </c>
      <c r="V961" s="8">
        <f t="shared" si="132"/>
        <v>0</v>
      </c>
      <c r="W961" s="14">
        <f t="shared" si="133"/>
        <v>506.22357133333338</v>
      </c>
      <c r="X961" s="4">
        <f t="shared" si="134"/>
        <v>0</v>
      </c>
    </row>
    <row r="962" spans="1:24" ht="14.25" customHeight="1" x14ac:dyDescent="0.2">
      <c r="A962" s="5" t="s">
        <v>2302</v>
      </c>
      <c r="B962" s="3" t="s">
        <v>24</v>
      </c>
      <c r="C962" s="3" t="s">
        <v>35</v>
      </c>
      <c r="D962" s="3" t="s">
        <v>2368</v>
      </c>
      <c r="E962" s="3" t="s">
        <v>2352</v>
      </c>
      <c r="F962" s="3" t="s">
        <v>1436</v>
      </c>
      <c r="G962" s="3" t="s">
        <v>22</v>
      </c>
      <c r="H962" s="3" t="s">
        <v>19</v>
      </c>
      <c r="I962" s="3">
        <v>1809</v>
      </c>
      <c r="J962" s="3">
        <v>0</v>
      </c>
      <c r="K962" s="3">
        <v>723</v>
      </c>
      <c r="L962" s="3">
        <v>863</v>
      </c>
      <c r="M962" s="3">
        <v>7</v>
      </c>
      <c r="N962" s="14">
        <v>1512.811528</v>
      </c>
      <c r="O962" s="7">
        <f t="shared" si="126"/>
        <v>0</v>
      </c>
      <c r="P962" s="14">
        <f t="shared" si="127"/>
        <v>0</v>
      </c>
      <c r="Q962" s="14">
        <f t="shared" si="128"/>
        <v>216.11593257142857</v>
      </c>
      <c r="R962" s="4">
        <f t="shared" si="129"/>
        <v>0</v>
      </c>
      <c r="S962" s="14">
        <f t="shared" si="130"/>
        <v>1752.9681668597914</v>
      </c>
      <c r="T962" s="4">
        <f t="shared" si="131"/>
        <v>39.966832504145941</v>
      </c>
      <c r="U962" s="3">
        <f>LEN(A962) - LEN(SUBSTITUTE(A962,"&gt;","")) +1</f>
        <v>4</v>
      </c>
      <c r="V962" s="8">
        <f t="shared" si="132"/>
        <v>0</v>
      </c>
      <c r="W962" s="14">
        <f t="shared" si="133"/>
        <v>378.20288199999999</v>
      </c>
      <c r="X962" s="4">
        <f t="shared" si="134"/>
        <v>0</v>
      </c>
    </row>
    <row r="963" spans="1:24" ht="14.25" customHeight="1" x14ac:dyDescent="0.2">
      <c r="A963" s="5" t="s">
        <v>2303</v>
      </c>
      <c r="B963" s="3" t="s">
        <v>68</v>
      </c>
      <c r="C963" s="3" t="s">
        <v>35</v>
      </c>
      <c r="D963" s="3" t="s">
        <v>2381</v>
      </c>
      <c r="E963" s="3" t="s">
        <v>2365</v>
      </c>
      <c r="F963" s="3" t="s">
        <v>543</v>
      </c>
      <c r="G963" s="3" t="s">
        <v>50</v>
      </c>
      <c r="H963" s="3" t="s">
        <v>19</v>
      </c>
      <c r="I963" s="3">
        <v>130602</v>
      </c>
      <c r="J963" s="3">
        <v>0</v>
      </c>
      <c r="K963" s="3">
        <v>11736</v>
      </c>
      <c r="L963" s="3">
        <v>113735</v>
      </c>
      <c r="M963" s="3">
        <v>4</v>
      </c>
      <c r="N963" s="14">
        <v>1507.8471199999999</v>
      </c>
      <c r="O963" s="7">
        <f t="shared" ref="O963:O1000" si="135">IFERROR((J963/I963)*100, 0)</f>
        <v>0</v>
      </c>
      <c r="P963" s="14">
        <f t="shared" ref="P963:P1000" si="136">IFERROR(N963/J963, 0)</f>
        <v>0</v>
      </c>
      <c r="Q963" s="14">
        <f t="shared" ref="Q963:Q1000" si="137">IFERROR(N963/M963, 0)</f>
        <v>376.96177999999998</v>
      </c>
      <c r="R963" s="4">
        <f t="shared" ref="R963:R1000" si="138">IFERROR((M963/J963)*100, 0)</f>
        <v>0</v>
      </c>
      <c r="S963" s="14">
        <f t="shared" ref="S963:S1000" si="139">IFERROR((N963/L963)*1000, 0)</f>
        <v>13.257547105112762</v>
      </c>
      <c r="T963" s="4">
        <f t="shared" ref="T963:T1000" si="140">(K963/I963)*100</f>
        <v>8.9860798456378923</v>
      </c>
      <c r="U963" s="3">
        <f>LEN(A963) - LEN(SUBSTITUTE(A963,"&gt;","")) +1</f>
        <v>2</v>
      </c>
      <c r="V963" s="8">
        <f t="shared" ref="V963:V1000" si="141">R963/I963</f>
        <v>0</v>
      </c>
      <c r="W963" s="14">
        <f t="shared" ref="W963:W1000" si="142">N963/U963</f>
        <v>753.92355999999995</v>
      </c>
      <c r="X963" s="4">
        <f t="shared" ref="X963:X1000" si="143">(O963*R963/Q963)</f>
        <v>0</v>
      </c>
    </row>
    <row r="964" spans="1:24" ht="14.25" customHeight="1" x14ac:dyDescent="0.2">
      <c r="A964" s="5" t="s">
        <v>2304</v>
      </c>
      <c r="B964" s="3" t="s">
        <v>14</v>
      </c>
      <c r="C964" s="3" t="s">
        <v>35</v>
      </c>
      <c r="D964" s="3" t="s">
        <v>2370</v>
      </c>
      <c r="E964" s="3" t="s">
        <v>2360</v>
      </c>
      <c r="F964" s="3" t="s">
        <v>618</v>
      </c>
      <c r="G964" s="3" t="s">
        <v>22</v>
      </c>
      <c r="H964" s="3" t="s">
        <v>19</v>
      </c>
      <c r="I964" s="3">
        <v>32714</v>
      </c>
      <c r="J964" s="3">
        <v>0</v>
      </c>
      <c r="K964" s="3">
        <v>3756</v>
      </c>
      <c r="L964" s="3">
        <v>30764</v>
      </c>
      <c r="M964" s="3">
        <v>15</v>
      </c>
      <c r="N964" s="14">
        <v>1506.6243039999999</v>
      </c>
      <c r="O964" s="7">
        <f t="shared" si="135"/>
        <v>0</v>
      </c>
      <c r="P964" s="14">
        <f t="shared" si="136"/>
        <v>0</v>
      </c>
      <c r="Q964" s="14">
        <f t="shared" si="137"/>
        <v>100.44162026666666</v>
      </c>
      <c r="R964" s="4">
        <f t="shared" si="138"/>
        <v>0</v>
      </c>
      <c r="S964" s="14">
        <f t="shared" si="139"/>
        <v>48.973615394617077</v>
      </c>
      <c r="T964" s="4">
        <f t="shared" si="140"/>
        <v>11.481322980986732</v>
      </c>
      <c r="U964" s="3">
        <f>LEN(A964) - LEN(SUBSTITUTE(A964,"&gt;","")) +1</f>
        <v>4</v>
      </c>
      <c r="V964" s="8">
        <f t="shared" si="141"/>
        <v>0</v>
      </c>
      <c r="W964" s="14">
        <f t="shared" si="142"/>
        <v>376.65607599999998</v>
      </c>
      <c r="X964" s="4">
        <f t="shared" si="143"/>
        <v>0</v>
      </c>
    </row>
    <row r="965" spans="1:24" ht="14.25" customHeight="1" x14ac:dyDescent="0.2">
      <c r="A965" s="5" t="s">
        <v>2305</v>
      </c>
      <c r="B965" s="3" t="s">
        <v>14</v>
      </c>
      <c r="C965" s="3" t="s">
        <v>32</v>
      </c>
      <c r="D965" s="3" t="s">
        <v>2363</v>
      </c>
      <c r="E965" s="3" t="s">
        <v>2358</v>
      </c>
      <c r="F965" s="3" t="s">
        <v>1440</v>
      </c>
      <c r="G965" s="3" t="s">
        <v>287</v>
      </c>
      <c r="H965" s="3" t="s">
        <v>19</v>
      </c>
      <c r="I965" s="3">
        <v>7201</v>
      </c>
      <c r="J965" s="3">
        <v>0</v>
      </c>
      <c r="K965" s="3">
        <v>3484</v>
      </c>
      <c r="L965" s="3">
        <v>6614</v>
      </c>
      <c r="M965" s="3">
        <v>1</v>
      </c>
      <c r="N965" s="14">
        <v>1506.2660000000001</v>
      </c>
      <c r="O965" s="7">
        <f t="shared" si="135"/>
        <v>0</v>
      </c>
      <c r="P965" s="14">
        <f t="shared" si="136"/>
        <v>0</v>
      </c>
      <c r="Q965" s="14">
        <f t="shared" si="137"/>
        <v>1506.2660000000001</v>
      </c>
      <c r="R965" s="4">
        <f t="shared" si="138"/>
        <v>0</v>
      </c>
      <c r="S965" s="14">
        <f t="shared" si="139"/>
        <v>227.73903840338679</v>
      </c>
      <c r="T965" s="4">
        <f t="shared" si="140"/>
        <v>48.382169143174558</v>
      </c>
      <c r="U965" s="3">
        <f>LEN(A965) - LEN(SUBSTITUTE(A965,"&gt;","")) +1</f>
        <v>4</v>
      </c>
      <c r="V965" s="8">
        <f t="shared" si="141"/>
        <v>0</v>
      </c>
      <c r="W965" s="14">
        <f t="shared" si="142"/>
        <v>376.56650000000002</v>
      </c>
      <c r="X965" s="4">
        <f t="shared" si="143"/>
        <v>0</v>
      </c>
    </row>
    <row r="966" spans="1:24" ht="14.25" customHeight="1" x14ac:dyDescent="0.2">
      <c r="A966" s="5" t="s">
        <v>2306</v>
      </c>
      <c r="B966" s="3" t="s">
        <v>24</v>
      </c>
      <c r="C966" s="3" t="s">
        <v>15</v>
      </c>
      <c r="D966" s="3" t="s">
        <v>2359</v>
      </c>
      <c r="E966" s="3" t="s">
        <v>2360</v>
      </c>
      <c r="F966" s="3" t="s">
        <v>1351</v>
      </c>
      <c r="G966" s="3" t="s">
        <v>27</v>
      </c>
      <c r="H966" s="3" t="s">
        <v>19</v>
      </c>
      <c r="I966" s="3">
        <v>14984</v>
      </c>
      <c r="J966" s="3">
        <v>0</v>
      </c>
      <c r="K966" s="3">
        <v>9614</v>
      </c>
      <c r="L966" s="3">
        <v>14086</v>
      </c>
      <c r="M966" s="3">
        <v>3</v>
      </c>
      <c r="N966" s="14">
        <v>1505.0096349999999</v>
      </c>
      <c r="O966" s="7">
        <f t="shared" si="135"/>
        <v>0</v>
      </c>
      <c r="P966" s="14">
        <f t="shared" si="136"/>
        <v>0</v>
      </c>
      <c r="Q966" s="14">
        <f t="shared" si="137"/>
        <v>501.66987833333332</v>
      </c>
      <c r="R966" s="4">
        <f t="shared" si="138"/>
        <v>0</v>
      </c>
      <c r="S966" s="14">
        <f t="shared" si="139"/>
        <v>106.8443585829902</v>
      </c>
      <c r="T966" s="4">
        <f t="shared" si="140"/>
        <v>64.161772557394556</v>
      </c>
      <c r="U966" s="3">
        <f>LEN(A966) - LEN(SUBSTITUTE(A966,"&gt;","")) +1</f>
        <v>4</v>
      </c>
      <c r="V966" s="8">
        <f t="shared" si="141"/>
        <v>0</v>
      </c>
      <c r="W966" s="14">
        <f t="shared" si="142"/>
        <v>376.25240874999997</v>
      </c>
      <c r="X966" s="4">
        <f t="shared" si="143"/>
        <v>0</v>
      </c>
    </row>
    <row r="967" spans="1:24" ht="14.25" customHeight="1" x14ac:dyDescent="0.2">
      <c r="A967" s="5" t="s">
        <v>2307</v>
      </c>
      <c r="B967" s="3" t="s">
        <v>24</v>
      </c>
      <c r="C967" s="3" t="s">
        <v>32</v>
      </c>
      <c r="D967" s="3" t="s">
        <v>2366</v>
      </c>
      <c r="E967" s="3" t="s">
        <v>2352</v>
      </c>
      <c r="F967" s="3" t="s">
        <v>535</v>
      </c>
      <c r="G967" s="3" t="s">
        <v>27</v>
      </c>
      <c r="H967" s="3" t="s">
        <v>19</v>
      </c>
      <c r="I967" s="3">
        <v>7427</v>
      </c>
      <c r="J967" s="3">
        <v>0</v>
      </c>
      <c r="K967" s="3">
        <v>4752</v>
      </c>
      <c r="L967" s="3">
        <v>6566</v>
      </c>
      <c r="M967" s="3">
        <v>1</v>
      </c>
      <c r="N967" s="14">
        <v>1504.784161</v>
      </c>
      <c r="O967" s="7">
        <f t="shared" si="135"/>
        <v>0</v>
      </c>
      <c r="P967" s="14">
        <f t="shared" si="136"/>
        <v>0</v>
      </c>
      <c r="Q967" s="14">
        <f t="shared" si="137"/>
        <v>1504.784161</v>
      </c>
      <c r="R967" s="4">
        <f t="shared" si="138"/>
        <v>0</v>
      </c>
      <c r="S967" s="14">
        <f t="shared" si="139"/>
        <v>229.17821519951264</v>
      </c>
      <c r="T967" s="4">
        <f t="shared" si="140"/>
        <v>63.9827655850276</v>
      </c>
      <c r="U967" s="3">
        <f>LEN(A967) - LEN(SUBSTITUTE(A967,"&gt;","")) +1</f>
        <v>4</v>
      </c>
      <c r="V967" s="8">
        <f t="shared" si="141"/>
        <v>0</v>
      </c>
      <c r="W967" s="14">
        <f t="shared" si="142"/>
        <v>376.19604025000001</v>
      </c>
      <c r="X967" s="4">
        <f t="shared" si="143"/>
        <v>0</v>
      </c>
    </row>
    <row r="968" spans="1:24" ht="14.25" customHeight="1" x14ac:dyDescent="0.2">
      <c r="A968" s="5" t="s">
        <v>2308</v>
      </c>
      <c r="B968" s="3" t="s">
        <v>14</v>
      </c>
      <c r="C968" s="3" t="s">
        <v>35</v>
      </c>
      <c r="D968" s="3" t="s">
        <v>2363</v>
      </c>
      <c r="E968" s="3" t="s">
        <v>2358</v>
      </c>
      <c r="F968" s="3" t="s">
        <v>79</v>
      </c>
      <c r="G968" s="3" t="s">
        <v>27</v>
      </c>
      <c r="H968" s="3" t="s">
        <v>19</v>
      </c>
      <c r="I968" s="3">
        <v>292885</v>
      </c>
      <c r="J968" s="3">
        <v>0</v>
      </c>
      <c r="K968" s="3">
        <v>12733</v>
      </c>
      <c r="L968" s="3">
        <v>203986</v>
      </c>
      <c r="M968" s="3">
        <v>4</v>
      </c>
      <c r="N968" s="14">
        <v>1503.9130540000001</v>
      </c>
      <c r="O968" s="7">
        <f t="shared" si="135"/>
        <v>0</v>
      </c>
      <c r="P968" s="14">
        <f t="shared" si="136"/>
        <v>0</v>
      </c>
      <c r="Q968" s="14">
        <f t="shared" si="137"/>
        <v>375.97826350000003</v>
      </c>
      <c r="R968" s="4">
        <f t="shared" si="138"/>
        <v>0</v>
      </c>
      <c r="S968" s="14">
        <f t="shared" si="139"/>
        <v>7.3726287784455797</v>
      </c>
      <c r="T968" s="4">
        <f t="shared" si="140"/>
        <v>4.3474401215494138</v>
      </c>
      <c r="U968" s="3">
        <f>LEN(A968) - LEN(SUBSTITUTE(A968,"&gt;","")) +1</f>
        <v>4</v>
      </c>
      <c r="V968" s="8">
        <f t="shared" si="141"/>
        <v>0</v>
      </c>
      <c r="W968" s="14">
        <f t="shared" si="142"/>
        <v>375.97826350000003</v>
      </c>
      <c r="X968" s="4">
        <f t="shared" si="143"/>
        <v>0</v>
      </c>
    </row>
    <row r="969" spans="1:24" ht="14.25" customHeight="1" x14ac:dyDescent="0.2">
      <c r="A969" s="5" t="s">
        <v>2309</v>
      </c>
      <c r="B969" s="3" t="s">
        <v>68</v>
      </c>
      <c r="C969" s="3" t="s">
        <v>15</v>
      </c>
      <c r="D969" s="3" t="s">
        <v>2357</v>
      </c>
      <c r="E969" s="3" t="s">
        <v>2358</v>
      </c>
      <c r="F969" s="3" t="s">
        <v>657</v>
      </c>
      <c r="G969" s="3" t="s">
        <v>27</v>
      </c>
      <c r="H969" s="3" t="s">
        <v>19</v>
      </c>
      <c r="I969" s="3">
        <v>9178</v>
      </c>
      <c r="J969" s="3">
        <v>0</v>
      </c>
      <c r="K969" s="3">
        <v>4644</v>
      </c>
      <c r="L969" s="3">
        <v>8462</v>
      </c>
      <c r="M969" s="3">
        <v>1</v>
      </c>
      <c r="N969" s="14">
        <v>1503.205183</v>
      </c>
      <c r="O969" s="7">
        <f t="shared" si="135"/>
        <v>0</v>
      </c>
      <c r="P969" s="14">
        <f t="shared" si="136"/>
        <v>0</v>
      </c>
      <c r="Q969" s="14">
        <f t="shared" si="137"/>
        <v>1503.205183</v>
      </c>
      <c r="R969" s="4">
        <f t="shared" si="138"/>
        <v>0</v>
      </c>
      <c r="S969" s="14">
        <f t="shared" si="139"/>
        <v>177.64183207279603</v>
      </c>
      <c r="T969" s="4">
        <f t="shared" si="140"/>
        <v>50.599259097842662</v>
      </c>
      <c r="U969" s="3">
        <f>LEN(A969) - LEN(SUBSTITUTE(A969,"&gt;","")) +1</f>
        <v>4</v>
      </c>
      <c r="V969" s="8">
        <f t="shared" si="141"/>
        <v>0</v>
      </c>
      <c r="W969" s="14">
        <f t="shared" si="142"/>
        <v>375.80129575000001</v>
      </c>
      <c r="X969" s="4">
        <f t="shared" si="143"/>
        <v>0</v>
      </c>
    </row>
    <row r="970" spans="1:24" ht="14.25" customHeight="1" x14ac:dyDescent="0.2">
      <c r="A970" s="5" t="s">
        <v>2310</v>
      </c>
      <c r="B970" s="3" t="s">
        <v>14</v>
      </c>
      <c r="C970" s="3" t="s">
        <v>35</v>
      </c>
      <c r="D970" s="3" t="s">
        <v>2368</v>
      </c>
      <c r="E970" s="3" t="s">
        <v>2352</v>
      </c>
      <c r="F970" s="3" t="s">
        <v>1446</v>
      </c>
      <c r="G970" s="3" t="s">
        <v>197</v>
      </c>
      <c r="H970" s="3" t="s">
        <v>19</v>
      </c>
      <c r="I970" s="3">
        <v>16956</v>
      </c>
      <c r="J970" s="3">
        <v>0</v>
      </c>
      <c r="K970" s="3">
        <v>7553</v>
      </c>
      <c r="L970" s="3">
        <v>15201</v>
      </c>
      <c r="M970" s="3">
        <v>3</v>
      </c>
      <c r="N970" s="14">
        <v>1502.6801390000001</v>
      </c>
      <c r="O970" s="7">
        <f t="shared" si="135"/>
        <v>0</v>
      </c>
      <c r="P970" s="14">
        <f t="shared" si="136"/>
        <v>0</v>
      </c>
      <c r="Q970" s="14">
        <f t="shared" si="137"/>
        <v>500.8933796666667</v>
      </c>
      <c r="R970" s="4">
        <f t="shared" si="138"/>
        <v>0</v>
      </c>
      <c r="S970" s="14">
        <f t="shared" si="139"/>
        <v>98.854031905795665</v>
      </c>
      <c r="T970" s="4">
        <f t="shared" si="140"/>
        <v>44.544703939608397</v>
      </c>
      <c r="U970" s="3">
        <f>LEN(A970) - LEN(SUBSTITUTE(A970,"&gt;","")) +1</f>
        <v>4</v>
      </c>
      <c r="V970" s="8">
        <f t="shared" si="141"/>
        <v>0</v>
      </c>
      <c r="W970" s="14">
        <f t="shared" si="142"/>
        <v>375.67003475000001</v>
      </c>
      <c r="X970" s="4">
        <f t="shared" si="143"/>
        <v>0</v>
      </c>
    </row>
    <row r="971" spans="1:24" ht="14.25" customHeight="1" x14ac:dyDescent="0.2">
      <c r="A971" s="5" t="s">
        <v>2311</v>
      </c>
      <c r="B971" s="3" t="s">
        <v>14</v>
      </c>
      <c r="C971" s="3" t="s">
        <v>15</v>
      </c>
      <c r="D971" s="3" t="s">
        <v>2381</v>
      </c>
      <c r="E971" s="3" t="s">
        <v>2365</v>
      </c>
      <c r="F971" s="3" t="s">
        <v>733</v>
      </c>
      <c r="G971" s="3" t="s">
        <v>41</v>
      </c>
      <c r="H971" s="3" t="s">
        <v>19</v>
      </c>
      <c r="I971" s="3">
        <v>19344</v>
      </c>
      <c r="J971" s="3">
        <v>0</v>
      </c>
      <c r="K971" s="3">
        <v>2353</v>
      </c>
      <c r="L971" s="3">
        <v>18261</v>
      </c>
      <c r="M971" s="3">
        <v>10</v>
      </c>
      <c r="N971" s="14">
        <v>1500.722291</v>
      </c>
      <c r="O971" s="7">
        <f t="shared" si="135"/>
        <v>0</v>
      </c>
      <c r="P971" s="14">
        <f t="shared" si="136"/>
        <v>0</v>
      </c>
      <c r="Q971" s="14">
        <f t="shared" si="137"/>
        <v>150.07222910000002</v>
      </c>
      <c r="R971" s="4">
        <f t="shared" si="138"/>
        <v>0</v>
      </c>
      <c r="S971" s="14">
        <f t="shared" si="139"/>
        <v>82.181824160779811</v>
      </c>
      <c r="T971" s="4">
        <f t="shared" si="140"/>
        <v>12.163978494623656</v>
      </c>
      <c r="U971" s="3">
        <f>LEN(A971) - LEN(SUBSTITUTE(A971,"&gt;","")) +1</f>
        <v>3</v>
      </c>
      <c r="V971" s="8">
        <f t="shared" si="141"/>
        <v>0</v>
      </c>
      <c r="W971" s="14">
        <f t="shared" si="142"/>
        <v>500.24076366666668</v>
      </c>
      <c r="X971" s="4">
        <f t="shared" si="143"/>
        <v>0</v>
      </c>
    </row>
    <row r="972" spans="1:24" ht="14.25" customHeight="1" x14ac:dyDescent="0.2">
      <c r="A972" s="5" t="s">
        <v>2312</v>
      </c>
      <c r="B972" s="3" t="s">
        <v>14</v>
      </c>
      <c r="C972" s="3" t="s">
        <v>15</v>
      </c>
      <c r="D972" s="3" t="s">
        <v>2349</v>
      </c>
      <c r="E972" s="3" t="s">
        <v>2350</v>
      </c>
      <c r="F972" s="3" t="s">
        <v>1449</v>
      </c>
      <c r="G972" s="3" t="s">
        <v>22</v>
      </c>
      <c r="H972" s="3" t="s">
        <v>19</v>
      </c>
      <c r="I972" s="3">
        <v>1141</v>
      </c>
      <c r="J972" s="3">
        <v>0</v>
      </c>
      <c r="K972" s="3">
        <v>671</v>
      </c>
      <c r="L972" s="3">
        <v>998</v>
      </c>
      <c r="M972" s="3">
        <v>11</v>
      </c>
      <c r="N972" s="14">
        <v>1499.7825780000001</v>
      </c>
      <c r="O972" s="7">
        <f t="shared" si="135"/>
        <v>0</v>
      </c>
      <c r="P972" s="14">
        <f t="shared" si="136"/>
        <v>0</v>
      </c>
      <c r="Q972" s="14">
        <f t="shared" si="137"/>
        <v>136.34387072727273</v>
      </c>
      <c r="R972" s="4">
        <f t="shared" si="138"/>
        <v>0</v>
      </c>
      <c r="S972" s="14">
        <f t="shared" si="139"/>
        <v>1502.7881543086173</v>
      </c>
      <c r="T972" s="4">
        <f t="shared" si="140"/>
        <v>58.808063102541631</v>
      </c>
      <c r="U972" s="3">
        <f>LEN(A972) - LEN(SUBSTITUTE(A972,"&gt;","")) +1</f>
        <v>4</v>
      </c>
      <c r="V972" s="8">
        <f t="shared" si="141"/>
        <v>0</v>
      </c>
      <c r="W972" s="14">
        <f t="shared" si="142"/>
        <v>374.94564450000001</v>
      </c>
      <c r="X972" s="4">
        <f t="shared" si="143"/>
        <v>0</v>
      </c>
    </row>
    <row r="973" spans="1:24" ht="14.25" customHeight="1" x14ac:dyDescent="0.2">
      <c r="A973" s="5" t="s">
        <v>2313</v>
      </c>
      <c r="B973" s="3" t="s">
        <v>68</v>
      </c>
      <c r="C973" s="3" t="s">
        <v>15</v>
      </c>
      <c r="D973" s="3" t="s">
        <v>2367</v>
      </c>
      <c r="E973" s="3" t="s">
        <v>2352</v>
      </c>
      <c r="F973" s="3" t="s">
        <v>1451</v>
      </c>
      <c r="G973" s="3" t="s">
        <v>22</v>
      </c>
      <c r="H973" s="3" t="s">
        <v>19</v>
      </c>
      <c r="I973" s="3">
        <v>6298</v>
      </c>
      <c r="J973" s="3">
        <v>0</v>
      </c>
      <c r="K973" s="3">
        <v>3345</v>
      </c>
      <c r="L973" s="3">
        <v>4451</v>
      </c>
      <c r="M973" s="3">
        <v>2</v>
      </c>
      <c r="N973" s="14">
        <v>1499.347966</v>
      </c>
      <c r="O973" s="7">
        <f t="shared" si="135"/>
        <v>0</v>
      </c>
      <c r="P973" s="14">
        <f t="shared" si="136"/>
        <v>0</v>
      </c>
      <c r="Q973" s="14">
        <f t="shared" si="137"/>
        <v>749.67398300000002</v>
      </c>
      <c r="R973" s="4">
        <f t="shared" si="138"/>
        <v>0</v>
      </c>
      <c r="S973" s="14">
        <f t="shared" si="139"/>
        <v>336.85642911705236</v>
      </c>
      <c r="T973" s="4">
        <f t="shared" si="140"/>
        <v>53.112099079072713</v>
      </c>
      <c r="U973" s="3">
        <f>LEN(A973) - LEN(SUBSTITUTE(A973,"&gt;","")) +1</f>
        <v>4</v>
      </c>
      <c r="V973" s="8">
        <f t="shared" si="141"/>
        <v>0</v>
      </c>
      <c r="W973" s="14">
        <f t="shared" si="142"/>
        <v>374.83699150000001</v>
      </c>
      <c r="X973" s="4">
        <f t="shared" si="143"/>
        <v>0</v>
      </c>
    </row>
    <row r="974" spans="1:24" ht="14.25" customHeight="1" x14ac:dyDescent="0.2">
      <c r="A974" s="5" t="s">
        <v>2314</v>
      </c>
      <c r="B974" s="3" t="s">
        <v>24</v>
      </c>
      <c r="C974" s="3" t="s">
        <v>35</v>
      </c>
      <c r="D974" s="3" t="s">
        <v>2357</v>
      </c>
      <c r="E974" s="3" t="s">
        <v>2358</v>
      </c>
      <c r="F974" s="3" t="s">
        <v>1453</v>
      </c>
      <c r="G974" s="3" t="s">
        <v>22</v>
      </c>
      <c r="H974" s="3" t="s">
        <v>114</v>
      </c>
      <c r="I974" s="3">
        <v>1446</v>
      </c>
      <c r="J974" s="3">
        <v>0</v>
      </c>
      <c r="K974" s="3">
        <v>948</v>
      </c>
      <c r="L974" s="3">
        <v>1314</v>
      </c>
      <c r="M974" s="3">
        <v>1</v>
      </c>
      <c r="N974" s="14">
        <v>1498.586601</v>
      </c>
      <c r="O974" s="7">
        <f t="shared" si="135"/>
        <v>0</v>
      </c>
      <c r="P974" s="14">
        <f t="shared" si="136"/>
        <v>0</v>
      </c>
      <c r="Q974" s="14">
        <f t="shared" si="137"/>
        <v>1498.586601</v>
      </c>
      <c r="R974" s="4">
        <f t="shared" si="138"/>
        <v>0</v>
      </c>
      <c r="S974" s="14">
        <f t="shared" si="139"/>
        <v>1140.4768652968037</v>
      </c>
      <c r="T974" s="4">
        <f t="shared" si="140"/>
        <v>65.560165975103729</v>
      </c>
      <c r="U974" s="3">
        <f>LEN(A974) - LEN(SUBSTITUTE(A974,"&gt;","")) +1</f>
        <v>4</v>
      </c>
      <c r="V974" s="8">
        <f t="shared" si="141"/>
        <v>0</v>
      </c>
      <c r="W974" s="14">
        <f t="shared" si="142"/>
        <v>374.64665024999999</v>
      </c>
      <c r="X974" s="4">
        <f t="shared" si="143"/>
        <v>0</v>
      </c>
    </row>
    <row r="975" spans="1:24" ht="14.25" customHeight="1" x14ac:dyDescent="0.2">
      <c r="A975" s="5" t="s">
        <v>2315</v>
      </c>
      <c r="B975" s="3" t="s">
        <v>14</v>
      </c>
      <c r="C975" s="3" t="s">
        <v>29</v>
      </c>
      <c r="D975" s="3" t="s">
        <v>2409</v>
      </c>
      <c r="E975" s="3" t="s">
        <v>2390</v>
      </c>
      <c r="F975" s="3" t="s">
        <v>1456</v>
      </c>
      <c r="G975" s="3" t="s">
        <v>22</v>
      </c>
      <c r="H975" s="3" t="s">
        <v>19</v>
      </c>
      <c r="I975" s="3">
        <v>64</v>
      </c>
      <c r="J975" s="3">
        <v>0</v>
      </c>
      <c r="K975" s="3">
        <v>44</v>
      </c>
      <c r="L975" s="3">
        <v>53</v>
      </c>
      <c r="M975" s="3">
        <v>1</v>
      </c>
      <c r="N975" s="14">
        <v>1495.2285810000001</v>
      </c>
      <c r="O975" s="7">
        <f t="shared" si="135"/>
        <v>0</v>
      </c>
      <c r="P975" s="14">
        <f t="shared" si="136"/>
        <v>0</v>
      </c>
      <c r="Q975" s="14">
        <f t="shared" si="137"/>
        <v>1495.2285810000001</v>
      </c>
      <c r="R975" s="4">
        <f t="shared" si="138"/>
        <v>0</v>
      </c>
      <c r="S975" s="14">
        <f t="shared" si="139"/>
        <v>28211.860018867927</v>
      </c>
      <c r="T975" s="4">
        <f t="shared" si="140"/>
        <v>68.75</v>
      </c>
      <c r="U975" s="3">
        <f>LEN(A975) - LEN(SUBSTITUTE(A975,"&gt;","")) +1</f>
        <v>5</v>
      </c>
      <c r="V975" s="8">
        <f t="shared" si="141"/>
        <v>0</v>
      </c>
      <c r="W975" s="14">
        <f t="shared" si="142"/>
        <v>299.04571620000002</v>
      </c>
      <c r="X975" s="4">
        <f t="shared" si="143"/>
        <v>0</v>
      </c>
    </row>
    <row r="976" spans="1:24" ht="14.25" customHeight="1" x14ac:dyDescent="0.2">
      <c r="A976" s="5" t="s">
        <v>2316</v>
      </c>
      <c r="B976" s="3" t="s">
        <v>14</v>
      </c>
      <c r="C976" s="3" t="s">
        <v>29</v>
      </c>
      <c r="D976" s="3" t="s">
        <v>2349</v>
      </c>
      <c r="E976" s="3" t="s">
        <v>2350</v>
      </c>
      <c r="F976" s="3" t="s">
        <v>191</v>
      </c>
      <c r="G976" s="3" t="s">
        <v>27</v>
      </c>
      <c r="H976" s="3" t="s">
        <v>19</v>
      </c>
      <c r="I976" s="3">
        <v>22163</v>
      </c>
      <c r="J976" s="3">
        <v>0</v>
      </c>
      <c r="K976" s="3">
        <v>2368</v>
      </c>
      <c r="L976" s="3">
        <v>8130</v>
      </c>
      <c r="M976" s="3">
        <v>1</v>
      </c>
      <c r="N976" s="14">
        <v>1493.7793280000001</v>
      </c>
      <c r="O976" s="7">
        <f t="shared" si="135"/>
        <v>0</v>
      </c>
      <c r="P976" s="14">
        <f t="shared" si="136"/>
        <v>0</v>
      </c>
      <c r="Q976" s="14">
        <f t="shared" si="137"/>
        <v>1493.7793280000001</v>
      </c>
      <c r="R976" s="4">
        <f t="shared" si="138"/>
        <v>0</v>
      </c>
      <c r="S976" s="14">
        <f t="shared" si="139"/>
        <v>183.73669471094712</v>
      </c>
      <c r="T976" s="4">
        <f t="shared" si="140"/>
        <v>10.684474123539232</v>
      </c>
      <c r="U976" s="3">
        <f>LEN(A976) - LEN(SUBSTITUTE(A976,"&gt;","")) +1</f>
        <v>5</v>
      </c>
      <c r="V976" s="8">
        <f t="shared" si="141"/>
        <v>0</v>
      </c>
      <c r="W976" s="14">
        <f t="shared" si="142"/>
        <v>298.75586559999999</v>
      </c>
      <c r="X976" s="4">
        <f t="shared" si="143"/>
        <v>0</v>
      </c>
    </row>
    <row r="977" spans="1:24" ht="14.25" customHeight="1" x14ac:dyDescent="0.2">
      <c r="A977" s="5" t="s">
        <v>2317</v>
      </c>
      <c r="B977" s="3" t="s">
        <v>14</v>
      </c>
      <c r="C977" s="3" t="s">
        <v>35</v>
      </c>
      <c r="D977" s="3" t="s">
        <v>2349</v>
      </c>
      <c r="E977" s="3" t="s">
        <v>2350</v>
      </c>
      <c r="F977" s="3" t="s">
        <v>1459</v>
      </c>
      <c r="G977" s="3" t="s">
        <v>38</v>
      </c>
      <c r="H977" s="3" t="s">
        <v>19</v>
      </c>
      <c r="I977" s="3">
        <v>1596</v>
      </c>
      <c r="J977" s="3">
        <v>0</v>
      </c>
      <c r="K977" s="3">
        <v>473</v>
      </c>
      <c r="L977" s="3">
        <v>1454</v>
      </c>
      <c r="M977" s="3">
        <v>24</v>
      </c>
      <c r="N977" s="14">
        <v>1493.308158</v>
      </c>
      <c r="O977" s="7">
        <f t="shared" si="135"/>
        <v>0</v>
      </c>
      <c r="P977" s="14">
        <f t="shared" si="136"/>
        <v>0</v>
      </c>
      <c r="Q977" s="14">
        <f t="shared" si="137"/>
        <v>62.22117325</v>
      </c>
      <c r="R977" s="4">
        <f t="shared" si="138"/>
        <v>0</v>
      </c>
      <c r="S977" s="14">
        <f t="shared" si="139"/>
        <v>1027.0344965612105</v>
      </c>
      <c r="T977" s="4">
        <f t="shared" si="140"/>
        <v>29.636591478696744</v>
      </c>
      <c r="U977" s="3">
        <f>LEN(A977) - LEN(SUBSTITUTE(A977,"&gt;","")) +1</f>
        <v>4</v>
      </c>
      <c r="V977" s="8">
        <f t="shared" si="141"/>
        <v>0</v>
      </c>
      <c r="W977" s="14">
        <f t="shared" si="142"/>
        <v>373.32703950000001</v>
      </c>
      <c r="X977" s="4">
        <f t="shared" si="143"/>
        <v>0</v>
      </c>
    </row>
    <row r="978" spans="1:24" ht="14.25" customHeight="1" x14ac:dyDescent="0.2">
      <c r="A978" s="5" t="s">
        <v>593</v>
      </c>
      <c r="B978" s="3" t="s">
        <v>24</v>
      </c>
      <c r="C978" s="3" t="s">
        <v>32</v>
      </c>
      <c r="D978" s="3" t="s">
        <v>2361</v>
      </c>
      <c r="E978" s="3" t="s">
        <v>2360</v>
      </c>
      <c r="F978" s="3" t="s">
        <v>1460</v>
      </c>
      <c r="G978" s="3" t="s">
        <v>27</v>
      </c>
      <c r="H978" s="3" t="s">
        <v>19</v>
      </c>
      <c r="I978" s="3">
        <v>868</v>
      </c>
      <c r="J978" s="3">
        <v>0</v>
      </c>
      <c r="K978" s="3">
        <v>404</v>
      </c>
      <c r="L978" s="3">
        <v>597</v>
      </c>
      <c r="M978" s="3">
        <v>4</v>
      </c>
      <c r="N978" s="14">
        <v>1492.225013</v>
      </c>
      <c r="O978" s="7">
        <f t="shared" si="135"/>
        <v>0</v>
      </c>
      <c r="P978" s="14">
        <f t="shared" si="136"/>
        <v>0</v>
      </c>
      <c r="Q978" s="14">
        <f t="shared" si="137"/>
        <v>373.05625325</v>
      </c>
      <c r="R978" s="4">
        <f t="shared" si="138"/>
        <v>0</v>
      </c>
      <c r="S978" s="14">
        <f t="shared" si="139"/>
        <v>2499.5393852596312</v>
      </c>
      <c r="T978" s="4">
        <f t="shared" si="140"/>
        <v>46.543778801843317</v>
      </c>
      <c r="U978" s="3">
        <f>LEN(A978) - LEN(SUBSTITUTE(A978,"&gt;","")) +1</f>
        <v>1</v>
      </c>
      <c r="V978" s="8">
        <f t="shared" si="141"/>
        <v>0</v>
      </c>
      <c r="W978" s="14">
        <f t="shared" si="142"/>
        <v>1492.225013</v>
      </c>
      <c r="X978" s="4">
        <f t="shared" si="143"/>
        <v>0</v>
      </c>
    </row>
    <row r="979" spans="1:24" ht="14.25" customHeight="1" x14ac:dyDescent="0.2">
      <c r="A979" s="5" t="s">
        <v>2318</v>
      </c>
      <c r="B979" s="3" t="s">
        <v>14</v>
      </c>
      <c r="C979" s="3" t="s">
        <v>15</v>
      </c>
      <c r="D979" s="3" t="s">
        <v>2410</v>
      </c>
      <c r="E979" s="3" t="s">
        <v>2390</v>
      </c>
      <c r="F979" s="3" t="s">
        <v>1463</v>
      </c>
      <c r="G979" s="3" t="s">
        <v>27</v>
      </c>
      <c r="H979" s="3" t="s">
        <v>19</v>
      </c>
      <c r="I979" s="3">
        <v>53</v>
      </c>
      <c r="J979" s="3">
        <v>0</v>
      </c>
      <c r="K979" s="3">
        <v>34</v>
      </c>
      <c r="L979" s="3">
        <v>50</v>
      </c>
      <c r="M979" s="3">
        <v>11</v>
      </c>
      <c r="N979" s="14">
        <v>1491.1204029999999</v>
      </c>
      <c r="O979" s="7">
        <f t="shared" si="135"/>
        <v>0</v>
      </c>
      <c r="P979" s="14">
        <f t="shared" si="136"/>
        <v>0</v>
      </c>
      <c r="Q979" s="14">
        <f t="shared" si="137"/>
        <v>135.55640027272727</v>
      </c>
      <c r="R979" s="4">
        <f t="shared" si="138"/>
        <v>0</v>
      </c>
      <c r="S979" s="14">
        <f t="shared" si="139"/>
        <v>29822.408059999998</v>
      </c>
      <c r="T979" s="4">
        <f t="shared" si="140"/>
        <v>64.15094339622641</v>
      </c>
      <c r="U979" s="3">
        <f>LEN(A979) - LEN(SUBSTITUTE(A979,"&gt;","")) +1</f>
        <v>3</v>
      </c>
      <c r="V979" s="8">
        <f t="shared" si="141"/>
        <v>0</v>
      </c>
      <c r="W979" s="14">
        <f t="shared" si="142"/>
        <v>497.0401343333333</v>
      </c>
      <c r="X979" s="4">
        <f t="shared" si="143"/>
        <v>0</v>
      </c>
    </row>
    <row r="980" spans="1:24" ht="14.25" customHeight="1" x14ac:dyDescent="0.2">
      <c r="A980" s="5" t="s">
        <v>2319</v>
      </c>
      <c r="B980" s="3" t="s">
        <v>14</v>
      </c>
      <c r="C980" s="3" t="s">
        <v>29</v>
      </c>
      <c r="D980" s="3" t="s">
        <v>2353</v>
      </c>
      <c r="E980" s="3" t="s">
        <v>2354</v>
      </c>
      <c r="F980" s="3" t="s">
        <v>1465</v>
      </c>
      <c r="G980" s="3" t="s">
        <v>27</v>
      </c>
      <c r="H980" s="3" t="s">
        <v>19</v>
      </c>
      <c r="I980" s="3">
        <v>149</v>
      </c>
      <c r="J980" s="3">
        <v>0</v>
      </c>
      <c r="K980" s="3">
        <v>65</v>
      </c>
      <c r="L980" s="3">
        <v>205</v>
      </c>
      <c r="M980" s="3">
        <v>19</v>
      </c>
      <c r="N980" s="14">
        <v>1490.3854289999999</v>
      </c>
      <c r="O980" s="7">
        <f t="shared" si="135"/>
        <v>0</v>
      </c>
      <c r="P980" s="14">
        <f t="shared" si="136"/>
        <v>0</v>
      </c>
      <c r="Q980" s="14">
        <f t="shared" si="137"/>
        <v>78.441338368421043</v>
      </c>
      <c r="R980" s="4">
        <f t="shared" si="138"/>
        <v>0</v>
      </c>
      <c r="S980" s="14">
        <f t="shared" si="139"/>
        <v>7270.1728243902435</v>
      </c>
      <c r="T980" s="4">
        <f t="shared" si="140"/>
        <v>43.624161073825505</v>
      </c>
      <c r="U980" s="3">
        <f>LEN(A980) - LEN(SUBSTITUTE(A980,"&gt;","")) +1</f>
        <v>3</v>
      </c>
      <c r="V980" s="8">
        <f t="shared" si="141"/>
        <v>0</v>
      </c>
      <c r="W980" s="14">
        <f t="shared" si="142"/>
        <v>496.795143</v>
      </c>
      <c r="X980" s="4">
        <f t="shared" si="143"/>
        <v>0</v>
      </c>
    </row>
    <row r="981" spans="1:24" ht="14.25" customHeight="1" x14ac:dyDescent="0.2">
      <c r="A981" s="5" t="s">
        <v>2320</v>
      </c>
      <c r="B981" s="3" t="s">
        <v>68</v>
      </c>
      <c r="C981" s="3" t="s">
        <v>32</v>
      </c>
      <c r="D981" s="3" t="s">
        <v>2367</v>
      </c>
      <c r="E981" s="3" t="s">
        <v>2352</v>
      </c>
      <c r="F981" s="3" t="s">
        <v>46</v>
      </c>
      <c r="G981" s="3" t="s">
        <v>38</v>
      </c>
      <c r="H981" s="3" t="s">
        <v>19</v>
      </c>
      <c r="I981" s="3">
        <v>1443</v>
      </c>
      <c r="J981" s="3">
        <v>0</v>
      </c>
      <c r="K981" s="3">
        <v>1179</v>
      </c>
      <c r="L981" s="3">
        <v>1293</v>
      </c>
      <c r="M981" s="3">
        <v>1</v>
      </c>
      <c r="N981" s="14">
        <v>1487.0267369999999</v>
      </c>
      <c r="O981" s="7">
        <f t="shared" si="135"/>
        <v>0</v>
      </c>
      <c r="P981" s="14">
        <f t="shared" si="136"/>
        <v>0</v>
      </c>
      <c r="Q981" s="14">
        <f t="shared" si="137"/>
        <v>1487.0267369999999</v>
      </c>
      <c r="R981" s="4">
        <f t="shared" si="138"/>
        <v>0</v>
      </c>
      <c r="S981" s="14">
        <f t="shared" si="139"/>
        <v>1150.0593480278424</v>
      </c>
      <c r="T981" s="4">
        <f t="shared" si="140"/>
        <v>81.704781704781709</v>
      </c>
      <c r="U981" s="3">
        <f>LEN(A981) - LEN(SUBSTITUTE(A981,"&gt;","")) +1</f>
        <v>3</v>
      </c>
      <c r="V981" s="8">
        <f t="shared" si="141"/>
        <v>0</v>
      </c>
      <c r="W981" s="14">
        <f t="shared" si="142"/>
        <v>495.67557899999997</v>
      </c>
      <c r="X981" s="4">
        <f t="shared" si="143"/>
        <v>0</v>
      </c>
    </row>
    <row r="982" spans="1:24" ht="14.25" customHeight="1" x14ac:dyDescent="0.2">
      <c r="A982" s="5" t="s">
        <v>2321</v>
      </c>
      <c r="B982" s="3" t="s">
        <v>24</v>
      </c>
      <c r="C982" s="3" t="s">
        <v>15</v>
      </c>
      <c r="D982" s="3" t="s">
        <v>2351</v>
      </c>
      <c r="E982" s="3" t="s">
        <v>2352</v>
      </c>
      <c r="F982" s="3" t="s">
        <v>1468</v>
      </c>
      <c r="G982" s="3" t="s">
        <v>81</v>
      </c>
      <c r="H982" s="3" t="s">
        <v>163</v>
      </c>
      <c r="I982" s="3">
        <v>5772</v>
      </c>
      <c r="J982" s="3">
        <v>0</v>
      </c>
      <c r="K982" s="3">
        <v>894</v>
      </c>
      <c r="L982" s="3">
        <v>4612</v>
      </c>
      <c r="M982" s="3">
        <v>6</v>
      </c>
      <c r="N982" s="14">
        <v>1485.0566060000001</v>
      </c>
      <c r="O982" s="7">
        <f t="shared" si="135"/>
        <v>0</v>
      </c>
      <c r="P982" s="14">
        <f t="shared" si="136"/>
        <v>0</v>
      </c>
      <c r="Q982" s="14">
        <f t="shared" si="137"/>
        <v>247.50943433333336</v>
      </c>
      <c r="R982" s="4">
        <f t="shared" si="138"/>
        <v>0</v>
      </c>
      <c r="S982" s="14">
        <f t="shared" si="139"/>
        <v>321.99839679098005</v>
      </c>
      <c r="T982" s="4">
        <f t="shared" si="140"/>
        <v>15.48856548856549</v>
      </c>
      <c r="U982" s="3">
        <f>LEN(A982) - LEN(SUBSTITUTE(A982,"&gt;","")) +1</f>
        <v>4</v>
      </c>
      <c r="V982" s="8">
        <f t="shared" si="141"/>
        <v>0</v>
      </c>
      <c r="W982" s="14">
        <f t="shared" si="142"/>
        <v>371.26415150000003</v>
      </c>
      <c r="X982" s="4">
        <f t="shared" si="143"/>
        <v>0</v>
      </c>
    </row>
    <row r="983" spans="1:24" ht="14.25" customHeight="1" x14ac:dyDescent="0.2">
      <c r="A983" s="5" t="s">
        <v>2322</v>
      </c>
      <c r="B983" s="3" t="s">
        <v>14</v>
      </c>
      <c r="C983" s="3" t="s">
        <v>32</v>
      </c>
      <c r="D983" s="3" t="s">
        <v>2370</v>
      </c>
      <c r="E983" s="3" t="s">
        <v>2360</v>
      </c>
      <c r="F983" s="3" t="s">
        <v>1449</v>
      </c>
      <c r="G983" s="3" t="s">
        <v>323</v>
      </c>
      <c r="H983" s="3" t="s">
        <v>19</v>
      </c>
      <c r="I983" s="3">
        <v>1621</v>
      </c>
      <c r="J983" s="3">
        <v>0</v>
      </c>
      <c r="K983" s="3">
        <v>1247</v>
      </c>
      <c r="L983" s="3">
        <v>1526</v>
      </c>
      <c r="M983" s="3">
        <v>1</v>
      </c>
      <c r="N983" s="14">
        <v>1479.823132</v>
      </c>
      <c r="O983" s="7">
        <f t="shared" si="135"/>
        <v>0</v>
      </c>
      <c r="P983" s="14">
        <f t="shared" si="136"/>
        <v>0</v>
      </c>
      <c r="Q983" s="14">
        <f t="shared" si="137"/>
        <v>1479.823132</v>
      </c>
      <c r="R983" s="4">
        <f t="shared" si="138"/>
        <v>0</v>
      </c>
      <c r="S983" s="14">
        <f t="shared" si="139"/>
        <v>969.73992922673654</v>
      </c>
      <c r="T983" s="4">
        <f t="shared" si="140"/>
        <v>76.927822331893893</v>
      </c>
      <c r="U983" s="3">
        <f>LEN(A983) - LEN(SUBSTITUTE(A983,"&gt;","")) +1</f>
        <v>3</v>
      </c>
      <c r="V983" s="8">
        <f t="shared" si="141"/>
        <v>0</v>
      </c>
      <c r="W983" s="14">
        <f t="shared" si="142"/>
        <v>493.27437733333335</v>
      </c>
      <c r="X983" s="4">
        <f t="shared" si="143"/>
        <v>0</v>
      </c>
    </row>
    <row r="984" spans="1:24" ht="14.25" customHeight="1" x14ac:dyDescent="0.2">
      <c r="A984" s="5" t="s">
        <v>2323</v>
      </c>
      <c r="B984" s="3" t="s">
        <v>14</v>
      </c>
      <c r="C984" s="3" t="s">
        <v>35</v>
      </c>
      <c r="D984" s="3" t="s">
        <v>2368</v>
      </c>
      <c r="E984" s="3" t="s">
        <v>2352</v>
      </c>
      <c r="F984" s="3" t="s">
        <v>1471</v>
      </c>
      <c r="G984" s="3" t="s">
        <v>27</v>
      </c>
      <c r="H984" s="3" t="s">
        <v>19</v>
      </c>
      <c r="I984" s="3">
        <v>770</v>
      </c>
      <c r="J984" s="3">
        <v>0</v>
      </c>
      <c r="K984" s="3">
        <v>15</v>
      </c>
      <c r="L984" s="3">
        <v>172</v>
      </c>
      <c r="M984" s="3">
        <v>2</v>
      </c>
      <c r="N984" s="14">
        <v>1479.8199259999999</v>
      </c>
      <c r="O984" s="7">
        <f t="shared" si="135"/>
        <v>0</v>
      </c>
      <c r="P984" s="14">
        <f t="shared" si="136"/>
        <v>0</v>
      </c>
      <c r="Q984" s="14">
        <f t="shared" si="137"/>
        <v>739.90996299999995</v>
      </c>
      <c r="R984" s="4">
        <f t="shared" si="138"/>
        <v>0</v>
      </c>
      <c r="S984" s="14">
        <f t="shared" si="139"/>
        <v>8603.6042209302304</v>
      </c>
      <c r="T984" s="4">
        <f t="shared" si="140"/>
        <v>1.948051948051948</v>
      </c>
      <c r="U984" s="3">
        <f>LEN(A984) - LEN(SUBSTITUTE(A984,"&gt;","")) +1</f>
        <v>4</v>
      </c>
      <c r="V984" s="8">
        <f t="shared" si="141"/>
        <v>0</v>
      </c>
      <c r="W984" s="14">
        <f t="shared" si="142"/>
        <v>369.95498149999997</v>
      </c>
      <c r="X984" s="4">
        <f t="shared" si="143"/>
        <v>0</v>
      </c>
    </row>
    <row r="985" spans="1:24" ht="14.25" customHeight="1" x14ac:dyDescent="0.2">
      <c r="A985" s="5" t="s">
        <v>2324</v>
      </c>
      <c r="B985" s="3" t="s">
        <v>14</v>
      </c>
      <c r="C985" s="3" t="s">
        <v>15</v>
      </c>
      <c r="D985" s="3" t="s">
        <v>2363</v>
      </c>
      <c r="E985" s="3" t="s">
        <v>2358</v>
      </c>
      <c r="F985" s="3" t="s">
        <v>157</v>
      </c>
      <c r="G985" s="3" t="s">
        <v>38</v>
      </c>
      <c r="H985" s="3" t="s">
        <v>19</v>
      </c>
      <c r="I985" s="3">
        <v>12220</v>
      </c>
      <c r="J985" s="3">
        <v>0</v>
      </c>
      <c r="K985" s="3">
        <v>7133</v>
      </c>
      <c r="L985" s="3">
        <v>11331</v>
      </c>
      <c r="M985" s="3">
        <v>13</v>
      </c>
      <c r="N985" s="14">
        <v>1478.392247</v>
      </c>
      <c r="O985" s="7">
        <f t="shared" si="135"/>
        <v>0</v>
      </c>
      <c r="P985" s="14">
        <f t="shared" si="136"/>
        <v>0</v>
      </c>
      <c r="Q985" s="14">
        <f t="shared" si="137"/>
        <v>113.72248053846154</v>
      </c>
      <c r="R985" s="4">
        <f t="shared" si="138"/>
        <v>0</v>
      </c>
      <c r="S985" s="14">
        <f t="shared" si="139"/>
        <v>130.47323687229724</v>
      </c>
      <c r="T985" s="4">
        <f t="shared" si="140"/>
        <v>58.371522094926355</v>
      </c>
      <c r="U985" s="3">
        <f>LEN(A985) - LEN(SUBSTITUTE(A985,"&gt;","")) +1</f>
        <v>3</v>
      </c>
      <c r="V985" s="8">
        <f t="shared" si="141"/>
        <v>0</v>
      </c>
      <c r="W985" s="14">
        <f t="shared" si="142"/>
        <v>492.79741566666667</v>
      </c>
      <c r="X985" s="4">
        <f t="shared" si="143"/>
        <v>0</v>
      </c>
    </row>
    <row r="986" spans="1:24" ht="14.25" customHeight="1" x14ac:dyDescent="0.2">
      <c r="A986" s="5" t="s">
        <v>2325</v>
      </c>
      <c r="B986" s="3" t="s">
        <v>14</v>
      </c>
      <c r="C986" s="3" t="s">
        <v>29</v>
      </c>
      <c r="D986" s="3" t="s">
        <v>2349</v>
      </c>
      <c r="E986" s="3" t="s">
        <v>2350</v>
      </c>
      <c r="F986" s="3" t="s">
        <v>1127</v>
      </c>
      <c r="G986" s="3" t="s">
        <v>415</v>
      </c>
      <c r="H986" s="3" t="s">
        <v>19</v>
      </c>
      <c r="I986" s="3">
        <v>13655</v>
      </c>
      <c r="J986" s="3">
        <v>0</v>
      </c>
      <c r="K986" s="3">
        <v>9519</v>
      </c>
      <c r="L986" s="3">
        <v>13041</v>
      </c>
      <c r="M986" s="3">
        <v>1</v>
      </c>
      <c r="N986" s="14">
        <v>1475.2451189999999</v>
      </c>
      <c r="O986" s="7">
        <f t="shared" si="135"/>
        <v>0</v>
      </c>
      <c r="P986" s="14">
        <f t="shared" si="136"/>
        <v>0</v>
      </c>
      <c r="Q986" s="14">
        <f t="shared" si="137"/>
        <v>1475.2451189999999</v>
      </c>
      <c r="R986" s="4">
        <f t="shared" si="138"/>
        <v>0</v>
      </c>
      <c r="S986" s="14">
        <f t="shared" si="139"/>
        <v>113.12361927766275</v>
      </c>
      <c r="T986" s="4">
        <f t="shared" si="140"/>
        <v>69.71072867081655</v>
      </c>
      <c r="U986" s="3">
        <f>LEN(A986) - LEN(SUBSTITUTE(A986,"&gt;","")) +1</f>
        <v>4</v>
      </c>
      <c r="V986" s="8">
        <f t="shared" si="141"/>
        <v>0</v>
      </c>
      <c r="W986" s="14">
        <f t="shared" si="142"/>
        <v>368.81127974999998</v>
      </c>
      <c r="X986" s="4">
        <f t="shared" si="143"/>
        <v>0</v>
      </c>
    </row>
    <row r="987" spans="1:24" ht="14.25" customHeight="1" x14ac:dyDescent="0.2">
      <c r="A987" s="5" t="s">
        <v>2326</v>
      </c>
      <c r="B987" s="3" t="s">
        <v>14</v>
      </c>
      <c r="C987" s="3" t="s">
        <v>15</v>
      </c>
      <c r="D987" s="3" t="s">
        <v>2378</v>
      </c>
      <c r="E987" s="3" t="s">
        <v>2352</v>
      </c>
      <c r="F987" s="3" t="s">
        <v>657</v>
      </c>
      <c r="G987" s="3" t="s">
        <v>38</v>
      </c>
      <c r="H987" s="3" t="s">
        <v>19</v>
      </c>
      <c r="I987" s="3">
        <v>9040</v>
      </c>
      <c r="J987" s="3">
        <v>0</v>
      </c>
      <c r="K987" s="3">
        <v>3585</v>
      </c>
      <c r="L987" s="3">
        <v>8450</v>
      </c>
      <c r="M987" s="3">
        <v>1</v>
      </c>
      <c r="N987" s="14">
        <v>1473.192464</v>
      </c>
      <c r="O987" s="7">
        <f t="shared" si="135"/>
        <v>0</v>
      </c>
      <c r="P987" s="14">
        <f t="shared" si="136"/>
        <v>0</v>
      </c>
      <c r="Q987" s="14">
        <f t="shared" si="137"/>
        <v>1473.192464</v>
      </c>
      <c r="R987" s="4">
        <f t="shared" si="138"/>
        <v>0</v>
      </c>
      <c r="S987" s="14">
        <f t="shared" si="139"/>
        <v>174.34230343195267</v>
      </c>
      <c r="T987" s="4">
        <f t="shared" si="140"/>
        <v>39.657079646017699</v>
      </c>
      <c r="U987" s="3">
        <f>LEN(A987) - LEN(SUBSTITUTE(A987,"&gt;","")) +1</f>
        <v>3</v>
      </c>
      <c r="V987" s="8">
        <f t="shared" si="141"/>
        <v>0</v>
      </c>
      <c r="W987" s="14">
        <f t="shared" si="142"/>
        <v>491.06415466666664</v>
      </c>
      <c r="X987" s="4">
        <f t="shared" si="143"/>
        <v>0</v>
      </c>
    </row>
    <row r="988" spans="1:24" ht="14.25" customHeight="1" x14ac:dyDescent="0.2">
      <c r="A988" s="5" t="s">
        <v>2327</v>
      </c>
      <c r="B988" s="3" t="s">
        <v>14</v>
      </c>
      <c r="C988" s="3" t="s">
        <v>29</v>
      </c>
      <c r="D988" s="3" t="s">
        <v>2369</v>
      </c>
      <c r="E988" s="3" t="s">
        <v>2365</v>
      </c>
      <c r="F988" s="3" t="s">
        <v>1476</v>
      </c>
      <c r="G988" s="3" t="s">
        <v>27</v>
      </c>
      <c r="H988" s="3" t="s">
        <v>19</v>
      </c>
      <c r="I988" s="3">
        <v>34</v>
      </c>
      <c r="J988" s="3">
        <v>0</v>
      </c>
      <c r="K988" s="3">
        <v>19</v>
      </c>
      <c r="L988" s="3">
        <v>22</v>
      </c>
      <c r="M988" s="3">
        <v>9</v>
      </c>
      <c r="N988" s="14">
        <v>1471.2322340000001</v>
      </c>
      <c r="O988" s="7">
        <f t="shared" si="135"/>
        <v>0</v>
      </c>
      <c r="P988" s="14">
        <f t="shared" si="136"/>
        <v>0</v>
      </c>
      <c r="Q988" s="14">
        <f t="shared" si="137"/>
        <v>163.47024822222224</v>
      </c>
      <c r="R988" s="4">
        <f t="shared" si="138"/>
        <v>0</v>
      </c>
      <c r="S988" s="14">
        <f t="shared" si="139"/>
        <v>66874.192454545453</v>
      </c>
      <c r="T988" s="4">
        <f t="shared" si="140"/>
        <v>55.882352941176471</v>
      </c>
      <c r="U988" s="3">
        <f>LEN(A988) - LEN(SUBSTITUTE(A988,"&gt;","")) +1</f>
        <v>4</v>
      </c>
      <c r="V988" s="8">
        <f t="shared" si="141"/>
        <v>0</v>
      </c>
      <c r="W988" s="14">
        <f t="shared" si="142"/>
        <v>367.80805850000002</v>
      </c>
      <c r="X988" s="4">
        <f t="shared" si="143"/>
        <v>0</v>
      </c>
    </row>
    <row r="989" spans="1:24" ht="14.25" customHeight="1" x14ac:dyDescent="0.2">
      <c r="A989" s="5" t="s">
        <v>2328</v>
      </c>
      <c r="B989" s="3" t="s">
        <v>24</v>
      </c>
      <c r="C989" s="3" t="s">
        <v>15</v>
      </c>
      <c r="D989" s="3" t="s">
        <v>2349</v>
      </c>
      <c r="E989" s="3" t="s">
        <v>2350</v>
      </c>
      <c r="F989" s="3" t="s">
        <v>1478</v>
      </c>
      <c r="G989" s="3" t="s">
        <v>41</v>
      </c>
      <c r="H989" s="3" t="s">
        <v>19</v>
      </c>
      <c r="I989" s="3">
        <v>736</v>
      </c>
      <c r="J989" s="3">
        <v>0</v>
      </c>
      <c r="K989" s="3">
        <v>524</v>
      </c>
      <c r="L989" s="3">
        <v>714</v>
      </c>
      <c r="M989" s="3">
        <v>8</v>
      </c>
      <c r="N989" s="14">
        <v>1468.2942350000001</v>
      </c>
      <c r="O989" s="7">
        <f t="shared" si="135"/>
        <v>0</v>
      </c>
      <c r="P989" s="14">
        <f t="shared" si="136"/>
        <v>0</v>
      </c>
      <c r="Q989" s="14">
        <f t="shared" si="137"/>
        <v>183.53677937500001</v>
      </c>
      <c r="R989" s="4">
        <f t="shared" si="138"/>
        <v>0</v>
      </c>
      <c r="S989" s="14">
        <f t="shared" si="139"/>
        <v>2056.4345028011207</v>
      </c>
      <c r="T989" s="4">
        <f t="shared" si="140"/>
        <v>71.195652173913047</v>
      </c>
      <c r="U989" s="3">
        <f>LEN(A989) - LEN(SUBSTITUTE(A989,"&gt;","")) +1</f>
        <v>3</v>
      </c>
      <c r="V989" s="8">
        <f t="shared" si="141"/>
        <v>0</v>
      </c>
      <c r="W989" s="14">
        <f t="shared" si="142"/>
        <v>489.43141166666669</v>
      </c>
      <c r="X989" s="4">
        <f t="shared" si="143"/>
        <v>0</v>
      </c>
    </row>
    <row r="990" spans="1:24" ht="14.25" customHeight="1" x14ac:dyDescent="0.2">
      <c r="A990" s="5" t="s">
        <v>2329</v>
      </c>
      <c r="B990" s="3" t="s">
        <v>14</v>
      </c>
      <c r="C990" s="3" t="s">
        <v>32</v>
      </c>
      <c r="D990" s="3" t="s">
        <v>2363</v>
      </c>
      <c r="E990" s="3" t="s">
        <v>2358</v>
      </c>
      <c r="F990" s="3" t="s">
        <v>1480</v>
      </c>
      <c r="G990" s="3" t="s">
        <v>27</v>
      </c>
      <c r="H990" s="3" t="s">
        <v>19</v>
      </c>
      <c r="I990" s="3">
        <v>428</v>
      </c>
      <c r="J990" s="3">
        <v>0</v>
      </c>
      <c r="K990" s="3">
        <v>316</v>
      </c>
      <c r="L990" s="3">
        <v>383</v>
      </c>
      <c r="M990" s="3">
        <v>8</v>
      </c>
      <c r="N990" s="14">
        <v>1467.5619369999999</v>
      </c>
      <c r="O990" s="7">
        <f t="shared" si="135"/>
        <v>0</v>
      </c>
      <c r="P990" s="14">
        <f t="shared" si="136"/>
        <v>0</v>
      </c>
      <c r="Q990" s="14">
        <f t="shared" si="137"/>
        <v>183.44524212499999</v>
      </c>
      <c r="R990" s="4">
        <f t="shared" si="138"/>
        <v>0</v>
      </c>
      <c r="S990" s="14">
        <f t="shared" si="139"/>
        <v>3831.7544046997386</v>
      </c>
      <c r="T990" s="4">
        <f t="shared" si="140"/>
        <v>73.831775700934571</v>
      </c>
      <c r="U990" s="3">
        <f>LEN(A990) - LEN(SUBSTITUTE(A990,"&gt;","")) +1</f>
        <v>4</v>
      </c>
      <c r="V990" s="8">
        <f t="shared" si="141"/>
        <v>0</v>
      </c>
      <c r="W990" s="14">
        <f t="shared" si="142"/>
        <v>366.89048424999999</v>
      </c>
      <c r="X990" s="4">
        <f t="shared" si="143"/>
        <v>0</v>
      </c>
    </row>
    <row r="991" spans="1:24" ht="14.25" customHeight="1" x14ac:dyDescent="0.2">
      <c r="A991" s="5" t="s">
        <v>2330</v>
      </c>
      <c r="B991" s="3" t="s">
        <v>14</v>
      </c>
      <c r="C991" s="3" t="s">
        <v>35</v>
      </c>
      <c r="D991" s="3" t="s">
        <v>2359</v>
      </c>
      <c r="E991" s="3" t="s">
        <v>2360</v>
      </c>
      <c r="F991" s="3" t="s">
        <v>1482</v>
      </c>
      <c r="G991" s="3" t="s">
        <v>27</v>
      </c>
      <c r="H991" s="3" t="s">
        <v>19</v>
      </c>
      <c r="I991" s="3">
        <v>576</v>
      </c>
      <c r="J991" s="3">
        <v>0</v>
      </c>
      <c r="K991" s="3">
        <v>404</v>
      </c>
      <c r="L991" s="3">
        <v>532</v>
      </c>
      <c r="M991" s="3">
        <v>2</v>
      </c>
      <c r="N991" s="14">
        <v>1461.385092</v>
      </c>
      <c r="O991" s="7">
        <f t="shared" si="135"/>
        <v>0</v>
      </c>
      <c r="P991" s="14">
        <f t="shared" si="136"/>
        <v>0</v>
      </c>
      <c r="Q991" s="14">
        <f t="shared" si="137"/>
        <v>730.69254599999999</v>
      </c>
      <c r="R991" s="4">
        <f t="shared" si="138"/>
        <v>0</v>
      </c>
      <c r="S991" s="14">
        <f t="shared" si="139"/>
        <v>2746.9644586466165</v>
      </c>
      <c r="T991" s="4">
        <f t="shared" si="140"/>
        <v>70.138888888888886</v>
      </c>
      <c r="U991" s="3">
        <f>LEN(A991) - LEN(SUBSTITUTE(A991,"&gt;","")) +1</f>
        <v>3</v>
      </c>
      <c r="V991" s="8">
        <f t="shared" si="141"/>
        <v>0</v>
      </c>
      <c r="W991" s="14">
        <f t="shared" si="142"/>
        <v>487.12836399999998</v>
      </c>
      <c r="X991" s="4">
        <f t="shared" si="143"/>
        <v>0</v>
      </c>
    </row>
    <row r="992" spans="1:24" ht="14.25" customHeight="1" x14ac:dyDescent="0.2">
      <c r="A992" s="5" t="s">
        <v>2331</v>
      </c>
      <c r="B992" s="3" t="s">
        <v>14</v>
      </c>
      <c r="C992" s="3" t="s">
        <v>35</v>
      </c>
      <c r="D992" s="3" t="s">
        <v>2353</v>
      </c>
      <c r="E992" s="3" t="s">
        <v>2354</v>
      </c>
      <c r="F992" s="3" t="s">
        <v>1484</v>
      </c>
      <c r="G992" s="3" t="s">
        <v>41</v>
      </c>
      <c r="H992" s="3" t="s">
        <v>19</v>
      </c>
      <c r="I992" s="3">
        <v>10903</v>
      </c>
      <c r="J992" s="3">
        <v>0</v>
      </c>
      <c r="K992" s="3">
        <v>3776</v>
      </c>
      <c r="L992" s="3">
        <v>9581</v>
      </c>
      <c r="M992" s="3">
        <v>1</v>
      </c>
      <c r="N992" s="14">
        <v>1460.0097539999999</v>
      </c>
      <c r="O992" s="7">
        <f t="shared" si="135"/>
        <v>0</v>
      </c>
      <c r="P992" s="14">
        <f t="shared" si="136"/>
        <v>0</v>
      </c>
      <c r="Q992" s="14">
        <f t="shared" si="137"/>
        <v>1460.0097539999999</v>
      </c>
      <c r="R992" s="4">
        <f t="shared" si="138"/>
        <v>0</v>
      </c>
      <c r="S992" s="14">
        <f t="shared" si="139"/>
        <v>152.38594656090177</v>
      </c>
      <c r="T992" s="4">
        <f t="shared" si="140"/>
        <v>34.632669907364942</v>
      </c>
      <c r="U992" s="3">
        <f>LEN(A992) - LEN(SUBSTITUTE(A992,"&gt;","")) +1</f>
        <v>3</v>
      </c>
      <c r="V992" s="8">
        <f t="shared" si="141"/>
        <v>0</v>
      </c>
      <c r="W992" s="14">
        <f t="shared" si="142"/>
        <v>486.669918</v>
      </c>
      <c r="X992" s="4">
        <f t="shared" si="143"/>
        <v>0</v>
      </c>
    </row>
    <row r="993" spans="1:24" ht="14.25" customHeight="1" x14ac:dyDescent="0.2">
      <c r="A993" s="5" t="s">
        <v>2332</v>
      </c>
      <c r="B993" s="3" t="s">
        <v>24</v>
      </c>
      <c r="C993" s="3" t="s">
        <v>35</v>
      </c>
      <c r="D993" s="3" t="s">
        <v>2353</v>
      </c>
      <c r="E993" s="3" t="s">
        <v>2354</v>
      </c>
      <c r="F993" s="3" t="s">
        <v>1486</v>
      </c>
      <c r="G993" s="3" t="s">
        <v>38</v>
      </c>
      <c r="H993" s="3" t="s">
        <v>114</v>
      </c>
      <c r="I993" s="3">
        <v>126</v>
      </c>
      <c r="J993" s="3">
        <v>0</v>
      </c>
      <c r="K993" s="3">
        <v>62</v>
      </c>
      <c r="L993" s="3">
        <v>118</v>
      </c>
      <c r="M993" s="3">
        <v>2</v>
      </c>
      <c r="N993" s="14">
        <v>1449.0869540000001</v>
      </c>
      <c r="O993" s="7">
        <f t="shared" si="135"/>
        <v>0</v>
      </c>
      <c r="P993" s="14">
        <f t="shared" si="136"/>
        <v>0</v>
      </c>
      <c r="Q993" s="14">
        <f t="shared" si="137"/>
        <v>724.54347700000005</v>
      </c>
      <c r="R993" s="4">
        <f t="shared" si="138"/>
        <v>0</v>
      </c>
      <c r="S993" s="14">
        <f t="shared" si="139"/>
        <v>12280.397915254238</v>
      </c>
      <c r="T993" s="4">
        <f t="shared" si="140"/>
        <v>49.206349206349202</v>
      </c>
      <c r="U993" s="3">
        <f>LEN(A993) - LEN(SUBSTITUTE(A993,"&gt;","")) +1</f>
        <v>5</v>
      </c>
      <c r="V993" s="8">
        <f t="shared" si="141"/>
        <v>0</v>
      </c>
      <c r="W993" s="14">
        <f t="shared" si="142"/>
        <v>289.8173908</v>
      </c>
      <c r="X993" s="4">
        <f t="shared" si="143"/>
        <v>0</v>
      </c>
    </row>
    <row r="994" spans="1:24" ht="14.25" customHeight="1" x14ac:dyDescent="0.2">
      <c r="A994" s="5" t="s">
        <v>2333</v>
      </c>
      <c r="B994" s="3" t="s">
        <v>24</v>
      </c>
      <c r="C994" s="3" t="s">
        <v>32</v>
      </c>
      <c r="D994" s="3" t="s">
        <v>2349</v>
      </c>
      <c r="E994" s="3" t="s">
        <v>2350</v>
      </c>
      <c r="F994" s="3" t="s">
        <v>1058</v>
      </c>
      <c r="G994" s="3" t="s">
        <v>76</v>
      </c>
      <c r="H994" s="3" t="s">
        <v>19</v>
      </c>
      <c r="I994" s="3">
        <v>13382</v>
      </c>
      <c r="J994" s="3">
        <v>0</v>
      </c>
      <c r="K994" s="3">
        <v>3340</v>
      </c>
      <c r="L994" s="3">
        <v>11662</v>
      </c>
      <c r="M994" s="3">
        <v>1</v>
      </c>
      <c r="N994" s="14">
        <v>1447.927193</v>
      </c>
      <c r="O994" s="7">
        <f t="shared" si="135"/>
        <v>0</v>
      </c>
      <c r="P994" s="14">
        <f t="shared" si="136"/>
        <v>0</v>
      </c>
      <c r="Q994" s="14">
        <f t="shared" si="137"/>
        <v>1447.927193</v>
      </c>
      <c r="R994" s="4">
        <f t="shared" si="138"/>
        <v>0</v>
      </c>
      <c r="S994" s="14">
        <f t="shared" si="139"/>
        <v>124.15770819756473</v>
      </c>
      <c r="T994" s="4">
        <f t="shared" si="140"/>
        <v>24.958900014945449</v>
      </c>
      <c r="U994" s="3">
        <f>LEN(A994) - LEN(SUBSTITUTE(A994,"&gt;","")) +1</f>
        <v>3</v>
      </c>
      <c r="V994" s="8">
        <f t="shared" si="141"/>
        <v>0</v>
      </c>
      <c r="W994" s="14">
        <f t="shared" si="142"/>
        <v>482.64239766666668</v>
      </c>
      <c r="X994" s="4">
        <f t="shared" si="143"/>
        <v>0</v>
      </c>
    </row>
    <row r="995" spans="1:24" ht="14.25" customHeight="1" x14ac:dyDescent="0.2">
      <c r="A995" s="5" t="s">
        <v>2334</v>
      </c>
      <c r="B995" s="3" t="s">
        <v>14</v>
      </c>
      <c r="C995" s="3" t="s">
        <v>32</v>
      </c>
      <c r="D995" s="3" t="s">
        <v>2349</v>
      </c>
      <c r="E995" s="3" t="s">
        <v>2350</v>
      </c>
      <c r="F995" s="3" t="s">
        <v>1040</v>
      </c>
      <c r="G995" s="3" t="s">
        <v>64</v>
      </c>
      <c r="H995" s="3" t="s">
        <v>19</v>
      </c>
      <c r="I995" s="3">
        <v>113</v>
      </c>
      <c r="J995" s="3">
        <v>0</v>
      </c>
      <c r="K995" s="3">
        <v>100</v>
      </c>
      <c r="L995" s="3">
        <v>107</v>
      </c>
      <c r="M995" s="3">
        <v>2</v>
      </c>
      <c r="N995" s="14">
        <v>1447.3399099999999</v>
      </c>
      <c r="O995" s="7">
        <f t="shared" si="135"/>
        <v>0</v>
      </c>
      <c r="P995" s="14">
        <f t="shared" si="136"/>
        <v>0</v>
      </c>
      <c r="Q995" s="14">
        <f t="shared" si="137"/>
        <v>723.66995499999996</v>
      </c>
      <c r="R995" s="4">
        <f t="shared" si="138"/>
        <v>0</v>
      </c>
      <c r="S995" s="14">
        <f t="shared" si="139"/>
        <v>13526.541214953271</v>
      </c>
      <c r="T995" s="4">
        <f t="shared" si="140"/>
        <v>88.495575221238937</v>
      </c>
      <c r="U995" s="3">
        <f>LEN(A995) - LEN(SUBSTITUTE(A995,"&gt;","")) +1</f>
        <v>4</v>
      </c>
      <c r="V995" s="8">
        <f t="shared" si="141"/>
        <v>0</v>
      </c>
      <c r="W995" s="14">
        <f t="shared" si="142"/>
        <v>361.83497749999998</v>
      </c>
      <c r="X995" s="4">
        <f t="shared" si="143"/>
        <v>0</v>
      </c>
    </row>
    <row r="996" spans="1:24" ht="14.25" customHeight="1" x14ac:dyDescent="0.2">
      <c r="A996" s="5" t="s">
        <v>2335</v>
      </c>
      <c r="B996" s="3" t="s">
        <v>14</v>
      </c>
      <c r="C996" s="3" t="s">
        <v>32</v>
      </c>
      <c r="D996" s="3" t="s">
        <v>2381</v>
      </c>
      <c r="E996" s="3" t="s">
        <v>2365</v>
      </c>
      <c r="F996" s="3" t="s">
        <v>1052</v>
      </c>
      <c r="G996" s="3" t="s">
        <v>41</v>
      </c>
      <c r="H996" s="3" t="s">
        <v>19</v>
      </c>
      <c r="I996" s="3">
        <v>1273</v>
      </c>
      <c r="J996" s="3">
        <v>0</v>
      </c>
      <c r="K996" s="3">
        <v>357</v>
      </c>
      <c r="L996" s="3">
        <v>1193</v>
      </c>
      <c r="M996" s="3">
        <v>2</v>
      </c>
      <c r="N996" s="14">
        <v>1446.548057</v>
      </c>
      <c r="O996" s="7">
        <f t="shared" si="135"/>
        <v>0</v>
      </c>
      <c r="P996" s="14">
        <f t="shared" si="136"/>
        <v>0</v>
      </c>
      <c r="Q996" s="14">
        <f t="shared" si="137"/>
        <v>723.27402849999999</v>
      </c>
      <c r="R996" s="4">
        <f t="shared" si="138"/>
        <v>0</v>
      </c>
      <c r="S996" s="14">
        <f t="shared" si="139"/>
        <v>1212.5298046940486</v>
      </c>
      <c r="T996" s="4">
        <f t="shared" si="140"/>
        <v>28.043990573448546</v>
      </c>
      <c r="U996" s="3">
        <f>LEN(A996) - LEN(SUBSTITUTE(A996,"&gt;","")) +1</f>
        <v>3</v>
      </c>
      <c r="V996" s="8">
        <f t="shared" si="141"/>
        <v>0</v>
      </c>
      <c r="W996" s="14">
        <f t="shared" si="142"/>
        <v>482.18268566666666</v>
      </c>
      <c r="X996" s="4">
        <f t="shared" si="143"/>
        <v>0</v>
      </c>
    </row>
    <row r="997" spans="1:24" ht="14.25" customHeight="1" x14ac:dyDescent="0.2">
      <c r="A997" s="5" t="s">
        <v>2336</v>
      </c>
      <c r="B997" s="3" t="s">
        <v>24</v>
      </c>
      <c r="C997" s="3" t="s">
        <v>32</v>
      </c>
      <c r="D997" s="3" t="s">
        <v>2363</v>
      </c>
      <c r="E997" s="3" t="s">
        <v>2358</v>
      </c>
      <c r="F997" s="3" t="s">
        <v>649</v>
      </c>
      <c r="G997" s="3" t="s">
        <v>58</v>
      </c>
      <c r="H997" s="3" t="s">
        <v>19</v>
      </c>
      <c r="I997" s="3">
        <v>103</v>
      </c>
      <c r="J997" s="3">
        <v>0</v>
      </c>
      <c r="K997" s="3">
        <v>19</v>
      </c>
      <c r="L997" s="3">
        <v>86</v>
      </c>
      <c r="M997" s="3">
        <v>5</v>
      </c>
      <c r="N997" s="14">
        <v>1441.997357</v>
      </c>
      <c r="O997" s="7">
        <f t="shared" si="135"/>
        <v>0</v>
      </c>
      <c r="P997" s="14">
        <f t="shared" si="136"/>
        <v>0</v>
      </c>
      <c r="Q997" s="14">
        <f t="shared" si="137"/>
        <v>288.39947139999998</v>
      </c>
      <c r="R997" s="4">
        <f t="shared" si="138"/>
        <v>0</v>
      </c>
      <c r="S997" s="14">
        <f t="shared" si="139"/>
        <v>16767.411127906977</v>
      </c>
      <c r="T997" s="4">
        <f t="shared" si="140"/>
        <v>18.446601941747574</v>
      </c>
      <c r="U997" s="3">
        <f>LEN(A997) - LEN(SUBSTITUTE(A997,"&gt;","")) +1</f>
        <v>3</v>
      </c>
      <c r="V997" s="8">
        <f t="shared" si="141"/>
        <v>0</v>
      </c>
      <c r="W997" s="14">
        <f t="shared" si="142"/>
        <v>480.66578566666664</v>
      </c>
      <c r="X997" s="4">
        <f t="shared" si="143"/>
        <v>0</v>
      </c>
    </row>
    <row r="998" spans="1:24" ht="14.25" customHeight="1" x14ac:dyDescent="0.2">
      <c r="A998" s="5" t="s">
        <v>2337</v>
      </c>
      <c r="B998" s="3" t="s">
        <v>14</v>
      </c>
      <c r="C998" s="3" t="s">
        <v>35</v>
      </c>
      <c r="D998" s="3" t="s">
        <v>2357</v>
      </c>
      <c r="E998" s="3" t="s">
        <v>2358</v>
      </c>
      <c r="F998" s="3" t="s">
        <v>1492</v>
      </c>
      <c r="G998" s="3" t="s">
        <v>27</v>
      </c>
      <c r="H998" s="3" t="s">
        <v>19</v>
      </c>
      <c r="I998" s="3">
        <v>702</v>
      </c>
      <c r="J998" s="3">
        <v>0</v>
      </c>
      <c r="K998" s="3">
        <v>82</v>
      </c>
      <c r="L998" s="3">
        <v>562</v>
      </c>
      <c r="M998" s="3">
        <v>7</v>
      </c>
      <c r="N998" s="14">
        <v>1441.895139</v>
      </c>
      <c r="O998" s="7">
        <f t="shared" si="135"/>
        <v>0</v>
      </c>
      <c r="P998" s="14">
        <f t="shared" si="136"/>
        <v>0</v>
      </c>
      <c r="Q998" s="14">
        <f t="shared" si="137"/>
        <v>205.98501985714285</v>
      </c>
      <c r="R998" s="4">
        <f t="shared" si="138"/>
        <v>0</v>
      </c>
      <c r="S998" s="14">
        <f t="shared" si="139"/>
        <v>2565.6497135231316</v>
      </c>
      <c r="T998" s="4">
        <f t="shared" si="140"/>
        <v>11.680911680911681</v>
      </c>
      <c r="U998" s="3">
        <f>LEN(A998) - LEN(SUBSTITUTE(A998,"&gt;","")) +1</f>
        <v>3</v>
      </c>
      <c r="V998" s="8">
        <f t="shared" si="141"/>
        <v>0</v>
      </c>
      <c r="W998" s="14">
        <f t="shared" si="142"/>
        <v>480.63171299999999</v>
      </c>
      <c r="X998" s="4">
        <f t="shared" si="143"/>
        <v>0</v>
      </c>
    </row>
    <row r="999" spans="1:24" ht="14.25" customHeight="1" x14ac:dyDescent="0.2">
      <c r="A999" s="5" t="s">
        <v>2338</v>
      </c>
      <c r="B999" s="3" t="s">
        <v>24</v>
      </c>
      <c r="C999" s="3" t="s">
        <v>35</v>
      </c>
      <c r="D999" s="3" t="s">
        <v>2349</v>
      </c>
      <c r="E999" s="3" t="s">
        <v>2350</v>
      </c>
      <c r="F999" s="3" t="s">
        <v>1494</v>
      </c>
      <c r="G999" s="3" t="s">
        <v>27</v>
      </c>
      <c r="H999" s="3" t="s">
        <v>114</v>
      </c>
      <c r="I999" s="3">
        <v>1045</v>
      </c>
      <c r="J999" s="3">
        <v>0</v>
      </c>
      <c r="K999" s="3">
        <v>609</v>
      </c>
      <c r="L999" s="3">
        <v>974</v>
      </c>
      <c r="M999" s="3">
        <v>2</v>
      </c>
      <c r="N999" s="14">
        <v>1441.8862369999999</v>
      </c>
      <c r="O999" s="7">
        <f t="shared" si="135"/>
        <v>0</v>
      </c>
      <c r="P999" s="14">
        <f t="shared" si="136"/>
        <v>0</v>
      </c>
      <c r="Q999" s="14">
        <f t="shared" si="137"/>
        <v>720.94311849999997</v>
      </c>
      <c r="R999" s="4">
        <f t="shared" si="138"/>
        <v>0</v>
      </c>
      <c r="S999" s="14">
        <f t="shared" si="139"/>
        <v>1480.3760133470225</v>
      </c>
      <c r="T999" s="4">
        <f t="shared" si="140"/>
        <v>58.277511961722482</v>
      </c>
      <c r="U999" s="3">
        <f>LEN(A999) - LEN(SUBSTITUTE(A999,"&gt;","")) +1</f>
        <v>4</v>
      </c>
      <c r="V999" s="8">
        <f t="shared" si="141"/>
        <v>0</v>
      </c>
      <c r="W999" s="14">
        <f t="shared" si="142"/>
        <v>360.47155924999998</v>
      </c>
      <c r="X999" s="4">
        <f t="shared" si="143"/>
        <v>0</v>
      </c>
    </row>
    <row r="1000" spans="1:24" ht="14.25" customHeight="1" x14ac:dyDescent="0.2">
      <c r="A1000" s="5" t="s">
        <v>2339</v>
      </c>
      <c r="B1000" s="3" t="s">
        <v>14</v>
      </c>
      <c r="C1000" s="3" t="s">
        <v>35</v>
      </c>
      <c r="D1000" s="3" t="s">
        <v>2357</v>
      </c>
      <c r="E1000" s="3" t="s">
        <v>2358</v>
      </c>
      <c r="F1000" s="3" t="s">
        <v>1496</v>
      </c>
      <c r="G1000" s="3" t="s">
        <v>41</v>
      </c>
      <c r="H1000" s="3" t="s">
        <v>19</v>
      </c>
      <c r="I1000" s="3">
        <v>332</v>
      </c>
      <c r="J1000" s="3">
        <v>0</v>
      </c>
      <c r="K1000" s="3">
        <v>194</v>
      </c>
      <c r="L1000" s="3">
        <v>300</v>
      </c>
      <c r="M1000" s="3">
        <v>3</v>
      </c>
      <c r="N1000" s="14">
        <v>1441.3877239999999</v>
      </c>
      <c r="O1000" s="7">
        <f t="shared" si="135"/>
        <v>0</v>
      </c>
      <c r="P1000" s="14">
        <f t="shared" si="136"/>
        <v>0</v>
      </c>
      <c r="Q1000" s="14">
        <f t="shared" si="137"/>
        <v>480.46257466666663</v>
      </c>
      <c r="R1000" s="4">
        <f t="shared" si="138"/>
        <v>0</v>
      </c>
      <c r="S1000" s="14">
        <f t="shared" si="139"/>
        <v>4804.6257466666666</v>
      </c>
      <c r="T1000" s="4">
        <f t="shared" si="140"/>
        <v>58.433734939759042</v>
      </c>
      <c r="U1000" s="3">
        <f>LEN(A1000) - LEN(SUBSTITUTE(A1000,"&gt;","")) +1</f>
        <v>3</v>
      </c>
      <c r="V1000" s="8">
        <f t="shared" si="141"/>
        <v>0</v>
      </c>
      <c r="W1000" s="14">
        <f t="shared" si="142"/>
        <v>480.46257466666663</v>
      </c>
      <c r="X1000" s="4">
        <f t="shared" si="143"/>
        <v>0</v>
      </c>
    </row>
  </sheetData>
  <autoFilter ref="A1:A1000" xr:uid="{A80C29EF-7346-D545-AE67-2500BE3AE477}"/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4EF48-86FF-154B-ADCB-2268EE31454F}">
  <dimension ref="A1:C10"/>
  <sheetViews>
    <sheetView topLeftCell="A2" workbookViewId="0">
      <selection activeCell="C1" sqref="C1"/>
    </sheetView>
  </sheetViews>
  <sheetFormatPr baseColWidth="10" defaultRowHeight="15" x14ac:dyDescent="0.2"/>
  <cols>
    <col min="1" max="1" width="12.83203125" bestFit="1" customWidth="1"/>
    <col min="2" max="2" width="12.5" bestFit="1" customWidth="1"/>
    <col min="3" max="3" width="15.6640625" bestFit="1" customWidth="1"/>
    <col min="4" max="1000" width="7.6640625" bestFit="1" customWidth="1"/>
    <col min="1001" max="1001" width="10" bestFit="1" customWidth="1"/>
  </cols>
  <sheetData>
    <row r="1" spans="1:3" x14ac:dyDescent="0.2">
      <c r="A1" s="9" t="s">
        <v>2413</v>
      </c>
      <c r="B1" t="s">
        <v>2418</v>
      </c>
      <c r="C1" t="s">
        <v>2417</v>
      </c>
    </row>
    <row r="2" spans="1:3" x14ac:dyDescent="0.2">
      <c r="A2" s="10" t="s">
        <v>163</v>
      </c>
      <c r="B2" s="12">
        <v>2.7706321859444962E-2</v>
      </c>
      <c r="C2" s="13">
        <v>235751.45679299984</v>
      </c>
    </row>
    <row r="3" spans="1:3" x14ac:dyDescent="0.2">
      <c r="A3" s="11" t="s">
        <v>24</v>
      </c>
      <c r="B3" s="12">
        <v>2.7706321859444962E-2</v>
      </c>
      <c r="C3" s="13">
        <v>235751.45679299984</v>
      </c>
    </row>
    <row r="4" spans="1:3" x14ac:dyDescent="0.2">
      <c r="A4" s="10" t="s">
        <v>19</v>
      </c>
      <c r="B4" s="12" t="e">
        <v>#DIV/0!</v>
      </c>
      <c r="C4" s="13">
        <v>2989844.8346580006</v>
      </c>
    </row>
    <row r="5" spans="1:3" x14ac:dyDescent="0.2">
      <c r="A5" s="11" t="s">
        <v>24</v>
      </c>
      <c r="B5" s="12">
        <v>2.5103048825454933E-2</v>
      </c>
      <c r="C5" s="13">
        <v>956549.1481190006</v>
      </c>
    </row>
    <row r="6" spans="1:3" x14ac:dyDescent="0.2">
      <c r="A6" s="11" t="s">
        <v>68</v>
      </c>
      <c r="B6" s="12">
        <v>2.256092779815777E-2</v>
      </c>
      <c r="C6" s="13">
        <v>343133.65103099996</v>
      </c>
    </row>
    <row r="7" spans="1:3" x14ac:dyDescent="0.2">
      <c r="A7" s="11" t="s">
        <v>14</v>
      </c>
      <c r="B7" s="12" t="e">
        <v>#DIV/0!</v>
      </c>
      <c r="C7" s="13">
        <v>1690162.0355080001</v>
      </c>
    </row>
    <row r="8" spans="1:3" x14ac:dyDescent="0.2">
      <c r="A8" s="10" t="s">
        <v>114</v>
      </c>
      <c r="B8" s="12" t="e">
        <v>#DIV/0!</v>
      </c>
      <c r="C8" s="13">
        <v>507617.11355500011</v>
      </c>
    </row>
    <row r="9" spans="1:3" x14ac:dyDescent="0.2">
      <c r="A9" s="11" t="s">
        <v>24</v>
      </c>
      <c r="B9" s="12" t="e">
        <v>#DIV/0!</v>
      </c>
      <c r="C9" s="13">
        <v>507617.11355500011</v>
      </c>
    </row>
    <row r="10" spans="1:3" x14ac:dyDescent="0.2">
      <c r="A10" s="10" t="s">
        <v>2414</v>
      </c>
      <c r="B10" s="12" t="e">
        <v>#DIV/0!</v>
      </c>
      <c r="C10" s="13">
        <v>3733213.4050059998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65F2A26-8EE5-BE41-B0FC-866AC01830E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Original</vt:lpstr>
      <vt:lpstr>Cleaned</vt:lpstr>
      <vt:lpstr>Pivot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Geyzburg</dc:creator>
  <cp:lastModifiedBy>Danny Chen</cp:lastModifiedBy>
  <dcterms:created xsi:type="dcterms:W3CDTF">2024-04-01T16:40:01Z</dcterms:created>
  <dcterms:modified xsi:type="dcterms:W3CDTF">2026-01-30T18:30:06Z</dcterms:modified>
</cp:coreProperties>
</file>